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zis.sharepoint.com/sites/AIZIS5D-Proj.TMP.OCI-env-build/Shared Documents/Proj.CareS.tools/"/>
    </mc:Choice>
  </mc:AlternateContent>
  <xr:revisionPtr revIDLastSave="3388" documentId="13_ncr:1_{5A599292-292F-1D48-917F-767821571AF5}" xr6:coauthVersionLast="47" xr6:coauthVersionMax="47" xr10:uidLastSave="{43CE4029-EF4A-2242-83B1-1FDADFA24A5D}"/>
  <bookViews>
    <workbookView xWindow="0" yWindow="760" windowWidth="29400" windowHeight="18360" xr2:uid="{2981B3ED-6EE6-4CA3-A977-29858DA34A8D}"/>
  </bookViews>
  <sheets>
    <sheet name="SS予約表" sheetId="1" r:id="rId1"/>
    <sheet name="連絡管理" sheetId="2" r:id="rId2"/>
    <sheet name="空きFAX" sheetId="3" r:id="rId3"/>
    <sheet name="利用者メモ" sheetId="4" r:id="rId4"/>
    <sheet name="月集計" sheetId="5" r:id="rId5"/>
    <sheet name="設定" sheetId="6" r:id="rId6"/>
  </sheets>
  <functionGroups builtInGroupCount="19"/>
  <definedNames>
    <definedName name="_xlnm._FilterDatabase" localSheetId="3" hidden="1">利用者メモ!$A$1:$C$10</definedName>
    <definedName name="_xlnm._FilterDatabase" localSheetId="1" hidden="1">連絡管理!$A$1:$I$159</definedName>
    <definedName name="aFAX">空きFAX!$O$46</definedName>
    <definedName name="a拠点名">空きFAX!$Q$42</definedName>
    <definedName name="a住所">空きFAX!$O$44</definedName>
    <definedName name="a担当1">空きFAX!$O$47</definedName>
    <definedName name="a担当2">空きFAX!$S$47</definedName>
    <definedName name="a電話">空きFAX!$O$45</definedName>
    <definedName name="d集計月">月集計!$H$2</definedName>
    <definedName name="d集計氏名">月集計!$B$6:$B$225</definedName>
    <definedName name="d集計送迎範囲">月集計!$D$276:$AH$295</definedName>
    <definedName name="d集計日時">月集計!$T$2</definedName>
    <definedName name="d集計年">月集計!$D$2</definedName>
    <definedName name="d集計範囲">月集計!$D$6:$AH$225</definedName>
    <definedName name="d集計利用範囲">月集計!$D$228:$AH$267</definedName>
    <definedName name="_xlnm.Print_Area" localSheetId="0">SS予約表!$A$4:$CM$285</definedName>
    <definedName name="_xlnm.Print_Area" localSheetId="2">空きFAX!$A$1:$W$47</definedName>
    <definedName name="_xlnm.Print_Titles" localSheetId="0">SS予約表!$2:$3</definedName>
    <definedName name="sユニット1名前">設定!$C$6</definedName>
    <definedName name="sユニット2名前">設定!$C$7</definedName>
    <definedName name="sユニット3名前">設定!$C$8</definedName>
    <definedName name="s居室1">設定!$D$6</definedName>
    <definedName name="s居室10">設定!$M$6</definedName>
    <definedName name="s居室11">設定!$D$7</definedName>
    <definedName name="s居室12">設定!$E$7</definedName>
    <definedName name="s居室13">設定!$F$7</definedName>
    <definedName name="s居室14">設定!$G$7</definedName>
    <definedName name="s居室15">設定!$H$7</definedName>
    <definedName name="s居室16">設定!$I$7</definedName>
    <definedName name="s居室17">設定!$J$7</definedName>
    <definedName name="s居室18">設定!$K$7</definedName>
    <definedName name="s居室19">設定!$L$7</definedName>
    <definedName name="s居室2">設定!$E$6</definedName>
    <definedName name="s居室20">設定!$M$7</definedName>
    <definedName name="s居室21">設定!$D$8</definedName>
    <definedName name="s居室22">設定!$E$8</definedName>
    <definedName name="s居室23">設定!$F$8</definedName>
    <definedName name="s居室24">設定!$G$8</definedName>
    <definedName name="s居室25">設定!$H$8</definedName>
    <definedName name="s居室26">設定!$I$8</definedName>
    <definedName name="s居室27">設定!$J$8</definedName>
    <definedName name="s居室28">設定!$K$8</definedName>
    <definedName name="s居室29">設定!$L$8</definedName>
    <definedName name="s居室3">設定!$F$6</definedName>
    <definedName name="s居室30">設定!$M$8</definedName>
    <definedName name="s居室4">設定!$G$6</definedName>
    <definedName name="s居室5">設定!$H$6</definedName>
    <definedName name="s居室6">設定!$I$6</definedName>
    <definedName name="s居室7">設定!$J$6</definedName>
    <definedName name="s居室8">設定!$K$6</definedName>
    <definedName name="s居室9">設定!$L$6</definedName>
    <definedName name="s拠点">設定!$G$2</definedName>
    <definedName name="s静養室1">設定!$N$6</definedName>
    <definedName name="s静養室2">設定!$N$7</definedName>
    <definedName name="s静養室3">設定!$N$8</definedName>
    <definedName name="s年">設定!$C$2</definedName>
    <definedName name="s目標リピート">設定!$M$13</definedName>
    <definedName name="s目標稼働">設定!$M$12</definedName>
    <definedName name="Z_033EEFCC_DD56_4CD4_995A_AD243E4C40E5_.wvu.FilterData" localSheetId="1" hidden="1">連絡管理!$A$1:$I$70</definedName>
    <definedName name="Z_0D1885D8_FD46_4ACA_85A4_4B44D339FD66_.wvu.FilterData" localSheetId="1" hidden="1">連絡管理!$A$1:$I$124</definedName>
    <definedName name="Z_2BD3FE9A_BCB5_442C_9BBC_C15DDE5D7D5A_.wvu.FilterData" localSheetId="1" hidden="1">連絡管理!$A$1:$I$59</definedName>
    <definedName name="Z_6533791B_1203_4126_9048_B21777AE6613_.wvu.FilterData" localSheetId="1" hidden="1">連絡管理!$A$1:$I$143</definedName>
    <definedName name="Z_69224D3F_F243_4296_BB75_3D64997B03A5_.wvu.FilterData" localSheetId="3" hidden="1">利用者メモ!$A$1:$C$9</definedName>
    <definedName name="Z_6CF7334D_AF53_4E75_A661_EE6C6E1C96DB_.wvu.FilterData" localSheetId="1" hidden="1">連絡管理!$A$1:$I$99</definedName>
    <definedName name="Z_6E5BE3FC_23C3_49D9_8F02_AC9BB7F93B30_.wvu.FilterData" localSheetId="1" hidden="1">連絡管理!$A$1:$I$158</definedName>
    <definedName name="Z_71E1C033_2FB0_4950_A0AE_10477924ACE8_.wvu.FilterData" localSheetId="1" hidden="1">連絡管理!$A$1:$I$42</definedName>
    <definedName name="Z_7604BB13_FA76_455A_9335_FCFCC3615124_.wvu.FilterData" localSheetId="1" hidden="1">連絡管理!$A$1:$I$46</definedName>
    <definedName name="Z_8909A006_A0B4_4B58_B378_E2B07A5C0D98_.wvu.FilterData" localSheetId="1" hidden="1">連絡管理!$A$1:$I$157</definedName>
    <definedName name="Z_8AEB1315_770A_4A1B_8CF3_E83C3F9824A1_.wvu.FilterData" localSheetId="1" hidden="1">連絡管理!$A$1:$I$107</definedName>
    <definedName name="Z_8C0A7BAA_2CA2_4FEE_AD66_196AC5711AD2_.wvu.FilterData" localSheetId="1" hidden="1">連絡管理!$A$1:$I$61</definedName>
    <definedName name="Z_9DFCA672_46FE_4432_B086_8520541F60AA_.wvu.FilterData" localSheetId="1" hidden="1">連絡管理!$A$1:$I$94</definedName>
    <definedName name="Z_9EECA553_60BE_4AFC_B2ED_DE6BD73684A5_.wvu.FilterData" localSheetId="1" hidden="1">連絡管理!$A$1:$I$107</definedName>
    <definedName name="Z_B061BDB8_F860_4D44_941F_C2AA21ACDACC_.wvu.Cols" localSheetId="0" hidden="1">SS予約表!$BF:$CF</definedName>
    <definedName name="Z_B061BDB8_F860_4D44_941F_C2AA21ACDACC_.wvu.Cols" localSheetId="2" hidden="1">空きFAX!$X:$X,空きFAX!$AF:$AF</definedName>
    <definedName name="Z_B061BDB8_F860_4D44_941F_C2AA21ACDACC_.wvu.Cols" localSheetId="5" hidden="1">設定!$Q:$Q</definedName>
    <definedName name="Z_B061BDB8_F860_4D44_941F_C2AA21ACDACC_.wvu.FilterData" localSheetId="3" hidden="1">利用者メモ!$A$1:$C$10</definedName>
    <definedName name="Z_B061BDB8_F860_4D44_941F_C2AA21ACDACC_.wvu.FilterData" localSheetId="1" hidden="1">連絡管理!$A$1:$I$159</definedName>
    <definedName name="Z_B061BDB8_F860_4D44_941F_C2AA21ACDACC_.wvu.PrintArea" localSheetId="0" hidden="1">SS予約表!$A$4:$CM$285</definedName>
    <definedName name="Z_B061BDB8_F860_4D44_941F_C2AA21ACDACC_.wvu.PrintArea" localSheetId="2" hidden="1">空きFAX!$A$1:$W$47</definedName>
    <definedName name="Z_B061BDB8_F860_4D44_941F_C2AA21ACDACC_.wvu.PrintTitles" localSheetId="0" hidden="1">SS予約表!$2:$3</definedName>
    <definedName name="Z_B061BDB8_F860_4D44_941F_C2AA21ACDACC_.wvu.Rows" localSheetId="0" hidden="1">SS予約表!$74:$75,SS予約表!#REF!</definedName>
    <definedName name="Z_B061BDB8_F860_4D44_941F_C2AA21ACDACC_.wvu.Rows" localSheetId="4" hidden="1">月集計!$227:$295</definedName>
    <definedName name="Z_B061BDB8_F860_4D44_941F_C2AA21ACDACC_.wvu.Rows" localSheetId="5" hidden="1">設定!$21:$47</definedName>
    <definedName name="Z_C8D07982_D211_49BB_9AD2_94A73307D2CA_.wvu.FilterData" localSheetId="1" hidden="1">連絡管理!$A$1:$I$76</definedName>
    <definedName name="Z_D2F1F763_1177_4A2E_A635_4CC1D75E64A6_.wvu.FilterData" localSheetId="1" hidden="1">連絡管理!$A$1:$I$135</definedName>
    <definedName name="Z_D947EA40_CCE1_4195_A9AF_B5A5BE546550_.wvu.FilterData" localSheetId="3" hidden="1">利用者メモ!$A$1:$C$1</definedName>
    <definedName name="Z_E4FBBA48_333C_4E04_85F8_0096AEED3960_.wvu.FilterData" localSheetId="1" hidden="1">連絡管理!$A$1:$I$65</definedName>
    <definedName name="Z_E8ACE277_9B33_4126_86E1_BE91B8C7F60D_.wvu.FilterData" localSheetId="1" hidden="1">連絡管理!$A$1:$I$81</definedName>
    <definedName name="Z_EB62345E_74D5_4298_A917_D67058304EDE_.wvu.FilterData" localSheetId="1" hidden="1">連絡管理!$A$1:$I$119</definedName>
    <definedName name="Z_F670DEAC_BC74_49A5_B3C9_D885EA8A87D8_.wvu.FilterData" localSheetId="1" hidden="1">連絡管理!$A$1:$I$88</definedName>
    <definedName name="Z_F887C63E_1D67_4ACD_B06D_DF539C47FB0D_.wvu.FilterData" localSheetId="1" hidden="1">連絡管理!$A$1:$I$52</definedName>
    <definedName name="Z_FC7D9CFA_94C3_46C9_911C_CD62033147E7_.wvu.FilterData" localSheetId="1" hidden="1">連絡管理!$A$1:$I$51</definedName>
    <definedName name="Z_FFC5299F_B4A9_4F0D_9351_B132F58932F5_.wvu.FilterData" localSheetId="1" hidden="1">連絡管理!$A$1:$I$53</definedName>
    <definedName name="キャンセル1">SS予約表!$CQ$3</definedName>
    <definedName name="キャンセル2">SS予約表!$CS$3</definedName>
    <definedName name="キャンセル3">SS予約表!$CU$3</definedName>
    <definedName name="キャンセル待ち">SS予約表!$CP$4:$CU$285</definedName>
    <definedName name="ユニット1">SS予約表!$D$4:$Y$285</definedName>
    <definedName name="ユニット1稼働集計列">SS予約表!$Z$4:$AB$285</definedName>
    <definedName name="ユニット1名前">SS予約表!$D$2</definedName>
    <definedName name="ユニット2">SS予約表!$AE$4:$AZ$285</definedName>
    <definedName name="ユニット2稼働集計列">SS予約表!$BA$4:$BC$285</definedName>
    <definedName name="ユニット2名前">SS予約表!$AE$2</definedName>
    <definedName name="ユニット3">SS予約表!$BF$4:$CA$285</definedName>
    <definedName name="ユニット3稼働集計列">SS予約表!$CB$4:$CD$285</definedName>
    <definedName name="ユニット3名前">SS予約表!$BF$2</definedName>
    <definedName name="ロング稼働列">SS予約表!$CM$4:$CM$285</definedName>
    <definedName name="印刷ブレーク列">SS予約表!$DH$3</definedName>
    <definedName name="印刷全体">SS予約表!$A$4:$CM$285</definedName>
    <definedName name="閏年列">SS予約表!$DE:$DE</definedName>
    <definedName name="仮想月列">SS予約表!$CZ:$CZ</definedName>
    <definedName name="稼働集計列">SS予約表!$CL$4:$CM$285</definedName>
    <definedName name="居室1">SS予約表!$E$3</definedName>
    <definedName name="居室10">SS予約表!$W$3</definedName>
    <definedName name="居室11">SS予約表!$AF$3</definedName>
    <definedName name="居室12">SS予約表!$AH$3</definedName>
    <definedName name="居室13">SS予約表!$AJ$3</definedName>
    <definedName name="居室14">SS予約表!$AL$3</definedName>
    <definedName name="居室15">SS予約表!$AN$3</definedName>
    <definedName name="居室16">SS予約表!$AP$3</definedName>
    <definedName name="居室17">SS予約表!$AR$3</definedName>
    <definedName name="居室18">SS予約表!$AT$3</definedName>
    <definedName name="居室19">SS予約表!$AV$3</definedName>
    <definedName name="居室2">SS予約表!$G$3</definedName>
    <definedName name="居室20">SS予約表!$AX$3</definedName>
    <definedName name="居室21">SS予約表!$BG$3</definedName>
    <definedName name="居室22">SS予約表!$BI$3</definedName>
    <definedName name="居室23">SS予約表!$BK$3</definedName>
    <definedName name="居室24">SS予約表!$BM$3</definedName>
    <definedName name="居室25">SS予約表!$BO$3</definedName>
    <definedName name="居室26">SS予約表!$BQ$3</definedName>
    <definedName name="居室27">SS予約表!$BS$3</definedName>
    <definedName name="居室28">SS予約表!$BU$3</definedName>
    <definedName name="居室29">SS予約表!$BW$3</definedName>
    <definedName name="居室3">SS予約表!$I$3</definedName>
    <definedName name="居室30">SS予約表!$BY$3</definedName>
    <definedName name="居室4">SS予約表!$K$3</definedName>
    <definedName name="居室5">SS予約表!$M$3</definedName>
    <definedName name="居室6">SS予約表!$O$3</definedName>
    <definedName name="居室7">SS予約表!$Q$3</definedName>
    <definedName name="居室8">SS予約表!$S$3</definedName>
    <definedName name="居室9">SS予約表!$U$3</definedName>
    <definedName name="空き開始月">空きFAX!$AF$5</definedName>
    <definedName name="空き集計列">SS予約表!$DG$4:$DG$285</definedName>
    <definedName name="空き全体">空きFAX!$A$16:$V$35</definedName>
    <definedName name="空き範囲">SS予約表!$DF$4:$DG$285</definedName>
    <definedName name="月列">SS予約表!$DA:$DA</definedName>
    <definedName name="検索日付範囲">SS予約表!$A$4:$A$285</definedName>
    <definedName name="時間行">SS予約表!$3:$3</definedName>
    <definedName name="数式更新">SS予約表!$DA$2</definedName>
    <definedName name="静養室1">SS予約表!$Y$3</definedName>
    <definedName name="静養室2">SS予約表!$AZ$3</definedName>
    <definedName name="静養室3">SS予約表!$CA$3</definedName>
    <definedName name="前後列">SS予約表!$C:$C</definedName>
    <definedName name="全体稼働集計列">SS予約表!$CG$4:$CK$285</definedName>
    <definedName name="退所時間">設定!$N$3</definedName>
    <definedName name="日付列">SS予約表!$DB:$DB</definedName>
    <definedName name="入所時間">設定!$N$2</definedName>
    <definedName name="年">SS予約表!$A$2</definedName>
    <definedName name="年月日">SS予約表!$DC:$DC</definedName>
    <definedName name="曜日列1">SS予約表!$B:$B</definedName>
    <definedName name="曜日列2">SS予約表!$AD:$AD</definedName>
    <definedName name="曜日列3">SS予約表!$BE:$BE</definedName>
    <definedName name="曜日列4">SS予約表!$CF:$CF</definedName>
    <definedName name="曜日列5">SS予約表!$CO:$CO</definedName>
  </definedNames>
  <calcPr calcId="191028" calcMode="manual" calcCompleted="0"/>
  <customWorkbookViews>
    <customWorkbookView name="kaigo - 個人用ビュー" guid="{B061BDB8-F860-4D44-941F-C2AA21ACDACC}" mergeInterval="0" personalView="1" maximized="1" xWindow="84" yWindow="-11" windowWidth="1847" windowHeight="1102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1" l="1"/>
  <c r="AA4" i="1"/>
  <c r="AB4" i="1"/>
  <c r="Z6" i="1"/>
  <c r="AA6" i="1"/>
  <c r="AB6" i="1"/>
  <c r="Z8" i="1"/>
  <c r="AA8" i="1"/>
  <c r="AB8" i="1"/>
  <c r="Z10" i="1"/>
  <c r="AA10" i="1"/>
  <c r="AB10" i="1"/>
  <c r="Z12" i="1"/>
  <c r="AA12" i="1"/>
  <c r="AB12" i="1"/>
  <c r="Z14" i="1"/>
  <c r="AA14" i="1"/>
  <c r="AB14" i="1"/>
  <c r="Z16" i="1"/>
  <c r="AA16" i="1"/>
  <c r="AB16" i="1"/>
  <c r="Z18" i="1"/>
  <c r="AA18" i="1"/>
  <c r="AB18" i="1"/>
  <c r="Z20" i="1"/>
  <c r="AA20" i="1"/>
  <c r="AB20" i="1"/>
  <c r="Z22" i="1"/>
  <c r="AA22" i="1"/>
  <c r="AB22" i="1"/>
  <c r="Z24" i="1"/>
  <c r="AA24" i="1"/>
  <c r="AB24" i="1"/>
  <c r="Z26" i="1"/>
  <c r="AA26" i="1"/>
  <c r="AB26" i="1"/>
  <c r="Z28" i="1"/>
  <c r="AA28" i="1"/>
  <c r="AB28" i="1"/>
  <c r="Z30" i="1"/>
  <c r="AA30" i="1"/>
  <c r="AB30" i="1"/>
  <c r="Z32" i="1"/>
  <c r="AA32" i="1"/>
  <c r="AB32" i="1"/>
  <c r="Z34" i="1"/>
  <c r="AA34" i="1"/>
  <c r="AB34" i="1"/>
  <c r="Z36" i="1"/>
  <c r="AA36" i="1"/>
  <c r="AB36" i="1"/>
  <c r="Z38" i="1"/>
  <c r="AA38" i="1"/>
  <c r="AB38" i="1"/>
  <c r="Z40" i="1"/>
  <c r="AA40" i="1"/>
  <c r="AB40" i="1"/>
  <c r="Z42" i="1"/>
  <c r="AA42" i="1"/>
  <c r="AB42" i="1"/>
  <c r="Z44" i="1"/>
  <c r="AA44" i="1"/>
  <c r="AB44" i="1"/>
  <c r="Z46" i="1"/>
  <c r="AA46" i="1"/>
  <c r="AB46" i="1"/>
  <c r="Z48" i="1"/>
  <c r="AA48" i="1"/>
  <c r="AB48" i="1"/>
  <c r="Z50" i="1"/>
  <c r="AA50" i="1"/>
  <c r="AB50" i="1"/>
  <c r="Z52" i="1"/>
  <c r="AA52" i="1"/>
  <c r="AB52" i="1"/>
  <c r="Z54" i="1"/>
  <c r="AA54" i="1"/>
  <c r="AB54" i="1"/>
  <c r="Z56" i="1"/>
  <c r="AA56" i="1"/>
  <c r="AB56" i="1"/>
  <c r="Z58" i="1"/>
  <c r="AA58" i="1"/>
  <c r="AB58" i="1"/>
  <c r="Z60" i="1"/>
  <c r="AA60" i="1"/>
  <c r="AB60" i="1"/>
  <c r="Z62" i="1"/>
  <c r="AA62" i="1"/>
  <c r="AB62" i="1"/>
  <c r="Z64" i="1"/>
  <c r="AA64" i="1"/>
  <c r="AB64" i="1"/>
  <c r="Z66" i="1"/>
  <c r="AA66" i="1"/>
  <c r="AB66" i="1"/>
  <c r="Z68" i="1"/>
  <c r="AA68" i="1"/>
  <c r="AB68" i="1"/>
  <c r="Z70" i="1"/>
  <c r="AA70" i="1"/>
  <c r="AB70" i="1"/>
  <c r="Z72" i="1"/>
  <c r="AA72" i="1"/>
  <c r="AB72" i="1"/>
  <c r="Z74" i="1"/>
  <c r="AA74" i="1"/>
  <c r="AB74" i="1"/>
  <c r="Z76" i="1"/>
  <c r="AA76" i="1"/>
  <c r="AB76" i="1"/>
  <c r="Z78" i="1"/>
  <c r="AA78" i="1"/>
  <c r="AB78" i="1"/>
  <c r="Z80" i="1"/>
  <c r="AA80" i="1"/>
  <c r="AB80" i="1"/>
  <c r="Z82" i="1"/>
  <c r="AA82" i="1"/>
  <c r="AB82" i="1"/>
  <c r="Z84" i="1"/>
  <c r="AA84" i="1"/>
  <c r="AB84" i="1"/>
  <c r="Z86" i="1"/>
  <c r="AA86" i="1"/>
  <c r="AB86" i="1"/>
  <c r="Z88" i="1"/>
  <c r="AA88" i="1"/>
  <c r="AB88" i="1"/>
  <c r="Z90" i="1"/>
  <c r="AA90" i="1"/>
  <c r="AB90" i="1"/>
  <c r="Z92" i="1"/>
  <c r="AA92" i="1"/>
  <c r="AB92" i="1"/>
  <c r="Z94" i="1"/>
  <c r="AA94" i="1"/>
  <c r="AB94" i="1"/>
  <c r="Z96" i="1"/>
  <c r="AA96" i="1"/>
  <c r="AB96" i="1"/>
  <c r="Z98" i="1"/>
  <c r="AA98" i="1"/>
  <c r="AB98" i="1"/>
  <c r="Z100" i="1"/>
  <c r="AA100" i="1"/>
  <c r="AB100" i="1"/>
  <c r="Z102" i="1"/>
  <c r="AA102" i="1"/>
  <c r="AB102" i="1"/>
  <c r="Z104" i="1"/>
  <c r="AA104" i="1"/>
  <c r="AB104" i="1"/>
  <c r="Z106" i="1"/>
  <c r="AA106" i="1"/>
  <c r="AB106" i="1"/>
  <c r="Z108" i="1"/>
  <c r="AA108" i="1"/>
  <c r="AB108" i="1"/>
  <c r="Z110" i="1"/>
  <c r="AA110" i="1"/>
  <c r="AB110" i="1"/>
  <c r="Z112" i="1"/>
  <c r="AA112" i="1"/>
  <c r="AB112" i="1"/>
  <c r="Z114" i="1"/>
  <c r="AA114" i="1"/>
  <c r="AB114" i="1"/>
  <c r="Z116" i="1"/>
  <c r="AA116" i="1"/>
  <c r="AB116" i="1"/>
  <c r="Z118" i="1"/>
  <c r="AA118" i="1"/>
  <c r="AB118" i="1"/>
  <c r="Z120" i="1"/>
  <c r="AA120" i="1"/>
  <c r="AB120" i="1"/>
  <c r="Z122" i="1"/>
  <c r="AA122" i="1"/>
  <c r="AB122" i="1"/>
  <c r="Z124" i="1"/>
  <c r="AA124" i="1"/>
  <c r="AB124" i="1"/>
  <c r="Z126" i="1"/>
  <c r="AA126" i="1"/>
  <c r="AB126" i="1"/>
  <c r="Z128" i="1"/>
  <c r="AA128" i="1"/>
  <c r="AB128" i="1"/>
  <c r="Z130" i="1"/>
  <c r="AA130" i="1"/>
  <c r="AB130" i="1"/>
  <c r="Z132" i="1"/>
  <c r="AA132" i="1"/>
  <c r="AB132" i="1"/>
  <c r="Z134" i="1"/>
  <c r="AA134" i="1"/>
  <c r="AB134" i="1"/>
  <c r="Z136" i="1"/>
  <c r="AA136" i="1"/>
  <c r="AB136" i="1"/>
  <c r="Z138" i="1"/>
  <c r="AA138" i="1"/>
  <c r="AB138" i="1"/>
  <c r="Z140" i="1"/>
  <c r="AA140" i="1"/>
  <c r="AB140" i="1"/>
  <c r="Z142" i="1"/>
  <c r="AA142" i="1"/>
  <c r="AB142" i="1"/>
  <c r="Z144" i="1"/>
  <c r="AA144" i="1"/>
  <c r="AB144" i="1"/>
  <c r="Z146" i="1"/>
  <c r="AA146" i="1"/>
  <c r="AB146" i="1"/>
  <c r="Z148" i="1"/>
  <c r="AA148" i="1"/>
  <c r="AB148" i="1"/>
  <c r="Z150" i="1"/>
  <c r="AA150" i="1"/>
  <c r="AB150" i="1"/>
  <c r="Z152" i="1"/>
  <c r="AA152" i="1"/>
  <c r="AB152" i="1"/>
  <c r="Z154" i="1"/>
  <c r="AA154" i="1"/>
  <c r="AB154" i="1"/>
  <c r="Z156" i="1"/>
  <c r="AA156" i="1"/>
  <c r="AB156" i="1"/>
  <c r="Z158" i="1"/>
  <c r="AA158" i="1"/>
  <c r="AB158" i="1"/>
  <c r="Z160" i="1"/>
  <c r="AA160" i="1"/>
  <c r="AB160" i="1"/>
  <c r="Z162" i="1"/>
  <c r="AA162" i="1"/>
  <c r="AB162" i="1"/>
  <c r="Z164" i="1"/>
  <c r="AA164" i="1"/>
  <c r="AB164" i="1"/>
  <c r="Z166" i="1"/>
  <c r="AA166" i="1"/>
  <c r="AB166" i="1"/>
  <c r="Z168" i="1"/>
  <c r="AA168" i="1"/>
  <c r="AB168" i="1"/>
  <c r="Z170" i="1"/>
  <c r="AA170" i="1"/>
  <c r="AB170" i="1"/>
  <c r="Z172" i="1"/>
  <c r="AA172" i="1"/>
  <c r="AB172" i="1"/>
  <c r="Z174" i="1"/>
  <c r="AA174" i="1"/>
  <c r="AB174" i="1"/>
  <c r="Z176" i="1"/>
  <c r="AA176" i="1"/>
  <c r="AB176" i="1"/>
  <c r="Z178" i="1"/>
  <c r="AA178" i="1"/>
  <c r="AB178" i="1"/>
  <c r="Z180" i="1"/>
  <c r="AA180" i="1"/>
  <c r="AB180" i="1"/>
  <c r="Z182" i="1"/>
  <c r="AA182" i="1"/>
  <c r="AB182" i="1"/>
  <c r="Z184" i="1"/>
  <c r="AA184" i="1"/>
  <c r="AB184" i="1"/>
  <c r="Z186" i="1"/>
  <c r="AA186" i="1"/>
  <c r="AB186" i="1"/>
  <c r="Z188" i="1"/>
  <c r="AA188" i="1"/>
  <c r="AB188" i="1"/>
  <c r="Z190" i="1"/>
  <c r="AA190" i="1"/>
  <c r="AB190" i="1"/>
  <c r="Z192" i="1"/>
  <c r="AA192" i="1"/>
  <c r="AB192" i="1"/>
  <c r="Z194" i="1"/>
  <c r="AA194" i="1"/>
  <c r="AB194" i="1"/>
  <c r="Z196" i="1"/>
  <c r="AA196" i="1"/>
  <c r="AB196" i="1"/>
  <c r="Z198" i="1"/>
  <c r="AA198" i="1"/>
  <c r="AB198" i="1"/>
  <c r="Z200" i="1"/>
  <c r="AA200" i="1"/>
  <c r="AB200" i="1"/>
  <c r="Z202" i="1"/>
  <c r="AA202" i="1"/>
  <c r="AB202" i="1"/>
  <c r="Z204" i="1"/>
  <c r="AA204" i="1"/>
  <c r="AB204" i="1"/>
  <c r="Z206" i="1"/>
  <c r="AA206" i="1"/>
  <c r="AB206" i="1"/>
  <c r="Z208" i="1"/>
  <c r="AA208" i="1"/>
  <c r="AB208" i="1"/>
  <c r="Z210" i="1"/>
  <c r="AA210" i="1"/>
  <c r="AB210" i="1"/>
  <c r="Z212" i="1"/>
  <c r="AA212" i="1"/>
  <c r="AB212" i="1"/>
  <c r="Z214" i="1"/>
  <c r="AA214" i="1"/>
  <c r="AB214" i="1"/>
  <c r="Z216" i="1"/>
  <c r="AA216" i="1"/>
  <c r="AB216" i="1"/>
  <c r="Z218" i="1"/>
  <c r="AA218" i="1"/>
  <c r="AB218" i="1"/>
  <c r="Z220" i="1"/>
  <c r="AA220" i="1"/>
  <c r="AB220" i="1"/>
  <c r="Z222" i="1"/>
  <c r="AA222" i="1"/>
  <c r="AB222" i="1"/>
  <c r="Z224" i="1"/>
  <c r="AA224" i="1"/>
  <c r="AB224" i="1"/>
  <c r="Z226" i="1"/>
  <c r="AA226" i="1"/>
  <c r="AB226" i="1"/>
  <c r="Z228" i="1"/>
  <c r="AA228" i="1"/>
  <c r="AB228" i="1"/>
  <c r="Z230" i="1"/>
  <c r="AA230" i="1"/>
  <c r="AB230" i="1"/>
  <c r="Z232" i="1"/>
  <c r="AA232" i="1"/>
  <c r="AB232" i="1"/>
  <c r="Z234" i="1"/>
  <c r="AA234" i="1"/>
  <c r="AB234" i="1"/>
  <c r="Z236" i="1"/>
  <c r="AA236" i="1"/>
  <c r="AB236" i="1"/>
  <c r="Z238" i="1"/>
  <c r="AA238" i="1"/>
  <c r="AB238" i="1"/>
  <c r="Z240" i="1"/>
  <c r="AA240" i="1"/>
  <c r="AB240" i="1"/>
  <c r="Z242" i="1"/>
  <c r="AA242" i="1"/>
  <c r="AB242" i="1"/>
  <c r="Z244" i="1"/>
  <c r="AA244" i="1"/>
  <c r="AB244" i="1"/>
  <c r="Z246" i="1"/>
  <c r="AA246" i="1"/>
  <c r="AB246" i="1"/>
  <c r="Z248" i="1"/>
  <c r="AA248" i="1"/>
  <c r="AB248" i="1"/>
  <c r="Z250" i="1"/>
  <c r="AA250" i="1"/>
  <c r="AB250" i="1"/>
  <c r="Z252" i="1"/>
  <c r="AA252" i="1"/>
  <c r="AB252" i="1"/>
  <c r="Z254" i="1"/>
  <c r="AA254" i="1"/>
  <c r="AB254" i="1"/>
  <c r="Z256" i="1"/>
  <c r="AA256" i="1"/>
  <c r="AB256" i="1"/>
  <c r="Z258" i="1"/>
  <c r="AA258" i="1"/>
  <c r="AB258" i="1"/>
  <c r="Z260" i="1"/>
  <c r="AA260" i="1"/>
  <c r="AB260" i="1"/>
  <c r="Z262" i="1"/>
  <c r="AA262" i="1"/>
  <c r="AB262" i="1"/>
  <c r="Z264" i="1"/>
  <c r="AA264" i="1"/>
  <c r="AB264" i="1"/>
  <c r="Z266" i="1"/>
  <c r="AA266" i="1"/>
  <c r="AB266" i="1"/>
  <c r="Z268" i="1"/>
  <c r="AA268" i="1"/>
  <c r="AB268" i="1"/>
  <c r="Z270" i="1"/>
  <c r="AA270" i="1"/>
  <c r="AB270" i="1"/>
  <c r="Z272" i="1"/>
  <c r="AA272" i="1"/>
  <c r="AB272" i="1"/>
  <c r="Z274" i="1"/>
  <c r="AA274" i="1"/>
  <c r="AB274" i="1"/>
  <c r="Z276" i="1"/>
  <c r="AA276" i="1"/>
  <c r="AB276" i="1"/>
  <c r="Z278" i="1"/>
  <c r="AA278" i="1"/>
  <c r="AB278" i="1"/>
  <c r="Z280" i="1"/>
  <c r="AA280" i="1"/>
  <c r="AB280" i="1"/>
  <c r="Z282" i="1"/>
  <c r="AA282" i="1"/>
  <c r="AB282" i="1"/>
  <c r="Z284" i="1"/>
  <c r="AA284" i="1"/>
  <c r="AB284" i="1"/>
  <c r="BA4" i="1"/>
  <c r="BB4" i="1"/>
  <c r="BC4" i="1"/>
  <c r="BA6" i="1"/>
  <c r="BB6" i="1"/>
  <c r="BC6" i="1"/>
  <c r="BA8" i="1"/>
  <c r="BB8" i="1"/>
  <c r="BC8" i="1"/>
  <c r="BA10" i="1"/>
  <c r="BB10" i="1"/>
  <c r="BC10" i="1"/>
  <c r="BA12" i="1"/>
  <c r="BB12" i="1"/>
  <c r="BC12" i="1"/>
  <c r="BA14" i="1"/>
  <c r="BB14" i="1"/>
  <c r="BC14" i="1"/>
  <c r="BA16" i="1"/>
  <c r="BB16" i="1"/>
  <c r="BC16" i="1"/>
  <c r="BA18" i="1"/>
  <c r="BB18" i="1"/>
  <c r="BC18" i="1"/>
  <c r="BA20" i="1"/>
  <c r="BB20" i="1"/>
  <c r="BC20" i="1"/>
  <c r="BA22" i="1"/>
  <c r="BB22" i="1"/>
  <c r="BC22" i="1"/>
  <c r="BA24" i="1"/>
  <c r="BB24" i="1"/>
  <c r="BC24" i="1"/>
  <c r="BA26" i="1"/>
  <c r="BB26" i="1"/>
  <c r="BC26" i="1"/>
  <c r="BA28" i="1"/>
  <c r="BB28" i="1"/>
  <c r="BC28" i="1"/>
  <c r="BA30" i="1"/>
  <c r="BB30" i="1"/>
  <c r="BC30" i="1"/>
  <c r="BA32" i="1"/>
  <c r="BB32" i="1"/>
  <c r="BC32" i="1"/>
  <c r="BA34" i="1"/>
  <c r="BB34" i="1"/>
  <c r="BC34" i="1"/>
  <c r="BA36" i="1"/>
  <c r="BB36" i="1"/>
  <c r="BC36" i="1"/>
  <c r="BA38" i="1"/>
  <c r="BB38" i="1"/>
  <c r="BC38" i="1"/>
  <c r="BA40" i="1"/>
  <c r="BB40" i="1"/>
  <c r="BC40" i="1"/>
  <c r="BA42" i="1"/>
  <c r="BB42" i="1"/>
  <c r="BC42" i="1"/>
  <c r="BA44" i="1"/>
  <c r="BB44" i="1"/>
  <c r="BC44" i="1"/>
  <c r="BA46" i="1"/>
  <c r="BB46" i="1"/>
  <c r="BC46" i="1"/>
  <c r="BA48" i="1"/>
  <c r="BB48" i="1"/>
  <c r="BC48" i="1"/>
  <c r="BA50" i="1"/>
  <c r="BB50" i="1"/>
  <c r="BC50" i="1"/>
  <c r="BA52" i="1"/>
  <c r="BB52" i="1"/>
  <c r="BC52" i="1"/>
  <c r="BA54" i="1"/>
  <c r="BB54" i="1"/>
  <c r="BC54" i="1"/>
  <c r="BA56" i="1"/>
  <c r="BB56" i="1"/>
  <c r="BC56" i="1"/>
  <c r="BA58" i="1"/>
  <c r="BB58" i="1"/>
  <c r="BC58" i="1"/>
  <c r="BA60" i="1"/>
  <c r="BB60" i="1"/>
  <c r="BC60" i="1"/>
  <c r="BA62" i="1"/>
  <c r="BB62" i="1"/>
  <c r="BC62" i="1"/>
  <c r="BA64" i="1"/>
  <c r="BB64" i="1"/>
  <c r="BC64" i="1"/>
  <c r="BA66" i="1"/>
  <c r="BB66" i="1"/>
  <c r="BC66" i="1"/>
  <c r="BA68" i="1"/>
  <c r="BB68" i="1"/>
  <c r="BC68" i="1"/>
  <c r="BA70" i="1"/>
  <c r="BB70" i="1"/>
  <c r="BC70" i="1"/>
  <c r="BA72" i="1"/>
  <c r="BB72" i="1"/>
  <c r="BC72" i="1"/>
  <c r="BA74" i="1"/>
  <c r="BB74" i="1"/>
  <c r="BC74" i="1"/>
  <c r="BA76" i="1"/>
  <c r="BB76" i="1"/>
  <c r="BC76" i="1"/>
  <c r="BA78" i="1"/>
  <c r="BB78" i="1"/>
  <c r="BC78" i="1"/>
  <c r="BA80" i="1"/>
  <c r="BB80" i="1"/>
  <c r="BC80" i="1"/>
  <c r="BA82" i="1"/>
  <c r="BB82" i="1"/>
  <c r="BC82" i="1"/>
  <c r="BA84" i="1"/>
  <c r="BB84" i="1"/>
  <c r="BC84" i="1"/>
  <c r="BA86" i="1"/>
  <c r="BB86" i="1"/>
  <c r="BC86" i="1"/>
  <c r="BA88" i="1"/>
  <c r="BB88" i="1"/>
  <c r="BC88" i="1"/>
  <c r="BA90" i="1"/>
  <c r="BB90" i="1"/>
  <c r="BC90" i="1"/>
  <c r="BA92" i="1"/>
  <c r="BB92" i="1"/>
  <c r="BC92" i="1"/>
  <c r="BA94" i="1"/>
  <c r="BB94" i="1"/>
  <c r="BC94" i="1"/>
  <c r="BA96" i="1"/>
  <c r="BB96" i="1"/>
  <c r="BC96" i="1"/>
  <c r="BA98" i="1"/>
  <c r="BB98" i="1"/>
  <c r="BC98" i="1"/>
  <c r="BA100" i="1"/>
  <c r="BB100" i="1"/>
  <c r="BC100" i="1"/>
  <c r="BA102" i="1"/>
  <c r="BB102" i="1"/>
  <c r="BC102" i="1"/>
  <c r="BA104" i="1"/>
  <c r="BB104" i="1"/>
  <c r="BC104" i="1"/>
  <c r="BA106" i="1"/>
  <c r="BB106" i="1"/>
  <c r="BC106" i="1"/>
  <c r="BA108" i="1"/>
  <c r="BB108" i="1"/>
  <c r="BC108" i="1"/>
  <c r="BA110" i="1"/>
  <c r="BB110" i="1"/>
  <c r="BC110" i="1"/>
  <c r="BA112" i="1"/>
  <c r="BB112" i="1"/>
  <c r="BC112" i="1"/>
  <c r="BA114" i="1"/>
  <c r="BB114" i="1"/>
  <c r="BC114" i="1"/>
  <c r="BA116" i="1"/>
  <c r="BB116" i="1"/>
  <c r="BC116" i="1"/>
  <c r="BA118" i="1"/>
  <c r="BB118" i="1"/>
  <c r="BC118" i="1"/>
  <c r="BA120" i="1"/>
  <c r="BB120" i="1"/>
  <c r="BC120" i="1"/>
  <c r="BA122" i="1"/>
  <c r="BB122" i="1"/>
  <c r="BC122" i="1"/>
  <c r="BA124" i="1"/>
  <c r="BB124" i="1"/>
  <c r="BC124" i="1"/>
  <c r="BA126" i="1"/>
  <c r="BB126" i="1"/>
  <c r="BC126" i="1"/>
  <c r="BA128" i="1"/>
  <c r="BB128" i="1"/>
  <c r="BC128" i="1"/>
  <c r="BA130" i="1"/>
  <c r="BB130" i="1"/>
  <c r="BC130" i="1"/>
  <c r="BA132" i="1"/>
  <c r="BB132" i="1"/>
  <c r="BC132" i="1"/>
  <c r="BA134" i="1"/>
  <c r="BB134" i="1"/>
  <c r="BC134" i="1"/>
  <c r="BA136" i="1"/>
  <c r="BB136" i="1"/>
  <c r="BC136" i="1"/>
  <c r="BA138" i="1"/>
  <c r="BB138" i="1"/>
  <c r="BC138" i="1"/>
  <c r="BA140" i="1"/>
  <c r="BB140" i="1"/>
  <c r="BC140" i="1"/>
  <c r="BA142" i="1"/>
  <c r="BB142" i="1"/>
  <c r="BC142" i="1"/>
  <c r="BA144" i="1"/>
  <c r="BB144" i="1"/>
  <c r="BC144" i="1"/>
  <c r="BA146" i="1"/>
  <c r="BB146" i="1"/>
  <c r="BC146" i="1"/>
  <c r="BA148" i="1"/>
  <c r="BB148" i="1"/>
  <c r="BC148" i="1"/>
  <c r="BA150" i="1"/>
  <c r="BB150" i="1"/>
  <c r="BC150" i="1"/>
  <c r="BA152" i="1"/>
  <c r="BB152" i="1"/>
  <c r="BC152" i="1"/>
  <c r="BA154" i="1"/>
  <c r="BB154" i="1"/>
  <c r="BC154" i="1"/>
  <c r="BA156" i="1"/>
  <c r="BB156" i="1"/>
  <c r="BC156" i="1"/>
  <c r="BA158" i="1"/>
  <c r="BB158" i="1"/>
  <c r="BC158" i="1"/>
  <c r="BA160" i="1"/>
  <c r="BB160" i="1"/>
  <c r="BC160" i="1"/>
  <c r="BA162" i="1"/>
  <c r="BB162" i="1"/>
  <c r="BC162" i="1"/>
  <c r="BA164" i="1"/>
  <c r="BB164" i="1"/>
  <c r="BC164" i="1"/>
  <c r="BA166" i="1"/>
  <c r="BB166" i="1"/>
  <c r="BC166" i="1"/>
  <c r="BA168" i="1"/>
  <c r="BB168" i="1"/>
  <c r="BC168" i="1"/>
  <c r="BA170" i="1"/>
  <c r="BB170" i="1"/>
  <c r="BC170" i="1"/>
  <c r="BA172" i="1"/>
  <c r="BB172" i="1"/>
  <c r="BC172" i="1"/>
  <c r="BA174" i="1"/>
  <c r="BB174" i="1"/>
  <c r="BC174" i="1"/>
  <c r="BA176" i="1"/>
  <c r="BB176" i="1"/>
  <c r="BC176" i="1"/>
  <c r="BA178" i="1"/>
  <c r="BB178" i="1"/>
  <c r="BC178" i="1"/>
  <c r="BA180" i="1"/>
  <c r="BB180" i="1"/>
  <c r="BC180" i="1"/>
  <c r="BA182" i="1"/>
  <c r="BB182" i="1"/>
  <c r="BC182" i="1"/>
  <c r="BA184" i="1"/>
  <c r="BB184" i="1"/>
  <c r="BC184" i="1"/>
  <c r="BA186" i="1"/>
  <c r="BB186" i="1"/>
  <c r="BC186" i="1"/>
  <c r="BA188" i="1"/>
  <c r="BB188" i="1"/>
  <c r="BC188" i="1"/>
  <c r="BA190" i="1"/>
  <c r="BB190" i="1"/>
  <c r="BC190" i="1"/>
  <c r="BA192" i="1"/>
  <c r="BB192" i="1"/>
  <c r="BC192" i="1"/>
  <c r="BA194" i="1"/>
  <c r="BB194" i="1"/>
  <c r="BC194" i="1"/>
  <c r="BA196" i="1"/>
  <c r="BB196" i="1"/>
  <c r="BC196" i="1"/>
  <c r="BA198" i="1"/>
  <c r="BB198" i="1"/>
  <c r="BC198" i="1"/>
  <c r="BA200" i="1"/>
  <c r="BB200" i="1"/>
  <c r="BC200" i="1"/>
  <c r="BA202" i="1"/>
  <c r="BB202" i="1"/>
  <c r="BC202" i="1"/>
  <c r="BA204" i="1"/>
  <c r="BB204" i="1"/>
  <c r="BC204" i="1"/>
  <c r="BA206" i="1"/>
  <c r="BB206" i="1"/>
  <c r="BC206" i="1"/>
  <c r="BA208" i="1"/>
  <c r="BB208" i="1"/>
  <c r="BC208" i="1"/>
  <c r="BA210" i="1"/>
  <c r="BB210" i="1"/>
  <c r="BC210" i="1"/>
  <c r="BA212" i="1"/>
  <c r="BB212" i="1"/>
  <c r="BC212" i="1"/>
  <c r="BA214" i="1"/>
  <c r="BB214" i="1"/>
  <c r="BC214" i="1"/>
  <c r="BA216" i="1"/>
  <c r="BB216" i="1"/>
  <c r="BC216" i="1"/>
  <c r="BA218" i="1"/>
  <c r="BB218" i="1"/>
  <c r="BC218" i="1"/>
  <c r="BA220" i="1"/>
  <c r="BB220" i="1"/>
  <c r="BC220" i="1"/>
  <c r="BA222" i="1"/>
  <c r="BB222" i="1"/>
  <c r="BC222" i="1"/>
  <c r="BA224" i="1"/>
  <c r="BB224" i="1"/>
  <c r="BC224" i="1"/>
  <c r="BA226" i="1"/>
  <c r="BB226" i="1"/>
  <c r="BC226" i="1"/>
  <c r="BA228" i="1"/>
  <c r="BB228" i="1"/>
  <c r="BC228" i="1"/>
  <c r="BA230" i="1"/>
  <c r="BB230" i="1"/>
  <c r="BC230" i="1"/>
  <c r="BA232" i="1"/>
  <c r="BB232" i="1"/>
  <c r="BC232" i="1"/>
  <c r="BA234" i="1"/>
  <c r="BB234" i="1"/>
  <c r="BC234" i="1"/>
  <c r="BA236" i="1"/>
  <c r="BB236" i="1"/>
  <c r="BC236" i="1"/>
  <c r="BA238" i="1"/>
  <c r="BB238" i="1"/>
  <c r="BC238" i="1"/>
  <c r="BA240" i="1"/>
  <c r="BB240" i="1"/>
  <c r="BC240" i="1"/>
  <c r="BA242" i="1"/>
  <c r="BB242" i="1"/>
  <c r="BC242" i="1"/>
  <c r="BA244" i="1"/>
  <c r="BB244" i="1"/>
  <c r="BC244" i="1"/>
  <c r="BA246" i="1"/>
  <c r="BB246" i="1"/>
  <c r="BC246" i="1"/>
  <c r="BA248" i="1"/>
  <c r="BB248" i="1"/>
  <c r="BC248" i="1"/>
  <c r="BA250" i="1"/>
  <c r="BB250" i="1"/>
  <c r="BC250" i="1"/>
  <c r="BA252" i="1"/>
  <c r="BB252" i="1"/>
  <c r="BC252" i="1"/>
  <c r="BA254" i="1"/>
  <c r="BB254" i="1"/>
  <c r="BC254" i="1"/>
  <c r="BA256" i="1"/>
  <c r="BB256" i="1"/>
  <c r="BC256" i="1"/>
  <c r="BA258" i="1"/>
  <c r="BB258" i="1"/>
  <c r="BC258" i="1"/>
  <c r="BA260" i="1"/>
  <c r="BB260" i="1"/>
  <c r="BC260" i="1"/>
  <c r="BA262" i="1"/>
  <c r="BB262" i="1"/>
  <c r="BC262" i="1"/>
  <c r="BA264" i="1"/>
  <c r="BB264" i="1"/>
  <c r="BC264" i="1"/>
  <c r="BA266" i="1"/>
  <c r="BB266" i="1"/>
  <c r="BC266" i="1"/>
  <c r="BA268" i="1"/>
  <c r="BB268" i="1"/>
  <c r="BC268" i="1"/>
  <c r="BA270" i="1"/>
  <c r="BB270" i="1"/>
  <c r="BC270" i="1"/>
  <c r="BA272" i="1"/>
  <c r="BB272" i="1"/>
  <c r="BC272" i="1"/>
  <c r="BA274" i="1"/>
  <c r="BB274" i="1"/>
  <c r="BC274" i="1"/>
  <c r="BA276" i="1"/>
  <c r="BB276" i="1"/>
  <c r="BC276" i="1"/>
  <c r="BA278" i="1"/>
  <c r="BB278" i="1"/>
  <c r="BC278" i="1"/>
  <c r="BA280" i="1"/>
  <c r="BB280" i="1"/>
  <c r="BC280" i="1"/>
  <c r="BA282" i="1"/>
  <c r="BB282" i="1"/>
  <c r="BC282" i="1"/>
  <c r="BA284" i="1"/>
  <c r="BB284" i="1"/>
  <c r="BC284" i="1"/>
  <c r="CB4" i="1"/>
  <c r="CC4" i="1"/>
  <c r="CD4" i="1"/>
  <c r="CB6" i="1"/>
  <c r="CC6" i="1"/>
  <c r="CD6" i="1"/>
  <c r="CB8" i="1"/>
  <c r="CC8" i="1"/>
  <c r="CD8" i="1"/>
  <c r="CB10" i="1"/>
  <c r="CC10" i="1"/>
  <c r="CD10" i="1"/>
  <c r="CB12" i="1"/>
  <c r="CC12" i="1"/>
  <c r="CD12" i="1"/>
  <c r="CB14" i="1"/>
  <c r="CC14" i="1"/>
  <c r="CD14" i="1"/>
  <c r="CB16" i="1"/>
  <c r="CC16" i="1"/>
  <c r="CD16" i="1"/>
  <c r="CB18" i="1"/>
  <c r="CC18" i="1"/>
  <c r="CD18" i="1"/>
  <c r="CB20" i="1"/>
  <c r="CC20" i="1"/>
  <c r="CD20" i="1"/>
  <c r="CB22" i="1"/>
  <c r="CC22" i="1"/>
  <c r="CD22" i="1"/>
  <c r="CB24" i="1"/>
  <c r="CC24" i="1"/>
  <c r="CD24" i="1"/>
  <c r="CB26" i="1"/>
  <c r="CC26" i="1"/>
  <c r="CD26" i="1"/>
  <c r="CB28" i="1"/>
  <c r="CC28" i="1"/>
  <c r="CD28" i="1"/>
  <c r="CB30" i="1"/>
  <c r="CC30" i="1"/>
  <c r="CD30" i="1"/>
  <c r="CB32" i="1"/>
  <c r="CC32" i="1"/>
  <c r="CD32" i="1"/>
  <c r="CB34" i="1"/>
  <c r="CC34" i="1"/>
  <c r="CD34" i="1"/>
  <c r="CB36" i="1"/>
  <c r="CC36" i="1"/>
  <c r="CD36" i="1"/>
  <c r="CB38" i="1"/>
  <c r="CC38" i="1"/>
  <c r="CD38" i="1"/>
  <c r="CB40" i="1"/>
  <c r="CC40" i="1"/>
  <c r="CD40" i="1"/>
  <c r="CB42" i="1"/>
  <c r="CC42" i="1"/>
  <c r="CD42" i="1"/>
  <c r="CB44" i="1"/>
  <c r="CC44" i="1"/>
  <c r="CD44" i="1"/>
  <c r="CB46" i="1"/>
  <c r="CC46" i="1"/>
  <c r="CD46" i="1"/>
  <c r="CB48" i="1"/>
  <c r="CC48" i="1"/>
  <c r="CD48" i="1"/>
  <c r="CB50" i="1"/>
  <c r="CC50" i="1"/>
  <c r="CD50" i="1"/>
  <c r="CB52" i="1"/>
  <c r="CC52" i="1"/>
  <c r="CD52" i="1"/>
  <c r="CB54" i="1"/>
  <c r="CC54" i="1"/>
  <c r="CD54" i="1"/>
  <c r="CB56" i="1"/>
  <c r="CC56" i="1"/>
  <c r="CD56" i="1"/>
  <c r="CB58" i="1"/>
  <c r="CC58" i="1"/>
  <c r="CD58" i="1"/>
  <c r="CB60" i="1"/>
  <c r="CC60" i="1"/>
  <c r="CD60" i="1"/>
  <c r="CB62" i="1"/>
  <c r="CC62" i="1"/>
  <c r="CD62" i="1"/>
  <c r="CB64" i="1"/>
  <c r="CC64" i="1"/>
  <c r="CD64" i="1"/>
  <c r="CB66" i="1"/>
  <c r="CC66" i="1"/>
  <c r="CD66" i="1"/>
  <c r="CB68" i="1"/>
  <c r="CC68" i="1"/>
  <c r="CD68" i="1"/>
  <c r="CB70" i="1"/>
  <c r="CC70" i="1"/>
  <c r="CD70" i="1"/>
  <c r="CB72" i="1"/>
  <c r="CC72" i="1"/>
  <c r="CD72" i="1"/>
  <c r="CB74" i="1"/>
  <c r="CC74" i="1"/>
  <c r="CD74" i="1"/>
  <c r="CB76" i="1"/>
  <c r="CC76" i="1"/>
  <c r="CD76" i="1"/>
  <c r="CB78" i="1"/>
  <c r="CC78" i="1"/>
  <c r="CD78" i="1"/>
  <c r="CB80" i="1"/>
  <c r="CC80" i="1"/>
  <c r="CD80" i="1"/>
  <c r="CB82" i="1"/>
  <c r="CC82" i="1"/>
  <c r="CD82" i="1"/>
  <c r="CB84" i="1"/>
  <c r="CC84" i="1"/>
  <c r="CD84" i="1"/>
  <c r="CB86" i="1"/>
  <c r="CC86" i="1"/>
  <c r="CD86" i="1"/>
  <c r="CB88" i="1"/>
  <c r="CC88" i="1"/>
  <c r="CD88" i="1"/>
  <c r="CB90" i="1"/>
  <c r="CC90" i="1"/>
  <c r="CD90" i="1"/>
  <c r="CB92" i="1"/>
  <c r="CC92" i="1"/>
  <c r="CD92" i="1"/>
  <c r="CB94" i="1"/>
  <c r="CC94" i="1"/>
  <c r="CD94" i="1"/>
  <c r="CB96" i="1"/>
  <c r="CC96" i="1"/>
  <c r="CD96" i="1"/>
  <c r="CB98" i="1"/>
  <c r="CC98" i="1"/>
  <c r="CD98" i="1"/>
  <c r="CB100" i="1"/>
  <c r="CC100" i="1"/>
  <c r="CD100" i="1"/>
  <c r="CB102" i="1"/>
  <c r="CC102" i="1"/>
  <c r="CD102" i="1"/>
  <c r="CB104" i="1"/>
  <c r="CC104" i="1"/>
  <c r="CD104" i="1"/>
  <c r="CB106" i="1"/>
  <c r="CC106" i="1"/>
  <c r="CD106" i="1"/>
  <c r="CB108" i="1"/>
  <c r="CC108" i="1"/>
  <c r="CD108" i="1"/>
  <c r="CB110" i="1"/>
  <c r="CC110" i="1"/>
  <c r="CD110" i="1"/>
  <c r="CB112" i="1"/>
  <c r="CC112" i="1"/>
  <c r="CD112" i="1"/>
  <c r="CB114" i="1"/>
  <c r="CC114" i="1"/>
  <c r="CD114" i="1"/>
  <c r="CB116" i="1"/>
  <c r="CC116" i="1"/>
  <c r="CD116" i="1"/>
  <c r="CB118" i="1"/>
  <c r="CC118" i="1"/>
  <c r="CD118" i="1"/>
  <c r="CB120" i="1"/>
  <c r="CC120" i="1"/>
  <c r="CD120" i="1"/>
  <c r="CB122" i="1"/>
  <c r="CC122" i="1"/>
  <c r="CD122" i="1"/>
  <c r="CB124" i="1"/>
  <c r="CC124" i="1"/>
  <c r="CD124" i="1"/>
  <c r="CB126" i="1"/>
  <c r="CC126" i="1"/>
  <c r="CD126" i="1"/>
  <c r="CB128" i="1"/>
  <c r="CC128" i="1"/>
  <c r="CD128" i="1"/>
  <c r="CB130" i="1"/>
  <c r="CC130" i="1"/>
  <c r="CD130" i="1"/>
  <c r="CB132" i="1"/>
  <c r="CC132" i="1"/>
  <c r="CD132" i="1"/>
  <c r="CB134" i="1"/>
  <c r="CC134" i="1"/>
  <c r="CD134" i="1"/>
  <c r="CB136" i="1"/>
  <c r="CC136" i="1"/>
  <c r="CD136" i="1"/>
  <c r="CB138" i="1"/>
  <c r="CC138" i="1"/>
  <c r="CD138" i="1"/>
  <c r="CB140" i="1"/>
  <c r="CC140" i="1"/>
  <c r="CD140" i="1"/>
  <c r="CB142" i="1"/>
  <c r="CC142" i="1"/>
  <c r="CD142" i="1"/>
  <c r="CB144" i="1"/>
  <c r="CC144" i="1"/>
  <c r="CD144" i="1"/>
  <c r="CB146" i="1"/>
  <c r="CC146" i="1"/>
  <c r="CD146" i="1"/>
  <c r="CB148" i="1"/>
  <c r="CC148" i="1"/>
  <c r="CD148" i="1"/>
  <c r="CB150" i="1"/>
  <c r="CC150" i="1"/>
  <c r="CD150" i="1"/>
  <c r="CB152" i="1"/>
  <c r="CC152" i="1"/>
  <c r="CD152" i="1"/>
  <c r="CB154" i="1"/>
  <c r="CC154" i="1"/>
  <c r="CD154" i="1"/>
  <c r="CB156" i="1"/>
  <c r="CC156" i="1"/>
  <c r="CD156" i="1"/>
  <c r="CB158" i="1"/>
  <c r="CC158" i="1"/>
  <c r="CD158" i="1"/>
  <c r="CB160" i="1"/>
  <c r="CC160" i="1"/>
  <c r="CD160" i="1"/>
  <c r="CB162" i="1"/>
  <c r="CC162" i="1"/>
  <c r="CD162" i="1"/>
  <c r="CB164" i="1"/>
  <c r="CC164" i="1"/>
  <c r="CD164" i="1"/>
  <c r="CB166" i="1"/>
  <c r="CC166" i="1"/>
  <c r="CD166" i="1"/>
  <c r="CB168" i="1"/>
  <c r="CC168" i="1"/>
  <c r="CD168" i="1"/>
  <c r="CB170" i="1"/>
  <c r="CC170" i="1"/>
  <c r="CD170" i="1"/>
  <c r="CB172" i="1"/>
  <c r="CC172" i="1"/>
  <c r="CD172" i="1"/>
  <c r="CB174" i="1"/>
  <c r="CC174" i="1"/>
  <c r="CD174" i="1"/>
  <c r="CB176" i="1"/>
  <c r="CC176" i="1"/>
  <c r="CD176" i="1"/>
  <c r="CB178" i="1"/>
  <c r="CC178" i="1"/>
  <c r="CD178" i="1"/>
  <c r="CB180" i="1"/>
  <c r="CC180" i="1"/>
  <c r="CD180" i="1"/>
  <c r="CB182" i="1"/>
  <c r="CC182" i="1"/>
  <c r="CD182" i="1"/>
  <c r="CB184" i="1"/>
  <c r="CC184" i="1"/>
  <c r="CD184" i="1"/>
  <c r="CB186" i="1"/>
  <c r="CC186" i="1"/>
  <c r="CD186" i="1"/>
  <c r="CB188" i="1"/>
  <c r="CC188" i="1"/>
  <c r="CD188" i="1"/>
  <c r="CB190" i="1"/>
  <c r="CC190" i="1"/>
  <c r="CD190" i="1"/>
  <c r="CB192" i="1"/>
  <c r="CC192" i="1"/>
  <c r="CD192" i="1"/>
  <c r="CB194" i="1"/>
  <c r="CC194" i="1"/>
  <c r="CD194" i="1"/>
  <c r="CB196" i="1"/>
  <c r="CC196" i="1"/>
  <c r="CD196" i="1"/>
  <c r="CB198" i="1"/>
  <c r="CC198" i="1"/>
  <c r="CD198" i="1"/>
  <c r="CB200" i="1"/>
  <c r="CC200" i="1"/>
  <c r="CD200" i="1"/>
  <c r="CB202" i="1"/>
  <c r="CC202" i="1"/>
  <c r="CD202" i="1"/>
  <c r="CB204" i="1"/>
  <c r="CC204" i="1"/>
  <c r="CD204" i="1"/>
  <c r="CB206" i="1"/>
  <c r="CC206" i="1"/>
  <c r="CD206" i="1"/>
  <c r="CB208" i="1"/>
  <c r="CC208" i="1"/>
  <c r="CD208" i="1"/>
  <c r="CB210" i="1"/>
  <c r="CC210" i="1"/>
  <c r="CD210" i="1"/>
  <c r="CB212" i="1"/>
  <c r="CC212" i="1"/>
  <c r="CD212" i="1"/>
  <c r="CB214" i="1"/>
  <c r="CC214" i="1"/>
  <c r="CD214" i="1"/>
  <c r="CB216" i="1"/>
  <c r="CC216" i="1"/>
  <c r="CD216" i="1"/>
  <c r="CB218" i="1"/>
  <c r="CC218" i="1"/>
  <c r="CD218" i="1"/>
  <c r="CB220" i="1"/>
  <c r="CC220" i="1"/>
  <c r="CD220" i="1"/>
  <c r="CB222" i="1"/>
  <c r="CC222" i="1"/>
  <c r="CD222" i="1"/>
  <c r="CB224" i="1"/>
  <c r="CC224" i="1"/>
  <c r="CD224" i="1"/>
  <c r="CB226" i="1"/>
  <c r="CC226" i="1"/>
  <c r="CD226" i="1"/>
  <c r="CB228" i="1"/>
  <c r="CC228" i="1"/>
  <c r="CD228" i="1"/>
  <c r="CB230" i="1"/>
  <c r="CC230" i="1"/>
  <c r="CD230" i="1"/>
  <c r="CB232" i="1"/>
  <c r="CC232" i="1"/>
  <c r="CD232" i="1"/>
  <c r="CB234" i="1"/>
  <c r="CC234" i="1"/>
  <c r="CD234" i="1"/>
  <c r="CB236" i="1"/>
  <c r="CC236" i="1"/>
  <c r="CD236" i="1"/>
  <c r="CB238" i="1"/>
  <c r="CC238" i="1"/>
  <c r="CD238" i="1"/>
  <c r="CB240" i="1"/>
  <c r="CC240" i="1"/>
  <c r="CD240" i="1"/>
  <c r="CB242" i="1"/>
  <c r="CC242" i="1"/>
  <c r="CD242" i="1"/>
  <c r="CB244" i="1"/>
  <c r="CC244" i="1"/>
  <c r="CD244" i="1"/>
  <c r="CB246" i="1"/>
  <c r="CC246" i="1"/>
  <c r="CD246" i="1"/>
  <c r="CB248" i="1"/>
  <c r="CC248" i="1"/>
  <c r="CD248" i="1"/>
  <c r="CB250" i="1"/>
  <c r="CC250" i="1"/>
  <c r="CD250" i="1"/>
  <c r="CB252" i="1"/>
  <c r="CC252" i="1"/>
  <c r="CD252" i="1"/>
  <c r="CB254" i="1"/>
  <c r="CC254" i="1"/>
  <c r="CD254" i="1"/>
  <c r="CB256" i="1"/>
  <c r="CC256" i="1"/>
  <c r="CD256" i="1"/>
  <c r="CB258" i="1"/>
  <c r="CC258" i="1"/>
  <c r="CD258" i="1"/>
  <c r="CB260" i="1"/>
  <c r="CC260" i="1"/>
  <c r="CD260" i="1"/>
  <c r="CB262" i="1"/>
  <c r="CC262" i="1"/>
  <c r="CD262" i="1"/>
  <c r="CB264" i="1"/>
  <c r="CC264" i="1"/>
  <c r="CD264" i="1"/>
  <c r="CB266" i="1"/>
  <c r="CC266" i="1"/>
  <c r="CD266" i="1"/>
  <c r="CB268" i="1"/>
  <c r="CC268" i="1"/>
  <c r="CD268" i="1"/>
  <c r="CB270" i="1"/>
  <c r="CC270" i="1"/>
  <c r="CD270" i="1"/>
  <c r="CB272" i="1"/>
  <c r="CC272" i="1"/>
  <c r="CD272" i="1"/>
  <c r="CB274" i="1"/>
  <c r="CC274" i="1"/>
  <c r="CD274" i="1"/>
  <c r="CB276" i="1"/>
  <c r="CC276" i="1"/>
  <c r="CD276" i="1"/>
  <c r="CB278" i="1"/>
  <c r="CC278" i="1"/>
  <c r="CD278" i="1"/>
  <c r="CB280" i="1"/>
  <c r="CC280" i="1"/>
  <c r="CD280" i="1"/>
  <c r="CB282" i="1"/>
  <c r="CC282" i="1"/>
  <c r="CD282" i="1"/>
  <c r="CB284" i="1"/>
  <c r="CC284" i="1"/>
  <c r="CD284" i="1"/>
  <c r="CG4" i="1"/>
  <c r="CH4" i="1"/>
  <c r="CI4" i="1"/>
  <c r="CJ4" i="1"/>
  <c r="CK4" i="1"/>
  <c r="CG6" i="1"/>
  <c r="CH6" i="1"/>
  <c r="CI6" i="1"/>
  <c r="CJ6" i="1"/>
  <c r="CK6" i="1"/>
  <c r="CG8" i="1"/>
  <c r="CH8" i="1"/>
  <c r="CI8" i="1"/>
  <c r="CJ8" i="1"/>
  <c r="CK8" i="1"/>
  <c r="CG10" i="1"/>
  <c r="CH10" i="1"/>
  <c r="CI10" i="1"/>
  <c r="CJ10" i="1"/>
  <c r="CK10" i="1"/>
  <c r="CG12" i="1"/>
  <c r="CH12" i="1"/>
  <c r="CI12" i="1"/>
  <c r="CJ12" i="1"/>
  <c r="CK12" i="1"/>
  <c r="CG14" i="1"/>
  <c r="CH14" i="1"/>
  <c r="CI14" i="1"/>
  <c r="CJ14" i="1"/>
  <c r="CK14" i="1"/>
  <c r="CG16" i="1"/>
  <c r="CH16" i="1"/>
  <c r="CI16" i="1"/>
  <c r="CJ16" i="1"/>
  <c r="CK16" i="1"/>
  <c r="CG18" i="1"/>
  <c r="CH18" i="1"/>
  <c r="CI18" i="1"/>
  <c r="CJ18" i="1"/>
  <c r="CK18" i="1"/>
  <c r="CG20" i="1"/>
  <c r="CH20" i="1"/>
  <c r="CI20" i="1"/>
  <c r="CJ20" i="1"/>
  <c r="CK20" i="1"/>
  <c r="CG22" i="1"/>
  <c r="CH22" i="1"/>
  <c r="CI22" i="1"/>
  <c r="CJ22" i="1"/>
  <c r="CK22" i="1"/>
  <c r="CG24" i="1"/>
  <c r="CH24" i="1"/>
  <c r="CI24" i="1"/>
  <c r="CJ24" i="1"/>
  <c r="CK24" i="1"/>
  <c r="CG26" i="1"/>
  <c r="CH26" i="1"/>
  <c r="CI26" i="1"/>
  <c r="CJ26" i="1"/>
  <c r="CK26" i="1"/>
  <c r="CG28" i="1"/>
  <c r="CH28" i="1"/>
  <c r="CI28" i="1"/>
  <c r="CJ28" i="1"/>
  <c r="CK28" i="1"/>
  <c r="CG30" i="1"/>
  <c r="CH30" i="1"/>
  <c r="CI30" i="1"/>
  <c r="CJ30" i="1"/>
  <c r="CK30" i="1"/>
  <c r="CG32" i="1"/>
  <c r="CH32" i="1"/>
  <c r="CI32" i="1"/>
  <c r="CJ32" i="1"/>
  <c r="CK32" i="1"/>
  <c r="CG34" i="1"/>
  <c r="CH34" i="1"/>
  <c r="CI34" i="1"/>
  <c r="CJ34" i="1"/>
  <c r="CK34" i="1"/>
  <c r="CG36" i="1"/>
  <c r="CH36" i="1"/>
  <c r="CI36" i="1"/>
  <c r="CJ36" i="1"/>
  <c r="CK36" i="1"/>
  <c r="CG38" i="1"/>
  <c r="CH38" i="1"/>
  <c r="CI38" i="1"/>
  <c r="CJ38" i="1"/>
  <c r="CK38" i="1"/>
  <c r="CG40" i="1"/>
  <c r="CH40" i="1"/>
  <c r="CI40" i="1"/>
  <c r="CJ40" i="1"/>
  <c r="CK40" i="1"/>
  <c r="CG42" i="1"/>
  <c r="CH42" i="1"/>
  <c r="CI42" i="1"/>
  <c r="CJ42" i="1"/>
  <c r="CK42" i="1"/>
  <c r="CG44" i="1"/>
  <c r="CH44" i="1"/>
  <c r="CI44" i="1"/>
  <c r="CJ44" i="1"/>
  <c r="CK44" i="1"/>
  <c r="CG46" i="1"/>
  <c r="CH46" i="1"/>
  <c r="CI46" i="1"/>
  <c r="CJ46" i="1"/>
  <c r="CK46" i="1"/>
  <c r="CG48" i="1"/>
  <c r="CH48" i="1"/>
  <c r="CI48" i="1"/>
  <c r="CJ48" i="1"/>
  <c r="CK48" i="1"/>
  <c r="CG50" i="1"/>
  <c r="CH50" i="1"/>
  <c r="CI50" i="1"/>
  <c r="CJ50" i="1"/>
  <c r="CK50" i="1"/>
  <c r="CG52" i="1"/>
  <c r="CH52" i="1"/>
  <c r="CI52" i="1"/>
  <c r="CJ52" i="1"/>
  <c r="CK52" i="1"/>
  <c r="CG54" i="1"/>
  <c r="CH54" i="1"/>
  <c r="CI54" i="1"/>
  <c r="CJ54" i="1"/>
  <c r="CK54" i="1"/>
  <c r="CG56" i="1"/>
  <c r="CH56" i="1"/>
  <c r="CI56" i="1"/>
  <c r="CJ56" i="1"/>
  <c r="CK56" i="1"/>
  <c r="CG58" i="1"/>
  <c r="CH58" i="1"/>
  <c r="CI58" i="1"/>
  <c r="CJ58" i="1"/>
  <c r="CK58" i="1"/>
  <c r="CG60" i="1"/>
  <c r="CH60" i="1"/>
  <c r="CI60" i="1"/>
  <c r="CJ60" i="1"/>
  <c r="CK60" i="1"/>
  <c r="CG62" i="1"/>
  <c r="CH62" i="1"/>
  <c r="CI62" i="1"/>
  <c r="CJ62" i="1"/>
  <c r="CK62" i="1"/>
  <c r="CG64" i="1"/>
  <c r="CH64" i="1"/>
  <c r="CI64" i="1"/>
  <c r="CJ64" i="1"/>
  <c r="CK64" i="1"/>
  <c r="CG66" i="1"/>
  <c r="CH66" i="1"/>
  <c r="CI66" i="1"/>
  <c r="CJ66" i="1"/>
  <c r="CK66" i="1"/>
  <c r="CG68" i="1"/>
  <c r="CH68" i="1"/>
  <c r="CI68" i="1"/>
  <c r="CJ68" i="1"/>
  <c r="CK68" i="1"/>
  <c r="CG70" i="1"/>
  <c r="CH70" i="1"/>
  <c r="CI70" i="1"/>
  <c r="CJ70" i="1"/>
  <c r="CK70" i="1"/>
  <c r="CG72" i="1"/>
  <c r="CH72" i="1"/>
  <c r="CI72" i="1"/>
  <c r="CJ72" i="1"/>
  <c r="CK72" i="1"/>
  <c r="CG74" i="1"/>
  <c r="CH74" i="1"/>
  <c r="CI74" i="1"/>
  <c r="CJ74" i="1"/>
  <c r="CK74" i="1"/>
  <c r="CG76" i="1"/>
  <c r="CH76" i="1"/>
  <c r="CI76" i="1"/>
  <c r="CJ76" i="1"/>
  <c r="CK76" i="1"/>
  <c r="CG78" i="1"/>
  <c r="CH78" i="1"/>
  <c r="CI78" i="1"/>
  <c r="CJ78" i="1"/>
  <c r="CK78" i="1"/>
  <c r="CG80" i="1"/>
  <c r="CH80" i="1"/>
  <c r="CI80" i="1"/>
  <c r="CJ80" i="1"/>
  <c r="CK80" i="1"/>
  <c r="CG82" i="1"/>
  <c r="CH82" i="1"/>
  <c r="CI82" i="1"/>
  <c r="CJ82" i="1"/>
  <c r="CK82" i="1"/>
  <c r="CG84" i="1"/>
  <c r="CH84" i="1"/>
  <c r="CI84" i="1"/>
  <c r="CJ84" i="1"/>
  <c r="CK84" i="1"/>
  <c r="CG86" i="1"/>
  <c r="CH86" i="1"/>
  <c r="CI86" i="1"/>
  <c r="CJ86" i="1"/>
  <c r="CK86" i="1"/>
  <c r="CG88" i="1"/>
  <c r="CH88" i="1"/>
  <c r="CI88" i="1"/>
  <c r="CJ88" i="1"/>
  <c r="CK88" i="1"/>
  <c r="CG90" i="1"/>
  <c r="CH90" i="1"/>
  <c r="CI90" i="1"/>
  <c r="CJ90" i="1"/>
  <c r="CK90" i="1"/>
  <c r="CG92" i="1"/>
  <c r="CH92" i="1"/>
  <c r="CI92" i="1"/>
  <c r="CJ92" i="1"/>
  <c r="CK92" i="1"/>
  <c r="CG94" i="1"/>
  <c r="CH94" i="1"/>
  <c r="CI94" i="1"/>
  <c r="CJ94" i="1"/>
  <c r="CK94" i="1"/>
  <c r="CG96" i="1"/>
  <c r="CH96" i="1"/>
  <c r="CI96" i="1"/>
  <c r="CJ96" i="1"/>
  <c r="CK96" i="1"/>
  <c r="CG98" i="1"/>
  <c r="CH98" i="1"/>
  <c r="CI98" i="1"/>
  <c r="CJ98" i="1"/>
  <c r="CK98" i="1"/>
  <c r="CG100" i="1"/>
  <c r="CH100" i="1"/>
  <c r="CI100" i="1"/>
  <c r="CJ100" i="1"/>
  <c r="CK100" i="1"/>
  <c r="CG102" i="1"/>
  <c r="CH102" i="1"/>
  <c r="CI102" i="1"/>
  <c r="CJ102" i="1"/>
  <c r="CK102" i="1"/>
  <c r="CG104" i="1"/>
  <c r="CH104" i="1"/>
  <c r="CI104" i="1"/>
  <c r="CJ104" i="1"/>
  <c r="CK104" i="1"/>
  <c r="CG106" i="1"/>
  <c r="CH106" i="1"/>
  <c r="CI106" i="1"/>
  <c r="CJ106" i="1"/>
  <c r="CK106" i="1"/>
  <c r="CG108" i="1"/>
  <c r="CH108" i="1"/>
  <c r="CI108" i="1"/>
  <c r="CJ108" i="1"/>
  <c r="CK108" i="1"/>
  <c r="CG110" i="1"/>
  <c r="CH110" i="1"/>
  <c r="CI110" i="1"/>
  <c r="CJ110" i="1"/>
  <c r="CK110" i="1"/>
  <c r="CG112" i="1"/>
  <c r="CH112" i="1"/>
  <c r="CI112" i="1"/>
  <c r="CJ112" i="1"/>
  <c r="CK112" i="1"/>
  <c r="CG114" i="1"/>
  <c r="CH114" i="1"/>
  <c r="CI114" i="1"/>
  <c r="CJ114" i="1"/>
  <c r="CK114" i="1"/>
  <c r="CG116" i="1"/>
  <c r="CH116" i="1"/>
  <c r="CI116" i="1"/>
  <c r="CJ116" i="1"/>
  <c r="CK116" i="1"/>
  <c r="CG118" i="1"/>
  <c r="CH118" i="1"/>
  <c r="CI118" i="1"/>
  <c r="CJ118" i="1"/>
  <c r="CK118" i="1"/>
  <c r="CG120" i="1"/>
  <c r="CH120" i="1"/>
  <c r="CI120" i="1"/>
  <c r="CJ120" i="1"/>
  <c r="CK120" i="1"/>
  <c r="CG122" i="1"/>
  <c r="CH122" i="1"/>
  <c r="CI122" i="1"/>
  <c r="CJ122" i="1"/>
  <c r="CK122" i="1"/>
  <c r="CG124" i="1"/>
  <c r="CH124" i="1"/>
  <c r="CI124" i="1"/>
  <c r="CJ124" i="1"/>
  <c r="CK124" i="1"/>
  <c r="CG126" i="1"/>
  <c r="CH126" i="1"/>
  <c r="CI126" i="1"/>
  <c r="CJ126" i="1"/>
  <c r="CK126" i="1"/>
  <c r="CG128" i="1"/>
  <c r="CH128" i="1"/>
  <c r="CI128" i="1"/>
  <c r="CJ128" i="1"/>
  <c r="CK128" i="1"/>
  <c r="CG130" i="1"/>
  <c r="CH130" i="1"/>
  <c r="CI130" i="1"/>
  <c r="CJ130" i="1"/>
  <c r="CK130" i="1"/>
  <c r="CG132" i="1"/>
  <c r="CH132" i="1"/>
  <c r="CI132" i="1"/>
  <c r="CJ132" i="1"/>
  <c r="CK132" i="1"/>
  <c r="CG134" i="1"/>
  <c r="CH134" i="1"/>
  <c r="CI134" i="1"/>
  <c r="CJ134" i="1"/>
  <c r="CK134" i="1"/>
  <c r="CG136" i="1"/>
  <c r="CH136" i="1"/>
  <c r="CI136" i="1"/>
  <c r="CJ136" i="1"/>
  <c r="CK136" i="1"/>
  <c r="CG138" i="1"/>
  <c r="CH138" i="1"/>
  <c r="CI138" i="1"/>
  <c r="CJ138" i="1"/>
  <c r="CK138" i="1"/>
  <c r="CG140" i="1"/>
  <c r="CH140" i="1"/>
  <c r="CI140" i="1"/>
  <c r="CJ140" i="1"/>
  <c r="CK140" i="1"/>
  <c r="CG142" i="1"/>
  <c r="CH142" i="1"/>
  <c r="CI142" i="1"/>
  <c r="CJ142" i="1"/>
  <c r="CK142" i="1"/>
  <c r="CG144" i="1"/>
  <c r="CH144" i="1"/>
  <c r="CI144" i="1"/>
  <c r="CJ144" i="1"/>
  <c r="CK144" i="1"/>
  <c r="CG146" i="1"/>
  <c r="CH146" i="1"/>
  <c r="CI146" i="1"/>
  <c r="CJ146" i="1"/>
  <c r="CK146" i="1"/>
  <c r="CG148" i="1"/>
  <c r="CH148" i="1"/>
  <c r="CI148" i="1"/>
  <c r="CJ148" i="1"/>
  <c r="CK148" i="1"/>
  <c r="CG150" i="1"/>
  <c r="CH150" i="1"/>
  <c r="CI150" i="1"/>
  <c r="CJ150" i="1"/>
  <c r="CK150" i="1"/>
  <c r="CG152" i="1"/>
  <c r="CH152" i="1"/>
  <c r="CI152" i="1"/>
  <c r="CJ152" i="1"/>
  <c r="CK152" i="1"/>
  <c r="CG154" i="1"/>
  <c r="CH154" i="1"/>
  <c r="CI154" i="1"/>
  <c r="CJ154" i="1"/>
  <c r="CK154" i="1"/>
  <c r="CG156" i="1"/>
  <c r="CH156" i="1"/>
  <c r="CI156" i="1"/>
  <c r="CJ156" i="1"/>
  <c r="CK156" i="1"/>
  <c r="CG158" i="1"/>
  <c r="CH158" i="1"/>
  <c r="CI158" i="1"/>
  <c r="CJ158" i="1"/>
  <c r="CK158" i="1"/>
  <c r="CG160" i="1"/>
  <c r="CH160" i="1"/>
  <c r="CI160" i="1"/>
  <c r="CJ160" i="1"/>
  <c r="CK160" i="1"/>
  <c r="CG162" i="1"/>
  <c r="CH162" i="1"/>
  <c r="CI162" i="1"/>
  <c r="CJ162" i="1"/>
  <c r="CK162" i="1"/>
  <c r="CG164" i="1"/>
  <c r="CH164" i="1"/>
  <c r="CI164" i="1"/>
  <c r="CJ164" i="1"/>
  <c r="CK164" i="1"/>
  <c r="CG166" i="1"/>
  <c r="CH166" i="1"/>
  <c r="CI166" i="1"/>
  <c r="CJ166" i="1"/>
  <c r="CK166" i="1"/>
  <c r="CG168" i="1"/>
  <c r="CH168" i="1"/>
  <c r="CI168" i="1"/>
  <c r="CJ168" i="1"/>
  <c r="CK168" i="1"/>
  <c r="CG170" i="1"/>
  <c r="CH170" i="1"/>
  <c r="CI170" i="1"/>
  <c r="CJ170" i="1"/>
  <c r="CK170" i="1"/>
  <c r="CG172" i="1"/>
  <c r="CH172" i="1"/>
  <c r="CI172" i="1"/>
  <c r="CJ172" i="1"/>
  <c r="CK172" i="1"/>
  <c r="CG174" i="1"/>
  <c r="CH174" i="1"/>
  <c r="CI174" i="1"/>
  <c r="CJ174" i="1"/>
  <c r="CK174" i="1"/>
  <c r="CG176" i="1"/>
  <c r="CH176" i="1"/>
  <c r="CI176" i="1"/>
  <c r="CJ176" i="1"/>
  <c r="CK176" i="1"/>
  <c r="CG178" i="1"/>
  <c r="CH178" i="1"/>
  <c r="CI178" i="1"/>
  <c r="CJ178" i="1"/>
  <c r="CK178" i="1"/>
  <c r="CG180" i="1"/>
  <c r="CH180" i="1"/>
  <c r="CI180" i="1"/>
  <c r="CJ180" i="1"/>
  <c r="CK180" i="1"/>
  <c r="CG182" i="1"/>
  <c r="CH182" i="1"/>
  <c r="CI182" i="1"/>
  <c r="CJ182" i="1"/>
  <c r="CK182" i="1"/>
  <c r="CG184" i="1"/>
  <c r="CH184" i="1"/>
  <c r="CI184" i="1"/>
  <c r="CJ184" i="1"/>
  <c r="CK184" i="1"/>
  <c r="CG186" i="1"/>
  <c r="CH186" i="1"/>
  <c r="CI186" i="1"/>
  <c r="CJ186" i="1"/>
  <c r="CK186" i="1"/>
  <c r="CG188" i="1"/>
  <c r="CH188" i="1"/>
  <c r="CI188" i="1"/>
  <c r="CJ188" i="1"/>
  <c r="CK188" i="1"/>
  <c r="CG190" i="1"/>
  <c r="CH190" i="1"/>
  <c r="CI190" i="1"/>
  <c r="CJ190" i="1"/>
  <c r="CK190" i="1"/>
  <c r="CG192" i="1"/>
  <c r="CH192" i="1"/>
  <c r="CI192" i="1"/>
  <c r="CJ192" i="1"/>
  <c r="CK192" i="1"/>
  <c r="CG194" i="1"/>
  <c r="CH194" i="1"/>
  <c r="CI194" i="1"/>
  <c r="CJ194" i="1"/>
  <c r="CK194" i="1"/>
  <c r="CG196" i="1"/>
  <c r="CH196" i="1"/>
  <c r="CI196" i="1"/>
  <c r="CJ196" i="1"/>
  <c r="CK196" i="1"/>
  <c r="CG198" i="1"/>
  <c r="CH198" i="1"/>
  <c r="CI198" i="1"/>
  <c r="CJ198" i="1"/>
  <c r="CK198" i="1"/>
  <c r="CG200" i="1"/>
  <c r="CH200" i="1"/>
  <c r="CI200" i="1"/>
  <c r="CJ200" i="1"/>
  <c r="CK200" i="1"/>
  <c r="CG202" i="1"/>
  <c r="CH202" i="1"/>
  <c r="CI202" i="1"/>
  <c r="CJ202" i="1"/>
  <c r="CK202" i="1"/>
  <c r="CG204" i="1"/>
  <c r="CH204" i="1"/>
  <c r="CI204" i="1"/>
  <c r="CJ204" i="1"/>
  <c r="CK204" i="1"/>
  <c r="CG206" i="1"/>
  <c r="CH206" i="1"/>
  <c r="CI206" i="1"/>
  <c r="CJ206" i="1"/>
  <c r="CK206" i="1"/>
  <c r="CG208" i="1"/>
  <c r="CH208" i="1"/>
  <c r="CI208" i="1"/>
  <c r="CJ208" i="1"/>
  <c r="CK208" i="1"/>
  <c r="CG210" i="1"/>
  <c r="CH210" i="1"/>
  <c r="CI210" i="1"/>
  <c r="CJ210" i="1"/>
  <c r="CK210" i="1"/>
  <c r="CG212" i="1"/>
  <c r="CH212" i="1"/>
  <c r="CI212" i="1"/>
  <c r="CJ212" i="1"/>
  <c r="CK212" i="1"/>
  <c r="CG214" i="1"/>
  <c r="CH214" i="1"/>
  <c r="CI214" i="1"/>
  <c r="CJ214" i="1"/>
  <c r="CK214" i="1"/>
  <c r="CG216" i="1"/>
  <c r="CH216" i="1"/>
  <c r="CI216" i="1"/>
  <c r="CJ216" i="1"/>
  <c r="CK216" i="1"/>
  <c r="CG218" i="1"/>
  <c r="CH218" i="1"/>
  <c r="CI218" i="1"/>
  <c r="CJ218" i="1"/>
  <c r="CK218" i="1"/>
  <c r="CG220" i="1"/>
  <c r="CH220" i="1"/>
  <c r="CI220" i="1"/>
  <c r="CJ220" i="1"/>
  <c r="CK220" i="1"/>
  <c r="CG222" i="1"/>
  <c r="CH222" i="1"/>
  <c r="CI222" i="1"/>
  <c r="CJ222" i="1"/>
  <c r="CK222" i="1"/>
  <c r="CG224" i="1"/>
  <c r="CH224" i="1"/>
  <c r="CI224" i="1"/>
  <c r="CJ224" i="1"/>
  <c r="CK224" i="1"/>
  <c r="CG226" i="1"/>
  <c r="CH226" i="1"/>
  <c r="CI226" i="1"/>
  <c r="CJ226" i="1"/>
  <c r="CK226" i="1"/>
  <c r="CG228" i="1"/>
  <c r="CH228" i="1"/>
  <c r="CI228" i="1"/>
  <c r="CJ228" i="1"/>
  <c r="CK228" i="1"/>
  <c r="CG230" i="1"/>
  <c r="CH230" i="1"/>
  <c r="CI230" i="1"/>
  <c r="CJ230" i="1"/>
  <c r="CK230" i="1"/>
  <c r="CG232" i="1"/>
  <c r="CH232" i="1"/>
  <c r="CI232" i="1"/>
  <c r="CJ232" i="1"/>
  <c r="CK232" i="1"/>
  <c r="CG234" i="1"/>
  <c r="CH234" i="1"/>
  <c r="CI234" i="1"/>
  <c r="CJ234" i="1"/>
  <c r="CK234" i="1"/>
  <c r="CG236" i="1"/>
  <c r="CH236" i="1"/>
  <c r="CI236" i="1"/>
  <c r="CJ236" i="1"/>
  <c r="CK236" i="1"/>
  <c r="CG238" i="1"/>
  <c r="CH238" i="1"/>
  <c r="CI238" i="1"/>
  <c r="CJ238" i="1"/>
  <c r="CK238" i="1"/>
  <c r="CG240" i="1"/>
  <c r="CH240" i="1"/>
  <c r="CI240" i="1"/>
  <c r="CJ240" i="1"/>
  <c r="CK240" i="1"/>
  <c r="CG242" i="1"/>
  <c r="CH242" i="1"/>
  <c r="CI242" i="1"/>
  <c r="CJ242" i="1"/>
  <c r="CK242" i="1"/>
  <c r="CG244" i="1"/>
  <c r="CH244" i="1"/>
  <c r="CI244" i="1"/>
  <c r="CJ244" i="1"/>
  <c r="CK244" i="1"/>
  <c r="CG246" i="1"/>
  <c r="CH246" i="1"/>
  <c r="CI246" i="1"/>
  <c r="CJ246" i="1"/>
  <c r="CK246" i="1"/>
  <c r="CG248" i="1"/>
  <c r="CH248" i="1"/>
  <c r="CI248" i="1"/>
  <c r="CJ248" i="1"/>
  <c r="CK248" i="1"/>
  <c r="CG250" i="1"/>
  <c r="CH250" i="1"/>
  <c r="CI250" i="1"/>
  <c r="CJ250" i="1"/>
  <c r="CK250" i="1"/>
  <c r="CG252" i="1"/>
  <c r="CH252" i="1"/>
  <c r="CI252" i="1"/>
  <c r="CJ252" i="1"/>
  <c r="CK252" i="1"/>
  <c r="CG254" i="1"/>
  <c r="CH254" i="1"/>
  <c r="CI254" i="1"/>
  <c r="CJ254" i="1"/>
  <c r="CK254" i="1"/>
  <c r="CG256" i="1"/>
  <c r="CH256" i="1"/>
  <c r="CI256" i="1"/>
  <c r="CJ256" i="1"/>
  <c r="CK256" i="1"/>
  <c r="CG258" i="1"/>
  <c r="CH258" i="1"/>
  <c r="CI258" i="1"/>
  <c r="CJ258" i="1"/>
  <c r="CK258" i="1"/>
  <c r="CG260" i="1"/>
  <c r="CH260" i="1"/>
  <c r="CI260" i="1"/>
  <c r="CJ260" i="1"/>
  <c r="CK260" i="1"/>
  <c r="CG262" i="1"/>
  <c r="CH262" i="1"/>
  <c r="CI262" i="1"/>
  <c r="CJ262" i="1"/>
  <c r="CK262" i="1"/>
  <c r="CG264" i="1"/>
  <c r="CH264" i="1"/>
  <c r="CI264" i="1"/>
  <c r="CJ264" i="1"/>
  <c r="CK264" i="1"/>
  <c r="CG266" i="1"/>
  <c r="CH266" i="1"/>
  <c r="CI266" i="1"/>
  <c r="CJ266" i="1"/>
  <c r="CK266" i="1"/>
  <c r="CG268" i="1"/>
  <c r="CH268" i="1"/>
  <c r="CI268" i="1"/>
  <c r="CJ268" i="1"/>
  <c r="CK268" i="1"/>
  <c r="CG270" i="1"/>
  <c r="CH270" i="1"/>
  <c r="CI270" i="1"/>
  <c r="CJ270" i="1"/>
  <c r="CK270" i="1"/>
  <c r="CG272" i="1"/>
  <c r="CH272" i="1"/>
  <c r="CI272" i="1"/>
  <c r="CJ272" i="1"/>
  <c r="CK272" i="1"/>
  <c r="CG274" i="1"/>
  <c r="CH274" i="1"/>
  <c r="CI274" i="1"/>
  <c r="CJ274" i="1"/>
  <c r="CK274" i="1"/>
  <c r="CG276" i="1"/>
  <c r="CH276" i="1"/>
  <c r="CI276" i="1"/>
  <c r="CJ276" i="1"/>
  <c r="CK276" i="1"/>
  <c r="CG278" i="1"/>
  <c r="CH278" i="1"/>
  <c r="CI278" i="1"/>
  <c r="CJ278" i="1"/>
  <c r="CK278" i="1"/>
  <c r="CG280" i="1"/>
  <c r="CH280" i="1"/>
  <c r="CI280" i="1"/>
  <c r="CJ280" i="1"/>
  <c r="CK280" i="1"/>
  <c r="CG282" i="1"/>
  <c r="CH282" i="1"/>
  <c r="CI282" i="1"/>
  <c r="CJ282" i="1"/>
  <c r="CK282" i="1"/>
  <c r="CG284" i="1"/>
  <c r="CH284" i="1"/>
  <c r="CI284" i="1"/>
  <c r="CJ284" i="1"/>
  <c r="CK284" i="1"/>
  <c r="CM8" i="1"/>
  <c r="CL13" i="1"/>
  <c r="CM13" i="1"/>
  <c r="CM16" i="1"/>
  <c r="CL16" i="1"/>
  <c r="CM10" i="1"/>
  <c r="CM64" i="1"/>
  <c r="CL66" i="1"/>
  <c r="CL69" i="1"/>
  <c r="CM69" i="1"/>
  <c r="CM72" i="1"/>
  <c r="CL72" i="1"/>
  <c r="CM66" i="1"/>
  <c r="CM128" i="1"/>
  <c r="CL133" i="1"/>
  <c r="CM133" i="1"/>
  <c r="CM136" i="1"/>
  <c r="CL136" i="1"/>
  <c r="CM130" i="1"/>
  <c r="CM188" i="1"/>
  <c r="CL193" i="1"/>
  <c r="CM193" i="1"/>
  <c r="CM196" i="1"/>
  <c r="CL196" i="1"/>
  <c r="CM190" i="1"/>
  <c r="CM250" i="1"/>
  <c r="CL255" i="1"/>
  <c r="CM255" i="1"/>
  <c r="CM258" i="1"/>
  <c r="CL258" i="1"/>
  <c r="CM252" i="1"/>
  <c r="DC122" i="1"/>
  <c r="A122" i="1"/>
  <c r="B122" i="1"/>
  <c r="AC122" i="1"/>
  <c r="AD122" i="1"/>
  <c r="BD122" i="1"/>
  <c r="BE122" i="1"/>
  <c r="CE122" i="1"/>
  <c r="CF122" i="1"/>
  <c r="CN122" i="1"/>
  <c r="CO122" i="1"/>
  <c r="DD122" i="1"/>
  <c r="DF122" i="1"/>
  <c r="DG122" i="1"/>
  <c r="DC123" i="1"/>
  <c r="DD123" i="1"/>
  <c r="DC124" i="1"/>
  <c r="A124" i="1"/>
  <c r="B124" i="1"/>
  <c r="AC124" i="1"/>
  <c r="AD124" i="1"/>
  <c r="BD124" i="1"/>
  <c r="BE124" i="1"/>
  <c r="CE124" i="1"/>
  <c r="CF124" i="1"/>
  <c r="CN124" i="1"/>
  <c r="CO124" i="1"/>
  <c r="DD124" i="1"/>
  <c r="DF124" i="1"/>
  <c r="DG124" i="1"/>
  <c r="DC125" i="1"/>
  <c r="DD125" i="1"/>
  <c r="DC126" i="1"/>
  <c r="A126" i="1"/>
  <c r="B126" i="1"/>
  <c r="AC126" i="1"/>
  <c r="AD126" i="1"/>
  <c r="BD126" i="1"/>
  <c r="BE126" i="1"/>
  <c r="CE126" i="1"/>
  <c r="CF126" i="1"/>
  <c r="CN126" i="1"/>
  <c r="CO126" i="1"/>
  <c r="DD126" i="1"/>
  <c r="DF126" i="1"/>
  <c r="DG126" i="1"/>
  <c r="DC127" i="1"/>
  <c r="DD127" i="1"/>
  <c r="DC6" i="1"/>
  <c r="A6" i="1"/>
  <c r="B6" i="1"/>
  <c r="AC6" i="1"/>
  <c r="AD6" i="1"/>
  <c r="BD6" i="1"/>
  <c r="BE6" i="1"/>
  <c r="CE6" i="1"/>
  <c r="CF6" i="1"/>
  <c r="CN6" i="1"/>
  <c r="CO6" i="1"/>
  <c r="DD6" i="1"/>
  <c r="DF6" i="1"/>
  <c r="DG6" i="1"/>
  <c r="DC7" i="1"/>
  <c r="DD7" i="1"/>
  <c r="DC8" i="1"/>
  <c r="A8" i="1"/>
  <c r="B8" i="1"/>
  <c r="AC8" i="1"/>
  <c r="AD8" i="1"/>
  <c r="BD8" i="1"/>
  <c r="BE8" i="1"/>
  <c r="CE8" i="1"/>
  <c r="CF8" i="1"/>
  <c r="CN8" i="1"/>
  <c r="CO8" i="1"/>
  <c r="DD8" i="1"/>
  <c r="DF8" i="1"/>
  <c r="DG8" i="1"/>
  <c r="DC9" i="1"/>
  <c r="DD9" i="1"/>
  <c r="DC10" i="1"/>
  <c r="A10" i="1"/>
  <c r="B10" i="1"/>
  <c r="AC10" i="1"/>
  <c r="AD10" i="1"/>
  <c r="BD10" i="1"/>
  <c r="BE10" i="1"/>
  <c r="CE10" i="1"/>
  <c r="CF10" i="1"/>
  <c r="CN10" i="1"/>
  <c r="CO10" i="1"/>
  <c r="DD10" i="1"/>
  <c r="DF10" i="1"/>
  <c r="DG10" i="1"/>
  <c r="DC11" i="1"/>
  <c r="DD11" i="1"/>
  <c r="DC12" i="1"/>
  <c r="A12" i="1"/>
  <c r="B12" i="1"/>
  <c r="AC12" i="1"/>
  <c r="AD12" i="1"/>
  <c r="BD12" i="1"/>
  <c r="BE12" i="1"/>
  <c r="CE12" i="1"/>
  <c r="CF12" i="1"/>
  <c r="CN12" i="1"/>
  <c r="CO12" i="1"/>
  <c r="DD12" i="1"/>
  <c r="DF12" i="1"/>
  <c r="DG12" i="1"/>
  <c r="DC13" i="1"/>
  <c r="DD13" i="1"/>
  <c r="DC14" i="1"/>
  <c r="A14" i="1"/>
  <c r="B14" i="1"/>
  <c r="AC14" i="1"/>
  <c r="AD14" i="1"/>
  <c r="BD14" i="1"/>
  <c r="BE14" i="1"/>
  <c r="CE14" i="1"/>
  <c r="CF14" i="1"/>
  <c r="CN14" i="1"/>
  <c r="CO14" i="1"/>
  <c r="DD14" i="1"/>
  <c r="DF14" i="1"/>
  <c r="DG14" i="1"/>
  <c r="DC15" i="1"/>
  <c r="DD15" i="1"/>
  <c r="DC16" i="1"/>
  <c r="A16" i="1"/>
  <c r="B16" i="1"/>
  <c r="AC16" i="1"/>
  <c r="AD16" i="1"/>
  <c r="BD16" i="1"/>
  <c r="BE16" i="1"/>
  <c r="CE16" i="1"/>
  <c r="CF16" i="1"/>
  <c r="CN16" i="1"/>
  <c r="CO16" i="1"/>
  <c r="DD16" i="1"/>
  <c r="DF16" i="1"/>
  <c r="DG16" i="1"/>
  <c r="DC17" i="1"/>
  <c r="DD17" i="1"/>
  <c r="DC18" i="1"/>
  <c r="A18" i="1"/>
  <c r="B18" i="1"/>
  <c r="AC18" i="1"/>
  <c r="AD18" i="1"/>
  <c r="BD18" i="1"/>
  <c r="BE18" i="1"/>
  <c r="CE18" i="1"/>
  <c r="CF18" i="1"/>
  <c r="CN18" i="1"/>
  <c r="CO18" i="1"/>
  <c r="DD18" i="1"/>
  <c r="DF18" i="1"/>
  <c r="DG18" i="1"/>
  <c r="DC19" i="1"/>
  <c r="DD19" i="1"/>
  <c r="DC20" i="1"/>
  <c r="A20" i="1"/>
  <c r="B20" i="1"/>
  <c r="AC20" i="1"/>
  <c r="AD20" i="1"/>
  <c r="BD20" i="1"/>
  <c r="BE20" i="1"/>
  <c r="CE20" i="1"/>
  <c r="CF20" i="1"/>
  <c r="CN20" i="1"/>
  <c r="CO20" i="1"/>
  <c r="DD20" i="1"/>
  <c r="DF20" i="1"/>
  <c r="DG20" i="1"/>
  <c r="DC21" i="1"/>
  <c r="DD21" i="1"/>
  <c r="DC22" i="1"/>
  <c r="A22" i="1"/>
  <c r="B22" i="1"/>
  <c r="AC22" i="1"/>
  <c r="AD22" i="1"/>
  <c r="BD22" i="1"/>
  <c r="BE22" i="1"/>
  <c r="CE22" i="1"/>
  <c r="CF22" i="1"/>
  <c r="CN22" i="1"/>
  <c r="CO22" i="1"/>
  <c r="DD22" i="1"/>
  <c r="DF22" i="1"/>
  <c r="DG22" i="1"/>
  <c r="DC23" i="1"/>
  <c r="DD23" i="1"/>
  <c r="DC24" i="1"/>
  <c r="A24" i="1"/>
  <c r="B24" i="1"/>
  <c r="AC24" i="1"/>
  <c r="AD24" i="1"/>
  <c r="BD24" i="1"/>
  <c r="BE24" i="1"/>
  <c r="CE24" i="1"/>
  <c r="CF24" i="1"/>
  <c r="CN24" i="1"/>
  <c r="CO24" i="1"/>
  <c r="DD24" i="1"/>
  <c r="DF24" i="1"/>
  <c r="DG24" i="1"/>
  <c r="DC25" i="1"/>
  <c r="DD25" i="1"/>
  <c r="DC26" i="1"/>
  <c r="A26" i="1"/>
  <c r="B26" i="1"/>
  <c r="AC26" i="1"/>
  <c r="AD26" i="1"/>
  <c r="BD26" i="1"/>
  <c r="BE26" i="1"/>
  <c r="CE26" i="1"/>
  <c r="CF26" i="1"/>
  <c r="CN26" i="1"/>
  <c r="CO26" i="1"/>
  <c r="DD26" i="1"/>
  <c r="DF26" i="1"/>
  <c r="DG26" i="1"/>
  <c r="DC27" i="1"/>
  <c r="DD27" i="1"/>
  <c r="DC28" i="1"/>
  <c r="A28" i="1"/>
  <c r="B28" i="1"/>
  <c r="AC28" i="1"/>
  <c r="AD28" i="1"/>
  <c r="BD28" i="1"/>
  <c r="BE28" i="1"/>
  <c r="CE28" i="1"/>
  <c r="CF28" i="1"/>
  <c r="CN28" i="1"/>
  <c r="CO28" i="1"/>
  <c r="DD28" i="1"/>
  <c r="DF28" i="1"/>
  <c r="DG28" i="1"/>
  <c r="DC29" i="1"/>
  <c r="DD29" i="1"/>
  <c r="DC30" i="1"/>
  <c r="A30" i="1"/>
  <c r="B30" i="1"/>
  <c r="AC30" i="1"/>
  <c r="AD30" i="1"/>
  <c r="BD30" i="1"/>
  <c r="BE30" i="1"/>
  <c r="CE30" i="1"/>
  <c r="CF30" i="1"/>
  <c r="CN30" i="1"/>
  <c r="CO30" i="1"/>
  <c r="DD30" i="1"/>
  <c r="DF30" i="1"/>
  <c r="DG30" i="1"/>
  <c r="DC31" i="1"/>
  <c r="DD31" i="1"/>
  <c r="Q42" i="3"/>
  <c r="O44" i="3"/>
  <c r="O45" i="3"/>
  <c r="O46" i="3"/>
  <c r="O47" i="3"/>
  <c r="S47" i="3"/>
  <c r="DG38" i="1" l="1"/>
  <c r="DG118" i="1"/>
  <c r="DG262" i="1"/>
  <c r="DG134" i="1"/>
  <c r="DG176" i="1"/>
  <c r="DG132" i="1"/>
  <c r="DG214" i="1"/>
  <c r="DG86" i="1"/>
  <c r="DG230" i="1"/>
  <c r="DG166" i="1"/>
  <c r="DG102" i="1"/>
  <c r="DG48" i="1"/>
  <c r="DG208" i="1"/>
  <c r="DG144" i="1"/>
  <c r="DG100" i="1"/>
  <c r="DG282" i="1"/>
  <c r="DG218" i="1"/>
  <c r="DG186" i="1"/>
  <c r="DG154" i="1"/>
  <c r="DG90" i="1"/>
  <c r="DG128" i="1"/>
  <c r="DG96" i="1"/>
  <c r="DG32" i="1"/>
  <c r="DG138" i="1"/>
  <c r="DG106" i="1"/>
  <c r="DG42" i="1"/>
  <c r="DG244" i="1"/>
  <c r="DG148" i="1"/>
  <c r="DG116" i="1"/>
  <c r="DG270" i="1"/>
  <c r="DG254" i="1"/>
  <c r="DG222" i="1"/>
  <c r="DG206" i="1"/>
  <c r="DG142" i="1"/>
  <c r="DG94" i="1"/>
  <c r="DG78" i="1"/>
  <c r="DG280" i="1"/>
  <c r="DG248" i="1"/>
  <c r="DG232" i="1"/>
  <c r="DG168" i="1"/>
  <c r="DG152" i="1"/>
  <c r="DG120" i="1"/>
  <c r="DG104" i="1"/>
  <c r="DG40" i="1"/>
  <c r="DG274" i="1"/>
  <c r="DG258" i="1"/>
  <c r="DG194" i="1"/>
  <c r="DG178" i="1"/>
  <c r="DG146" i="1"/>
  <c r="DG130" i="1"/>
  <c r="DG98" i="1"/>
  <c r="DG66" i="1"/>
  <c r="DG50" i="1"/>
  <c r="DG284" i="1"/>
  <c r="DG220" i="1"/>
  <c r="DG172" i="1"/>
  <c r="DG156" i="1"/>
  <c r="DG140" i="1"/>
  <c r="DG76" i="1"/>
  <c r="DG44" i="1"/>
  <c r="DG74" i="1"/>
  <c r="DC164" i="1"/>
  <c r="A164" i="1" s="1"/>
  <c r="DG204" i="1" l="1"/>
  <c r="DG212" i="1"/>
  <c r="DG202" i="1"/>
  <c r="DG192" i="1"/>
  <c r="DG250" i="1"/>
  <c r="DG70" i="1"/>
  <c r="DG278" i="1"/>
  <c r="DG252" i="1"/>
  <c r="DG226" i="1"/>
  <c r="DG72" i="1"/>
  <c r="DG200" i="1"/>
  <c r="DG46" i="1"/>
  <c r="DG174" i="1"/>
  <c r="DG4" i="1"/>
  <c r="DG196" i="1"/>
  <c r="DG36" i="1"/>
  <c r="DG224" i="1"/>
  <c r="DG268" i="1"/>
  <c r="DG114" i="1"/>
  <c r="DG242" i="1"/>
  <c r="DG88" i="1"/>
  <c r="DG216" i="1"/>
  <c r="DG62" i="1"/>
  <c r="DG190" i="1"/>
  <c r="DG84" i="1"/>
  <c r="DG68" i="1"/>
  <c r="DG150" i="1"/>
  <c r="DG54" i="1"/>
  <c r="DG198" i="1"/>
  <c r="DG260" i="1"/>
  <c r="DG52" i="1"/>
  <c r="DG164" i="1"/>
  <c r="DG240" i="1"/>
  <c r="DG34" i="1"/>
  <c r="DG136" i="1"/>
  <c r="DG264" i="1"/>
  <c r="DG110" i="1"/>
  <c r="DG238" i="1"/>
  <c r="DG180" i="1"/>
  <c r="DG170" i="1"/>
  <c r="DG64" i="1"/>
  <c r="DG160" i="1"/>
  <c r="DG80" i="1"/>
  <c r="DG112" i="1"/>
  <c r="DG246" i="1"/>
  <c r="DG182" i="1"/>
  <c r="DG92" i="1"/>
  <c r="DG234" i="1"/>
  <c r="DG60" i="1"/>
  <c r="DG188" i="1"/>
  <c r="DG162" i="1"/>
  <c r="DG108" i="1"/>
  <c r="DG236" i="1"/>
  <c r="DG82" i="1"/>
  <c r="DG210" i="1"/>
  <c r="DG56" i="1"/>
  <c r="DG184" i="1"/>
  <c r="DG158" i="1"/>
  <c r="DG276" i="1"/>
  <c r="DG266" i="1"/>
  <c r="DG256" i="1"/>
  <c r="DG58" i="1"/>
  <c r="DG228" i="1"/>
  <c r="DG272" i="1"/>
  <c r="BD164" i="1"/>
  <c r="B164" i="1"/>
  <c r="CO164" i="1" s="1"/>
  <c r="AC164" i="1"/>
  <c r="CE164" i="1"/>
  <c r="CN164" i="1"/>
  <c r="DD164" i="1"/>
  <c r="DF164" i="1"/>
  <c r="DC165" i="1"/>
  <c r="DD165" i="1" s="1"/>
  <c r="DC166" i="1"/>
  <c r="A166" i="1" s="1"/>
  <c r="AC166" i="1" l="1"/>
  <c r="B166" i="1"/>
  <c r="BE166" i="1" s="1"/>
  <c r="AD164" i="1"/>
  <c r="BE164" i="1"/>
  <c r="CF164" i="1"/>
  <c r="BD166" i="1"/>
  <c r="CE166" i="1"/>
  <c r="CN166" i="1"/>
  <c r="DD166" i="1"/>
  <c r="DF166" i="1"/>
  <c r="DC167" i="1"/>
  <c r="DD167" i="1" s="1"/>
  <c r="DC168" i="1"/>
  <c r="A168" i="1" s="1"/>
  <c r="B168" i="1" l="1"/>
  <c r="AC168" i="1"/>
  <c r="BD168" i="1"/>
  <c r="CF166" i="1"/>
  <c r="AD166" i="1"/>
  <c r="CO166" i="1"/>
  <c r="CE168" i="1"/>
  <c r="CN168" i="1"/>
  <c r="DD168" i="1"/>
  <c r="DF168" i="1"/>
  <c r="DC169" i="1"/>
  <c r="DD169" i="1" s="1"/>
  <c r="DC170" i="1"/>
  <c r="A170" i="1" s="1"/>
  <c r="B170" i="1" l="1"/>
  <c r="CO170" i="1" s="1"/>
  <c r="BD170" i="1"/>
  <c r="AD168" i="1"/>
  <c r="BE168" i="1"/>
  <c r="CO168" i="1"/>
  <c r="CF168" i="1"/>
  <c r="AC170" i="1"/>
  <c r="CE170" i="1"/>
  <c r="CN170" i="1"/>
  <c r="DD170" i="1"/>
  <c r="DF170" i="1"/>
  <c r="DC171" i="1"/>
  <c r="DD171" i="1" s="1"/>
  <c r="DC172" i="1"/>
  <c r="A172" i="1" s="1"/>
  <c r="AD170" i="1" l="1"/>
  <c r="CF170" i="1"/>
  <c r="BE170" i="1"/>
  <c r="B172" i="1"/>
  <c r="CF172" i="1" s="1"/>
  <c r="AC172" i="1"/>
  <c r="BD172" i="1"/>
  <c r="CE172" i="1"/>
  <c r="CN172" i="1"/>
  <c r="DD172" i="1"/>
  <c r="DF172" i="1"/>
  <c r="DC173" i="1"/>
  <c r="DD173" i="1" s="1"/>
  <c r="AD172" i="1" l="1"/>
  <c r="BE172" i="1"/>
  <c r="CO172" i="1"/>
  <c r="DC152" i="1" l="1"/>
  <c r="A152" i="1" s="1"/>
  <c r="B152" i="1" s="1"/>
  <c r="CO152" i="1" s="1"/>
  <c r="CE152" i="1"/>
  <c r="DC153" i="1"/>
  <c r="DD153" i="1"/>
  <c r="DC154" i="1"/>
  <c r="A154" i="1" s="1"/>
  <c r="DC155" i="1"/>
  <c r="DD155" i="1" s="1"/>
  <c r="DC156" i="1"/>
  <c r="A156" i="1" s="1"/>
  <c r="DC157" i="1"/>
  <c r="DD157" i="1" s="1"/>
  <c r="DC158" i="1"/>
  <c r="A158" i="1" s="1"/>
  <c r="DC159" i="1"/>
  <c r="DD159" i="1"/>
  <c r="DC160" i="1"/>
  <c r="A160" i="1" s="1"/>
  <c r="DC161" i="1"/>
  <c r="DD161" i="1" s="1"/>
  <c r="DC162" i="1"/>
  <c r="A162" i="1" s="1"/>
  <c r="B162" i="1" s="1"/>
  <c r="CF162" i="1" s="1"/>
  <c r="DC163" i="1"/>
  <c r="DD163" i="1" s="1"/>
  <c r="DC174" i="1"/>
  <c r="DF174" i="1" s="1"/>
  <c r="A174" i="1"/>
  <c r="B174" i="1" s="1"/>
  <c r="BE174" i="1" s="1"/>
  <c r="DC175" i="1"/>
  <c r="DD175" i="1" s="1"/>
  <c r="DC176" i="1"/>
  <c r="A176" i="1" s="1"/>
  <c r="DD176" i="1"/>
  <c r="DC177" i="1"/>
  <c r="DD177" i="1" s="1"/>
  <c r="DC178" i="1"/>
  <c r="DD178" i="1" s="1"/>
  <c r="DC179" i="1"/>
  <c r="DD179" i="1" s="1"/>
  <c r="DC180" i="1"/>
  <c r="A180" i="1" s="1"/>
  <c r="B180" i="1" s="1"/>
  <c r="CO180" i="1" s="1"/>
  <c r="AD180" i="1"/>
  <c r="BE180" i="1"/>
  <c r="DC181" i="1"/>
  <c r="DD181" i="1" s="1"/>
  <c r="DC182" i="1"/>
  <c r="A182" i="1" s="1"/>
  <c r="B182" i="1" s="1"/>
  <c r="AD182" i="1" s="1"/>
  <c r="DC183" i="1"/>
  <c r="DD183" i="1" s="1"/>
  <c r="DC184" i="1"/>
  <c r="A184" i="1" s="1"/>
  <c r="B184" i="1" s="1"/>
  <c r="AD184" i="1" s="1"/>
  <c r="DF184" i="1"/>
  <c r="DC185" i="1"/>
  <c r="DD185" i="1" s="1"/>
  <c r="DC186" i="1"/>
  <c r="A186" i="1" s="1"/>
  <c r="B186" i="1" s="1"/>
  <c r="CO186" i="1" s="1"/>
  <c r="AD186" i="1"/>
  <c r="DC187" i="1"/>
  <c r="DD187" i="1" s="1"/>
  <c r="DC188" i="1"/>
  <c r="A188" i="1" s="1"/>
  <c r="B188" i="1" s="1"/>
  <c r="CO188" i="1" s="1"/>
  <c r="DC189" i="1"/>
  <c r="DD189" i="1" s="1"/>
  <c r="DC190" i="1"/>
  <c r="A190" i="1" s="1"/>
  <c r="B190" i="1" s="1"/>
  <c r="AD190" i="1" s="1"/>
  <c r="DC191" i="1"/>
  <c r="DD191" i="1" s="1"/>
  <c r="DC192" i="1"/>
  <c r="A192" i="1" s="1"/>
  <c r="B192" i="1" s="1"/>
  <c r="BE192" i="1" s="1"/>
  <c r="DC193" i="1"/>
  <c r="DD193" i="1" s="1"/>
  <c r="DC194" i="1"/>
  <c r="A194" i="1" s="1"/>
  <c r="DC195" i="1"/>
  <c r="DD195" i="1" s="1"/>
  <c r="DC196" i="1"/>
  <c r="A196" i="1" s="1"/>
  <c r="DF196" i="1"/>
  <c r="DC197" i="1"/>
  <c r="DD197" i="1" s="1"/>
  <c r="DD192" i="1" l="1"/>
  <c r="DF176" i="1"/>
  <c r="CE188" i="1"/>
  <c r="BE188" i="1"/>
  <c r="BE152" i="1"/>
  <c r="DF192" i="1"/>
  <c r="DD196" i="1"/>
  <c r="A178" i="1"/>
  <c r="AD192" i="1"/>
  <c r="DF186" i="1"/>
  <c r="DD184" i="1"/>
  <c r="DF180" i="1"/>
  <c r="DF178" i="1"/>
  <c r="DD174" i="1"/>
  <c r="DF194" i="1"/>
  <c r="AC192" i="1"/>
  <c r="DF188" i="1"/>
  <c r="BE186" i="1"/>
  <c r="AC184" i="1"/>
  <c r="CF180" i="1"/>
  <c r="AD174" i="1"/>
  <c r="DF152" i="1"/>
  <c r="DD194" i="1"/>
  <c r="CF188" i="1"/>
  <c r="BD186" i="1"/>
  <c r="CE180" i="1"/>
  <c r="AC174" i="1"/>
  <c r="CF152" i="1"/>
  <c r="CN194" i="1"/>
  <c r="AC194" i="1"/>
  <c r="BD194" i="1"/>
  <c r="B194" i="1"/>
  <c r="CE194" i="1"/>
  <c r="B158" i="1"/>
  <c r="CE158" i="1"/>
  <c r="CN158" i="1"/>
  <c r="AC158" i="1"/>
  <c r="BD158" i="1"/>
  <c r="BD154" i="1"/>
  <c r="CN154" i="1"/>
  <c r="B154" i="1"/>
  <c r="CE154" i="1"/>
  <c r="AC154" i="1"/>
  <c r="CN196" i="1"/>
  <c r="AC196" i="1"/>
  <c r="BD196" i="1"/>
  <c r="B196" i="1"/>
  <c r="CE196" i="1"/>
  <c r="B176" i="1"/>
  <c r="BD176" i="1"/>
  <c r="CE176" i="1"/>
  <c r="CN176" i="1"/>
  <c r="AC176" i="1"/>
  <c r="CN160" i="1"/>
  <c r="B160" i="1"/>
  <c r="AC160" i="1"/>
  <c r="BD160" i="1"/>
  <c r="CE160" i="1"/>
  <c r="BD156" i="1"/>
  <c r="CN156" i="1"/>
  <c r="B156" i="1"/>
  <c r="CE156" i="1"/>
  <c r="AC156" i="1"/>
  <c r="CO190" i="1"/>
  <c r="CO184" i="1"/>
  <c r="CO174" i="1"/>
  <c r="CN162" i="1"/>
  <c r="CF184" i="1"/>
  <c r="BE182" i="1"/>
  <c r="CF174" i="1"/>
  <c r="CE162" i="1"/>
  <c r="DF156" i="1"/>
  <c r="DF154" i="1"/>
  <c r="AD152" i="1"/>
  <c r="CE192" i="1"/>
  <c r="BD190" i="1"/>
  <c r="DD188" i="1"/>
  <c r="AC188" i="1"/>
  <c r="CN186" i="1"/>
  <c r="CE184" i="1"/>
  <c r="BD182" i="1"/>
  <c r="DD180" i="1"/>
  <c r="AC180" i="1"/>
  <c r="CN178" i="1"/>
  <c r="CE174" i="1"/>
  <c r="BE162" i="1"/>
  <c r="DF160" i="1"/>
  <c r="DF158" i="1"/>
  <c r="DD156" i="1"/>
  <c r="DD154" i="1"/>
  <c r="DD152" i="1"/>
  <c r="AC152" i="1"/>
  <c r="CO182" i="1"/>
  <c r="CN182" i="1"/>
  <c r="CO162" i="1"/>
  <c r="CO192" i="1"/>
  <c r="CF190" i="1"/>
  <c r="CF182" i="1"/>
  <c r="CF192" i="1"/>
  <c r="BE184" i="1"/>
  <c r="DF182" i="1"/>
  <c r="BE190" i="1"/>
  <c r="AD188" i="1"/>
  <c r="DF190" i="1"/>
  <c r="CF186" i="1"/>
  <c r="BD162" i="1"/>
  <c r="DD160" i="1"/>
  <c r="DD158" i="1"/>
  <c r="BD192" i="1"/>
  <c r="DD190" i="1"/>
  <c r="AC190" i="1"/>
  <c r="CN188" i="1"/>
  <c r="CE186" i="1"/>
  <c r="BD184" i="1"/>
  <c r="DD182" i="1"/>
  <c r="AC182" i="1"/>
  <c r="CN180" i="1"/>
  <c r="CE178" i="1"/>
  <c r="BD174" i="1"/>
  <c r="DF162" i="1"/>
  <c r="AD162" i="1"/>
  <c r="CN152" i="1"/>
  <c r="DD162" i="1"/>
  <c r="AC162" i="1"/>
  <c r="CN190" i="1"/>
  <c r="CN192" i="1"/>
  <c r="CE190" i="1"/>
  <c r="BD188" i="1"/>
  <c r="DD186" i="1"/>
  <c r="AC186" i="1"/>
  <c r="CN184" i="1"/>
  <c r="CE182" i="1"/>
  <c r="BD180" i="1"/>
  <c r="AC178" i="1"/>
  <c r="CN174" i="1"/>
  <c r="BD152" i="1"/>
  <c r="B178" i="1" l="1"/>
  <c r="BD178" i="1"/>
  <c r="CO176" i="1"/>
  <c r="BE176" i="1"/>
  <c r="AD176" i="1"/>
  <c r="CF176" i="1"/>
  <c r="BE156" i="1"/>
  <c r="CF156" i="1"/>
  <c r="CO156" i="1"/>
  <c r="AD156" i="1"/>
  <c r="BE158" i="1"/>
  <c r="CO158" i="1"/>
  <c r="CF158" i="1"/>
  <c r="AD158" i="1"/>
  <c r="BE154" i="1"/>
  <c r="CF154" i="1"/>
  <c r="CO154" i="1"/>
  <c r="AD154" i="1"/>
  <c r="CO194" i="1"/>
  <c r="BE194" i="1"/>
  <c r="CF194" i="1"/>
  <c r="AD194" i="1"/>
  <c r="BE160" i="1"/>
  <c r="CF160" i="1"/>
  <c r="CO160" i="1"/>
  <c r="AD160" i="1"/>
  <c r="BE196" i="1"/>
  <c r="CF196" i="1"/>
  <c r="CO196" i="1"/>
  <c r="AD196" i="1"/>
  <c r="DC150" i="1"/>
  <c r="A150" i="1" s="1"/>
  <c r="DC151" i="1"/>
  <c r="DD151" i="1" s="1"/>
  <c r="DF150" i="1" l="1"/>
  <c r="DD150" i="1"/>
  <c r="CF178" i="1"/>
  <c r="CO178" i="1"/>
  <c r="AD178" i="1"/>
  <c r="BE178" i="1"/>
  <c r="BD150" i="1"/>
  <c r="CN150" i="1"/>
  <c r="B150" i="1"/>
  <c r="AC150" i="1"/>
  <c r="CE150" i="1"/>
  <c r="DC146" i="1"/>
  <c r="A146" i="1" s="1"/>
  <c r="AD150" i="1" l="1"/>
  <c r="CF150" i="1"/>
  <c r="BE150" i="1"/>
  <c r="CO150" i="1"/>
  <c r="B146" i="1"/>
  <c r="CF146" i="1" s="1"/>
  <c r="BD146" i="1"/>
  <c r="AC146" i="1"/>
  <c r="CE146" i="1"/>
  <c r="CN146" i="1"/>
  <c r="DD146" i="1"/>
  <c r="DF146" i="1"/>
  <c r="DC147" i="1"/>
  <c r="DD147" i="1" s="1"/>
  <c r="DC148" i="1"/>
  <c r="A148" i="1" s="1"/>
  <c r="CO146" i="1" l="1"/>
  <c r="BD148" i="1"/>
  <c r="B148" i="1"/>
  <c r="CF148" i="1" s="1"/>
  <c r="AC148" i="1"/>
  <c r="AD146" i="1"/>
  <c r="BE146" i="1"/>
  <c r="CE148" i="1"/>
  <c r="CN148" i="1"/>
  <c r="DD148" i="1"/>
  <c r="DF148" i="1"/>
  <c r="DC149" i="1"/>
  <c r="DD149" i="1" s="1"/>
  <c r="AD148" i="1" l="1"/>
  <c r="BE148" i="1"/>
  <c r="CO148" i="1"/>
  <c r="DC234" i="1"/>
  <c r="A234" i="1" s="1"/>
  <c r="DC235" i="1"/>
  <c r="DD235" i="1" s="1"/>
  <c r="DC236" i="1"/>
  <c r="A236" i="1" s="1"/>
  <c r="B236" i="1" s="1"/>
  <c r="CF236" i="1" s="1"/>
  <c r="CN236" i="1"/>
  <c r="DF236" i="1"/>
  <c r="DC237" i="1"/>
  <c r="DD237" i="1" s="1"/>
  <c r="DC238" i="1"/>
  <c r="A238" i="1" s="1"/>
  <c r="B238" i="1" s="1"/>
  <c r="AD238" i="1" s="1"/>
  <c r="DC239" i="1"/>
  <c r="DD239" i="1"/>
  <c r="DC240" i="1"/>
  <c r="A240" i="1" s="1"/>
  <c r="DC241" i="1"/>
  <c r="DD241" i="1" s="1"/>
  <c r="DC220" i="1"/>
  <c r="A220" i="1" s="1"/>
  <c r="B220" i="1" s="1"/>
  <c r="AD220" i="1" s="1"/>
  <c r="DC221" i="1"/>
  <c r="DD221" i="1" s="1"/>
  <c r="DC222" i="1"/>
  <c r="A222" i="1" s="1"/>
  <c r="B222" i="1" s="1"/>
  <c r="BE222" i="1" s="1"/>
  <c r="CN222" i="1"/>
  <c r="DD222" i="1"/>
  <c r="DF222" i="1"/>
  <c r="DC223" i="1"/>
  <c r="DD223" i="1" s="1"/>
  <c r="DC224" i="1"/>
  <c r="A224" i="1" s="1"/>
  <c r="B224" i="1" s="1"/>
  <c r="BE224" i="1" s="1"/>
  <c r="DC225" i="1"/>
  <c r="DD225" i="1" s="1"/>
  <c r="DC226" i="1"/>
  <c r="A226" i="1" s="1"/>
  <c r="B226" i="1" s="1"/>
  <c r="CO226" i="1" s="1"/>
  <c r="AD226" i="1"/>
  <c r="DC227" i="1"/>
  <c r="DD227" i="1" s="1"/>
  <c r="DC206" i="1"/>
  <c r="A206" i="1" s="1"/>
  <c r="B206" i="1" s="1"/>
  <c r="AD206" i="1" s="1"/>
  <c r="DD206" i="1"/>
  <c r="DC207" i="1"/>
  <c r="DD207" i="1" s="1"/>
  <c r="DC208" i="1"/>
  <c r="A208" i="1" s="1"/>
  <c r="B208" i="1" s="1"/>
  <c r="CO208" i="1" s="1"/>
  <c r="DC209" i="1"/>
  <c r="DD209" i="1" s="1"/>
  <c r="DC210" i="1"/>
  <c r="A210" i="1" s="1"/>
  <c r="B210" i="1" s="1"/>
  <c r="AD210" i="1" s="1"/>
  <c r="BE210" i="1"/>
  <c r="CE210" i="1"/>
  <c r="DC211" i="1"/>
  <c r="DD211" i="1" s="1"/>
  <c r="DC212" i="1"/>
  <c r="A212" i="1" s="1"/>
  <c r="B212" i="1" s="1"/>
  <c r="CO212" i="1" s="1"/>
  <c r="DC213" i="1"/>
  <c r="DD213" i="1" s="1"/>
  <c r="DC228" i="1"/>
  <c r="A228" i="1" s="1"/>
  <c r="B228" i="1" s="1"/>
  <c r="AD228" i="1" s="1"/>
  <c r="CE228" i="1"/>
  <c r="DC229" i="1"/>
  <c r="DD229" i="1" s="1"/>
  <c r="DC230" i="1"/>
  <c r="A230" i="1" s="1"/>
  <c r="B230" i="1" s="1"/>
  <c r="AD230" i="1" s="1"/>
  <c r="DC231" i="1"/>
  <c r="DD231" i="1" s="1"/>
  <c r="DC232" i="1"/>
  <c r="A232" i="1" s="1"/>
  <c r="DC233" i="1"/>
  <c r="DD233" i="1" s="1"/>
  <c r="DC214" i="1"/>
  <c r="A214" i="1" s="1"/>
  <c r="DC215" i="1"/>
  <c r="DD215" i="1" s="1"/>
  <c r="DC216" i="1"/>
  <c r="DD216" i="1" s="1"/>
  <c r="DC217" i="1"/>
  <c r="DD217" i="1" s="1"/>
  <c r="DC218" i="1"/>
  <c r="A218" i="1" s="1"/>
  <c r="B218" i="1" s="1"/>
  <c r="CO218" i="1" s="1"/>
  <c r="DC219" i="1"/>
  <c r="DD219" i="1" s="1"/>
  <c r="DC246" i="1"/>
  <c r="A246" i="1" s="1"/>
  <c r="B246" i="1" s="1"/>
  <c r="AD246" i="1" s="1"/>
  <c r="AC246" i="1"/>
  <c r="CE246" i="1"/>
  <c r="DC247" i="1"/>
  <c r="DD247" i="1" s="1"/>
  <c r="DC248" i="1"/>
  <c r="A248" i="1" s="1"/>
  <c r="DC249" i="1"/>
  <c r="DD249" i="1" s="1"/>
  <c r="DC250" i="1"/>
  <c r="A250" i="1" s="1"/>
  <c r="B250" i="1" s="1"/>
  <c r="BE250" i="1" s="1"/>
  <c r="DC251" i="1"/>
  <c r="DD251" i="1" s="1"/>
  <c r="DC252" i="1"/>
  <c r="A252" i="1" s="1"/>
  <c r="B252" i="1" s="1"/>
  <c r="BE252" i="1" s="1"/>
  <c r="CF252" i="1"/>
  <c r="CN252" i="1"/>
  <c r="CO252" i="1"/>
  <c r="DC253" i="1"/>
  <c r="DD253" i="1" s="1"/>
  <c r="DC254" i="1"/>
  <c r="A254" i="1" s="1"/>
  <c r="B254" i="1" s="1"/>
  <c r="BE254" i="1" s="1"/>
  <c r="DC255" i="1"/>
  <c r="DD255" i="1" s="1"/>
  <c r="DC256" i="1"/>
  <c r="A256" i="1" s="1"/>
  <c r="B256" i="1" s="1"/>
  <c r="BE256" i="1" s="1"/>
  <c r="DC257" i="1"/>
  <c r="DD257" i="1" s="1"/>
  <c r="DC258" i="1"/>
  <c r="DF258" i="1" s="1"/>
  <c r="A258" i="1"/>
  <c r="B258" i="1" s="1"/>
  <c r="AD258" i="1" s="1"/>
  <c r="CE258" i="1"/>
  <c r="DC259" i="1"/>
  <c r="DD259" i="1" s="1"/>
  <c r="DC260" i="1"/>
  <c r="A260" i="1" s="1"/>
  <c r="B260" i="1" s="1"/>
  <c r="AD260" i="1" s="1"/>
  <c r="DF214" i="1" l="1"/>
  <c r="DF232" i="1"/>
  <c r="BE228" i="1"/>
  <c r="AC226" i="1"/>
  <c r="BD222" i="1"/>
  <c r="DD232" i="1"/>
  <c r="AC228" i="1"/>
  <c r="AD222" i="1"/>
  <c r="DD258" i="1"/>
  <c r="AC232" i="1"/>
  <c r="B232" i="1"/>
  <c r="AD232" i="1" s="1"/>
  <c r="CE232" i="1"/>
  <c r="BD232" i="1"/>
  <c r="CN232" i="1"/>
  <c r="CF228" i="1"/>
  <c r="DD226" i="1"/>
  <c r="AC222" i="1"/>
  <c r="CO236" i="1"/>
  <c r="CO222" i="1"/>
  <c r="AD254" i="1"/>
  <c r="CF222" i="1"/>
  <c r="BE236" i="1"/>
  <c r="CE252" i="1"/>
  <c r="AC254" i="1"/>
  <c r="BD252" i="1"/>
  <c r="AC218" i="1"/>
  <c r="CE222" i="1"/>
  <c r="CO220" i="1"/>
  <c r="BD236" i="1"/>
  <c r="DF228" i="1"/>
  <c r="DF226" i="1"/>
  <c r="BE220" i="1"/>
  <c r="AD236" i="1"/>
  <c r="BD248" i="1"/>
  <c r="CN248" i="1"/>
  <c r="B248" i="1"/>
  <c r="CF248" i="1" s="1"/>
  <c r="CE248" i="1"/>
  <c r="AC248" i="1"/>
  <c r="CF218" i="1"/>
  <c r="DF210" i="1"/>
  <c r="DD238" i="1"/>
  <c r="DF252" i="1"/>
  <c r="DD210" i="1"/>
  <c r="CE226" i="1"/>
  <c r="CO238" i="1"/>
  <c r="DF218" i="1"/>
  <c r="CF226" i="1"/>
  <c r="DD254" i="1"/>
  <c r="AD252" i="1"/>
  <c r="DF248" i="1"/>
  <c r="CE218" i="1"/>
  <c r="CF254" i="1"/>
  <c r="DD252" i="1"/>
  <c r="AC252" i="1"/>
  <c r="DD248" i="1"/>
  <c r="BE218" i="1"/>
  <c r="A216" i="1"/>
  <c r="DD228" i="1"/>
  <c r="CO210" i="1"/>
  <c r="BE226" i="1"/>
  <c r="DD224" i="1"/>
  <c r="DF240" i="1"/>
  <c r="CE238" i="1"/>
  <c r="DF254" i="1"/>
  <c r="CE254" i="1"/>
  <c r="AD218" i="1"/>
  <c r="CO228" i="1"/>
  <c r="CF210" i="1"/>
  <c r="BD226" i="1"/>
  <c r="CE224" i="1"/>
  <c r="DD240" i="1"/>
  <c r="BE238" i="1"/>
  <c r="DF234" i="1"/>
  <c r="AC224" i="1"/>
  <c r="AC238" i="1"/>
  <c r="DD234" i="1"/>
  <c r="DD218" i="1"/>
  <c r="AC258" i="1"/>
  <c r="DD246" i="1"/>
  <c r="AC210" i="1"/>
  <c r="DF206" i="1"/>
  <c r="CN226" i="1"/>
  <c r="CN206" i="1"/>
  <c r="BD206" i="1"/>
  <c r="CO206" i="1"/>
  <c r="BE206" i="1"/>
  <c r="CF206" i="1"/>
  <c r="CE206" i="1"/>
  <c r="AC206" i="1"/>
  <c r="B240" i="1"/>
  <c r="AC240" i="1"/>
  <c r="CE240" i="1"/>
  <c r="BD240" i="1"/>
  <c r="CN240" i="1"/>
  <c r="B234" i="1"/>
  <c r="AC234" i="1"/>
  <c r="CE234" i="1"/>
  <c r="BD234" i="1"/>
  <c r="CN234" i="1"/>
  <c r="AC214" i="1"/>
  <c r="BD214" i="1"/>
  <c r="CN214" i="1"/>
  <c r="B214" i="1"/>
  <c r="CE214" i="1"/>
  <c r="BE260" i="1"/>
  <c r="CO250" i="1"/>
  <c r="CO230" i="1"/>
  <c r="BE230" i="1"/>
  <c r="BE212" i="1"/>
  <c r="CO258" i="1"/>
  <c r="BE258" i="1"/>
  <c r="CN250" i="1"/>
  <c r="BD250" i="1"/>
  <c r="DF216" i="1"/>
  <c r="DD214" i="1"/>
  <c r="CN230" i="1"/>
  <c r="BD230" i="1"/>
  <c r="CN258" i="1"/>
  <c r="BD258" i="1"/>
  <c r="DF256" i="1"/>
  <c r="AD256" i="1"/>
  <c r="CO254" i="1"/>
  <c r="DF250" i="1"/>
  <c r="CF250" i="1"/>
  <c r="AD250" i="1"/>
  <c r="CN246" i="1"/>
  <c r="BD246" i="1"/>
  <c r="CE216" i="1"/>
  <c r="AC216" i="1"/>
  <c r="DF230" i="1"/>
  <c r="CF230" i="1"/>
  <c r="DF212" i="1"/>
  <c r="CF212" i="1"/>
  <c r="AD212" i="1"/>
  <c r="DF208" i="1"/>
  <c r="CF208" i="1"/>
  <c r="AD208" i="1"/>
  <c r="CN224" i="1"/>
  <c r="BD224" i="1"/>
  <c r="DF220" i="1"/>
  <c r="CF220" i="1"/>
  <c r="CN238" i="1"/>
  <c r="BD238" i="1"/>
  <c r="DD236" i="1"/>
  <c r="CE236" i="1"/>
  <c r="AC236" i="1"/>
  <c r="BE208" i="1"/>
  <c r="CN256" i="1"/>
  <c r="BD256" i="1"/>
  <c r="CO246" i="1"/>
  <c r="BE246" i="1"/>
  <c r="CO232" i="1"/>
  <c r="BE232" i="1"/>
  <c r="CN212" i="1"/>
  <c r="BD212" i="1"/>
  <c r="CN220" i="1"/>
  <c r="CF260" i="1"/>
  <c r="CF256" i="1"/>
  <c r="CE260" i="1"/>
  <c r="AC260" i="1"/>
  <c r="CF258" i="1"/>
  <c r="DD256" i="1"/>
  <c r="CE256" i="1"/>
  <c r="AC256" i="1"/>
  <c r="CN254" i="1"/>
  <c r="BD254" i="1"/>
  <c r="DD250" i="1"/>
  <c r="CE250" i="1"/>
  <c r="AC250" i="1"/>
  <c r="DF246" i="1"/>
  <c r="CF246" i="1"/>
  <c r="CN218" i="1"/>
  <c r="BD218" i="1"/>
  <c r="CF232" i="1"/>
  <c r="DD230" i="1"/>
  <c r="CE230" i="1"/>
  <c r="AC230" i="1"/>
  <c r="CN228" i="1"/>
  <c r="BD228" i="1"/>
  <c r="DD212" i="1"/>
  <c r="CE212" i="1"/>
  <c r="AC212" i="1"/>
  <c r="CN210" i="1"/>
  <c r="BD210" i="1"/>
  <c r="DD208" i="1"/>
  <c r="CE208" i="1"/>
  <c r="AC208" i="1"/>
  <c r="DF224" i="1"/>
  <c r="CF224" i="1"/>
  <c r="AD224" i="1"/>
  <c r="DD220" i="1"/>
  <c r="CE220" i="1"/>
  <c r="AC220" i="1"/>
  <c r="DF238" i="1"/>
  <c r="CF238" i="1"/>
  <c r="CO256" i="1"/>
  <c r="BD260" i="1"/>
  <c r="CN208" i="1"/>
  <c r="BD208" i="1"/>
  <c r="CO224" i="1"/>
  <c r="BD220" i="1"/>
  <c r="CN260" i="1"/>
  <c r="CO260" i="1"/>
  <c r="DD260" i="1"/>
  <c r="DF260" i="1"/>
  <c r="DC261" i="1"/>
  <c r="DD261" i="1" s="1"/>
  <c r="DC262" i="1"/>
  <c r="A262" i="1" s="1"/>
  <c r="B262" i="1" s="1"/>
  <c r="B216" i="1" l="1"/>
  <c r="BD216" i="1"/>
  <c r="CN216" i="1"/>
  <c r="AD248" i="1"/>
  <c r="BE248" i="1"/>
  <c r="CO248" i="1"/>
  <c r="AD214" i="1"/>
  <c r="CF214" i="1"/>
  <c r="BE214" i="1"/>
  <c r="CO214" i="1"/>
  <c r="BE240" i="1"/>
  <c r="CO240" i="1"/>
  <c r="AD240" i="1"/>
  <c r="CF240" i="1"/>
  <c r="BE234" i="1"/>
  <c r="CO234" i="1"/>
  <c r="AD234" i="1"/>
  <c r="CF234" i="1"/>
  <c r="AC262" i="1"/>
  <c r="AD262" i="1"/>
  <c r="BD262" i="1"/>
  <c r="BE262" i="1"/>
  <c r="CE262" i="1"/>
  <c r="CF262" i="1"/>
  <c r="CN262" i="1"/>
  <c r="CO262" i="1"/>
  <c r="DD262" i="1"/>
  <c r="DF262" i="1"/>
  <c r="DC263" i="1"/>
  <c r="DD263" i="1" s="1"/>
  <c r="DC242" i="1"/>
  <c r="A242" i="1" s="1"/>
  <c r="DC243" i="1"/>
  <c r="DD243" i="1" s="1"/>
  <c r="DC244" i="1"/>
  <c r="A244" i="1" s="1"/>
  <c r="B244" i="1" s="1"/>
  <c r="AD244" i="1" s="1"/>
  <c r="DC245" i="1"/>
  <c r="DD245" i="1" s="1"/>
  <c r="BD244" i="1" l="1"/>
  <c r="DD244" i="1"/>
  <c r="CN244" i="1"/>
  <c r="CE244" i="1"/>
  <c r="AC244" i="1"/>
  <c r="CO216" i="1"/>
  <c r="AD216" i="1"/>
  <c r="CF216" i="1"/>
  <c r="BE216" i="1"/>
  <c r="B242" i="1"/>
  <c r="AC242" i="1"/>
  <c r="CE242" i="1"/>
  <c r="BD242" i="1"/>
  <c r="CN242" i="1"/>
  <c r="DF242" i="1"/>
  <c r="CO244" i="1"/>
  <c r="BE244" i="1"/>
  <c r="DD242" i="1"/>
  <c r="DF244" i="1"/>
  <c r="CF244" i="1"/>
  <c r="DC200" i="1"/>
  <c r="A200" i="1" s="1"/>
  <c r="CN200" i="1" s="1"/>
  <c r="DC201" i="1"/>
  <c r="DD201" i="1" s="1"/>
  <c r="DC202" i="1"/>
  <c r="A202" i="1" s="1"/>
  <c r="B202" i="1" s="1"/>
  <c r="BE202" i="1" s="1"/>
  <c r="DC203" i="1"/>
  <c r="DD203" i="1" s="1"/>
  <c r="DC204" i="1"/>
  <c r="A204" i="1" s="1"/>
  <c r="DC205" i="1"/>
  <c r="DD205" i="1" s="1"/>
  <c r="DC144" i="1"/>
  <c r="A144" i="1" s="1"/>
  <c r="DC145" i="1"/>
  <c r="DD145" i="1"/>
  <c r="DD202" i="1" l="1"/>
  <c r="DD144" i="1"/>
  <c r="DF144" i="1"/>
  <c r="DF202" i="1"/>
  <c r="CO202" i="1"/>
  <c r="DF204" i="1"/>
  <c r="DD204" i="1"/>
  <c r="BD202" i="1"/>
  <c r="BE242" i="1"/>
  <c r="CO242" i="1"/>
  <c r="AD242" i="1"/>
  <c r="CF242" i="1"/>
  <c r="AC144" i="1"/>
  <c r="CN144" i="1"/>
  <c r="B144" i="1"/>
  <c r="CE144" i="1"/>
  <c r="BD144" i="1"/>
  <c r="CN204" i="1"/>
  <c r="BD204" i="1"/>
  <c r="B204" i="1"/>
  <c r="CE204" i="1"/>
  <c r="AC204" i="1"/>
  <c r="CF202" i="1"/>
  <c r="AD202" i="1"/>
  <c r="B200" i="1"/>
  <c r="CE200" i="1"/>
  <c r="AC200" i="1"/>
  <c r="BD200" i="1"/>
  <c r="CE202" i="1"/>
  <c r="DD200" i="1"/>
  <c r="DF200" i="1"/>
  <c r="AC202" i="1"/>
  <c r="CN202" i="1"/>
  <c r="DC143" i="1"/>
  <c r="DD143" i="1" s="1"/>
  <c r="AD204" i="1" l="1"/>
  <c r="CO204" i="1"/>
  <c r="CF204" i="1"/>
  <c r="BE204" i="1"/>
  <c r="BE200" i="1"/>
  <c r="CF200" i="1"/>
  <c r="CO200" i="1"/>
  <c r="AD200" i="1"/>
  <c r="CF144" i="1"/>
  <c r="AD144" i="1"/>
  <c r="CO144" i="1"/>
  <c r="BE144" i="1"/>
  <c r="DC141" i="1"/>
  <c r="DD141" i="1" s="1"/>
  <c r="DC142" i="1"/>
  <c r="A142" i="1" s="1"/>
  <c r="B142" i="1" s="1"/>
  <c r="BD142" i="1" l="1"/>
  <c r="BE142" i="1"/>
  <c r="AD142" i="1"/>
  <c r="AC142" i="1"/>
  <c r="CE142" i="1"/>
  <c r="CF142" i="1"/>
  <c r="CN142" i="1"/>
  <c r="CO142" i="1"/>
  <c r="DD142" i="1"/>
  <c r="DF142" i="1"/>
  <c r="DC137" i="1"/>
  <c r="DD137" i="1" s="1"/>
  <c r="DC138" i="1"/>
  <c r="A138" i="1" s="1"/>
  <c r="B138" i="1" s="1"/>
  <c r="BD138" i="1" l="1"/>
  <c r="AC138" i="1"/>
  <c r="AD138" i="1"/>
  <c r="BE138" i="1"/>
  <c r="CE138" i="1"/>
  <c r="CF138" i="1"/>
  <c r="CN138" i="1"/>
  <c r="CO138" i="1"/>
  <c r="DD138" i="1"/>
  <c r="DF138" i="1"/>
  <c r="DC135" i="1"/>
  <c r="DD135" i="1" s="1"/>
  <c r="DC136" i="1"/>
  <c r="A136" i="1" s="1"/>
  <c r="BD136" i="1" l="1"/>
  <c r="B136" i="1"/>
  <c r="CF136" i="1" s="1"/>
  <c r="AC136" i="1"/>
  <c r="CE136" i="1"/>
  <c r="CN136" i="1"/>
  <c r="DD136" i="1"/>
  <c r="DF136" i="1"/>
  <c r="DC131" i="1"/>
  <c r="DD131" i="1" s="1"/>
  <c r="DC132" i="1"/>
  <c r="A132" i="1" s="1"/>
  <c r="BD132" i="1" l="1"/>
  <c r="B132" i="1"/>
  <c r="AC132" i="1"/>
  <c r="AD136" i="1"/>
  <c r="BE136" i="1"/>
  <c r="CO136" i="1"/>
  <c r="CE132" i="1"/>
  <c r="CN132" i="1"/>
  <c r="DD132" i="1"/>
  <c r="DF132" i="1"/>
  <c r="DC139" i="1"/>
  <c r="DD139" i="1" s="1"/>
  <c r="DC140" i="1"/>
  <c r="A140" i="1" s="1"/>
  <c r="B140" i="1" l="1"/>
  <c r="CO140" i="1" s="1"/>
  <c r="BD140" i="1"/>
  <c r="AC140" i="1"/>
  <c r="BE132" i="1"/>
  <c r="AD132" i="1"/>
  <c r="CO132" i="1"/>
  <c r="CF132" i="1"/>
  <c r="CE140" i="1"/>
  <c r="CN140" i="1"/>
  <c r="DD140" i="1"/>
  <c r="DF140" i="1"/>
  <c r="CF140" i="1" l="1"/>
  <c r="AD140" i="1"/>
  <c r="BE140" i="1"/>
  <c r="DC270" i="1" l="1"/>
  <c r="DF270" i="1" s="1"/>
  <c r="DC271" i="1"/>
  <c r="DD271" i="1" s="1"/>
  <c r="DC272" i="1"/>
  <c r="A272" i="1" s="1"/>
  <c r="DC273" i="1"/>
  <c r="DD273" i="1" s="1"/>
  <c r="DC274" i="1"/>
  <c r="A274" i="1" s="1"/>
  <c r="DC275" i="1"/>
  <c r="DD275" i="1" s="1"/>
  <c r="DF274" i="1" l="1"/>
  <c r="DF272" i="1"/>
  <c r="DD274" i="1"/>
  <c r="CE272" i="1"/>
  <c r="B272" i="1"/>
  <c r="AC272" i="1"/>
  <c r="CN272" i="1"/>
  <c r="BD272" i="1"/>
  <c r="CE274" i="1"/>
  <c r="B274" i="1"/>
  <c r="AC274" i="1"/>
  <c r="CN274" i="1"/>
  <c r="BD274" i="1"/>
  <c r="A270" i="1"/>
  <c r="DD270" i="1" l="1"/>
  <c r="DD272" i="1"/>
  <c r="CF274" i="1"/>
  <c r="AD274" i="1"/>
  <c r="CO274" i="1"/>
  <c r="BE274" i="1"/>
  <c r="BE272" i="1"/>
  <c r="CF272" i="1"/>
  <c r="AD272" i="1"/>
  <c r="CO272" i="1"/>
  <c r="BD270" i="1"/>
  <c r="CE270" i="1"/>
  <c r="B270" i="1"/>
  <c r="AC270" i="1"/>
  <c r="CN270" i="1"/>
  <c r="DC134" i="1"/>
  <c r="DD134" i="1" s="1"/>
  <c r="DC198" i="1"/>
  <c r="A198" i="1" s="1"/>
  <c r="B198" i="1" s="1"/>
  <c r="DC199" i="1"/>
  <c r="DD199" i="1" s="1"/>
  <c r="DC264" i="1"/>
  <c r="DF264" i="1" s="1"/>
  <c r="DC265" i="1"/>
  <c r="DD265" i="1" s="1"/>
  <c r="DC266" i="1"/>
  <c r="A266" i="1" s="1"/>
  <c r="DC267" i="1"/>
  <c r="DD267" i="1" s="1"/>
  <c r="DC268" i="1"/>
  <c r="DF268" i="1" s="1"/>
  <c r="DC269" i="1"/>
  <c r="DD269" i="1" s="1"/>
  <c r="DC276" i="1"/>
  <c r="DF276" i="1" s="1"/>
  <c r="DC277" i="1"/>
  <c r="DD277" i="1" s="1"/>
  <c r="DC278" i="1"/>
  <c r="DD278" i="1" s="1"/>
  <c r="DC279" i="1"/>
  <c r="DD279" i="1" s="1"/>
  <c r="DC280" i="1"/>
  <c r="DC281" i="1"/>
  <c r="DD281" i="1" s="1"/>
  <c r="DC282" i="1"/>
  <c r="A282" i="1" s="1"/>
  <c r="CN282" i="1" s="1"/>
  <c r="DC283" i="1"/>
  <c r="DD283" i="1" s="1"/>
  <c r="DC284" i="1"/>
  <c r="DF284" i="1" s="1"/>
  <c r="DC285" i="1"/>
  <c r="DD285" i="1" s="1"/>
  <c r="DC133" i="1"/>
  <c r="DD133" i="1" s="1"/>
  <c r="DF134" i="1" l="1"/>
  <c r="DD268" i="1"/>
  <c r="A276" i="1"/>
  <c r="B276" i="1" s="1"/>
  <c r="BE276" i="1" s="1"/>
  <c r="DF278" i="1"/>
  <c r="A134" i="1"/>
  <c r="BE270" i="1"/>
  <c r="CF270" i="1"/>
  <c r="AD270" i="1"/>
  <c r="CO270" i="1"/>
  <c r="A284" i="1"/>
  <c r="AC284" i="1" s="1"/>
  <c r="A268" i="1"/>
  <c r="B268" i="1" s="1"/>
  <c r="AD268" i="1" s="1"/>
  <c r="A278" i="1"/>
  <c r="DF198" i="1"/>
  <c r="BD134" i="1"/>
  <c r="DD198" i="1"/>
  <c r="DD276" i="1"/>
  <c r="BD276" i="1"/>
  <c r="DD284" i="1"/>
  <c r="B266" i="1"/>
  <c r="CE266" i="1"/>
  <c r="AC266" i="1"/>
  <c r="CN266" i="1"/>
  <c r="BD266" i="1"/>
  <c r="BD282" i="1"/>
  <c r="CF276" i="1"/>
  <c r="AD276" i="1"/>
  <c r="A264" i="1"/>
  <c r="DD264" i="1"/>
  <c r="AC276" i="1"/>
  <c r="CN276" i="1"/>
  <c r="DD266" i="1"/>
  <c r="DF266" i="1"/>
  <c r="B282" i="1"/>
  <c r="CE282" i="1"/>
  <c r="AC282" i="1"/>
  <c r="A280" i="1"/>
  <c r="DD280" i="1"/>
  <c r="AC268" i="1"/>
  <c r="DD282" i="1"/>
  <c r="DF282" i="1"/>
  <c r="DF280" i="1"/>
  <c r="AD198" i="1"/>
  <c r="CO198" i="1"/>
  <c r="CF198" i="1"/>
  <c r="BE198" i="1"/>
  <c r="AC198" i="1"/>
  <c r="CE198" i="1"/>
  <c r="CN198" i="1"/>
  <c r="BD198" i="1"/>
  <c r="AC134" i="1"/>
  <c r="B134" i="1"/>
  <c r="DC4" i="1"/>
  <c r="DC5" i="1"/>
  <c r="DC32" i="1"/>
  <c r="DC33" i="1"/>
  <c r="DC34" i="1"/>
  <c r="DC35" i="1"/>
  <c r="DC36" i="1"/>
  <c r="DC37" i="1"/>
  <c r="DC38" i="1"/>
  <c r="DC39" i="1"/>
  <c r="DC40" i="1"/>
  <c r="DC41" i="1"/>
  <c r="DC42" i="1"/>
  <c r="DC43" i="1"/>
  <c r="DC44" i="1"/>
  <c r="DC45" i="1"/>
  <c r="DC46" i="1"/>
  <c r="DC47" i="1"/>
  <c r="DC48" i="1"/>
  <c r="DC49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C66" i="1"/>
  <c r="DC67" i="1"/>
  <c r="DC68" i="1"/>
  <c r="DC69" i="1"/>
  <c r="DC70" i="1"/>
  <c r="DC71" i="1"/>
  <c r="DC72" i="1"/>
  <c r="DC73" i="1"/>
  <c r="DC74" i="1"/>
  <c r="DC75" i="1"/>
  <c r="DC76" i="1"/>
  <c r="DC77" i="1"/>
  <c r="DC78" i="1"/>
  <c r="DC79" i="1"/>
  <c r="DC80" i="1"/>
  <c r="DC81" i="1"/>
  <c r="DC82" i="1"/>
  <c r="DC83" i="1"/>
  <c r="DC84" i="1"/>
  <c r="DC85" i="1"/>
  <c r="DC86" i="1"/>
  <c r="DC87" i="1"/>
  <c r="DC88" i="1"/>
  <c r="DC89" i="1"/>
  <c r="DC90" i="1"/>
  <c r="DC91" i="1"/>
  <c r="DC92" i="1"/>
  <c r="DC93" i="1"/>
  <c r="DC94" i="1"/>
  <c r="DC95" i="1"/>
  <c r="DC96" i="1"/>
  <c r="DC97" i="1"/>
  <c r="DC98" i="1"/>
  <c r="DC99" i="1"/>
  <c r="DC100" i="1"/>
  <c r="DC101" i="1"/>
  <c r="DC102" i="1"/>
  <c r="DC103" i="1"/>
  <c r="DC104" i="1"/>
  <c r="DC105" i="1"/>
  <c r="DC106" i="1"/>
  <c r="DC107" i="1"/>
  <c r="DC108" i="1"/>
  <c r="DC109" i="1"/>
  <c r="DC110" i="1"/>
  <c r="DC111" i="1"/>
  <c r="DC112" i="1"/>
  <c r="DC113" i="1"/>
  <c r="DC114" i="1"/>
  <c r="DC115" i="1"/>
  <c r="DC116" i="1"/>
  <c r="DC117" i="1"/>
  <c r="DC118" i="1"/>
  <c r="DC119" i="1"/>
  <c r="DC120" i="1"/>
  <c r="DC121" i="1"/>
  <c r="DC128" i="1"/>
  <c r="DC129" i="1"/>
  <c r="DC130" i="1"/>
  <c r="CN268" i="1" l="1"/>
  <c r="CN284" i="1"/>
  <c r="CE276" i="1"/>
  <c r="CO276" i="1"/>
  <c r="CE268" i="1"/>
  <c r="BD268" i="1"/>
  <c r="CF268" i="1"/>
  <c r="CO268" i="1"/>
  <c r="BE268" i="1"/>
  <c r="CN134" i="1"/>
  <c r="CE134" i="1"/>
  <c r="CN278" i="1"/>
  <c r="CE278" i="1"/>
  <c r="B278" i="1"/>
  <c r="AC278" i="1"/>
  <c r="BD278" i="1"/>
  <c r="B284" i="1"/>
  <c r="BD284" i="1"/>
  <c r="CE284" i="1"/>
  <c r="BE282" i="1"/>
  <c r="CF282" i="1"/>
  <c r="AD282" i="1"/>
  <c r="CO282" i="1"/>
  <c r="BD280" i="1"/>
  <c r="B280" i="1"/>
  <c r="CE280" i="1"/>
  <c r="AC280" i="1"/>
  <c r="CN280" i="1"/>
  <c r="AD134" i="1"/>
  <c r="BE134" i="1"/>
  <c r="CF134" i="1"/>
  <c r="CO134" i="1"/>
  <c r="BD264" i="1"/>
  <c r="B264" i="1"/>
  <c r="CE264" i="1"/>
  <c r="AC264" i="1"/>
  <c r="CN264" i="1"/>
  <c r="BE266" i="1"/>
  <c r="CF266" i="1"/>
  <c r="AD266" i="1"/>
  <c r="CO266" i="1"/>
  <c r="A128" i="1"/>
  <c r="CN128" i="1" s="1"/>
  <c r="DD128" i="1"/>
  <c r="DF128" i="1"/>
  <c r="CF278" i="1" l="1"/>
  <c r="BE278" i="1"/>
  <c r="CO278" i="1"/>
  <c r="AD278" i="1"/>
  <c r="BE284" i="1"/>
  <c r="CO284" i="1"/>
  <c r="CF284" i="1"/>
  <c r="AD284" i="1"/>
  <c r="CO264" i="1"/>
  <c r="BE264" i="1"/>
  <c r="CF264" i="1"/>
  <c r="AD264" i="1"/>
  <c r="CO280" i="1"/>
  <c r="BE280" i="1"/>
  <c r="CF280" i="1"/>
  <c r="AD280" i="1"/>
  <c r="BD128" i="1"/>
  <c r="AC128" i="1"/>
  <c r="CE128" i="1"/>
  <c r="B128" i="1"/>
  <c r="CO128" i="1" l="1"/>
  <c r="BE128" i="1"/>
  <c r="CF128" i="1"/>
  <c r="AD128" i="1"/>
  <c r="DD129" i="1"/>
  <c r="A130" i="1" l="1"/>
  <c r="DD130" i="1"/>
  <c r="DF130" i="1"/>
  <c r="B130" i="1" l="1"/>
  <c r="AC130" i="1"/>
  <c r="BD130" i="1"/>
  <c r="CN130" i="1"/>
  <c r="CE130" i="1"/>
  <c r="CF130" i="1" l="1"/>
  <c r="AD130" i="1"/>
  <c r="CO130" i="1"/>
  <c r="BE130" i="1"/>
  <c r="A16" i="3" l="1"/>
  <c r="B16" i="3" s="1"/>
  <c r="C16" i="3"/>
  <c r="D16" i="3" s="1"/>
  <c r="E16" i="3"/>
  <c r="F16" i="3"/>
  <c r="G16" i="3"/>
  <c r="H16" i="3" s="1"/>
  <c r="I16" i="3"/>
  <c r="J16" i="3" s="1"/>
  <c r="K16" i="3"/>
  <c r="L16" i="3" s="1"/>
  <c r="M16" i="3"/>
  <c r="N16" i="3" s="1"/>
  <c r="O16" i="3"/>
  <c r="P16" i="3" s="1"/>
  <c r="Q16" i="3"/>
  <c r="R16" i="3" s="1"/>
  <c r="S16" i="3"/>
  <c r="T16" i="3" s="1"/>
  <c r="A18" i="3"/>
  <c r="B18" i="3"/>
  <c r="C18" i="3"/>
  <c r="D18" i="3" s="1"/>
  <c r="E18" i="3"/>
  <c r="F18" i="3" s="1"/>
  <c r="G18" i="3"/>
  <c r="H18" i="3" s="1"/>
  <c r="I18" i="3"/>
  <c r="J18" i="3" s="1"/>
  <c r="K18" i="3"/>
  <c r="L18" i="3" s="1"/>
  <c r="M18" i="3"/>
  <c r="N18" i="3" s="1"/>
  <c r="O18" i="3"/>
  <c r="P18" i="3" s="1"/>
  <c r="Q18" i="3"/>
  <c r="R18" i="3" s="1"/>
  <c r="S18" i="3"/>
  <c r="T18" i="3" s="1"/>
  <c r="A20" i="3"/>
  <c r="B20" i="3" s="1"/>
  <c r="C20" i="3"/>
  <c r="D20" i="3" s="1"/>
  <c r="E20" i="3"/>
  <c r="F20" i="3" s="1"/>
  <c r="G20" i="3"/>
  <c r="H20" i="3" s="1"/>
  <c r="I20" i="3"/>
  <c r="J20" i="3" s="1"/>
  <c r="K20" i="3"/>
  <c r="L20" i="3" s="1"/>
  <c r="M20" i="3"/>
  <c r="N20" i="3" s="1"/>
  <c r="O20" i="3"/>
  <c r="P20" i="3" s="1"/>
  <c r="Q20" i="3"/>
  <c r="R20" i="3" s="1"/>
  <c r="S20" i="3"/>
  <c r="T20" i="3" s="1"/>
  <c r="U20" i="3"/>
  <c r="V20" i="3" s="1"/>
  <c r="A23" i="3"/>
  <c r="B23" i="3" s="1"/>
  <c r="C23" i="3"/>
  <c r="D23" i="3" s="1"/>
  <c r="E23" i="3"/>
  <c r="F23" i="3" s="1"/>
  <c r="G23" i="3"/>
  <c r="H23" i="3" s="1"/>
  <c r="I23" i="3"/>
  <c r="J23" i="3" s="1"/>
  <c r="K23" i="3"/>
  <c r="L23" i="3" s="1"/>
  <c r="M23" i="3"/>
  <c r="N23" i="3" s="1"/>
  <c r="O23" i="3"/>
  <c r="P23" i="3" s="1"/>
  <c r="Q23" i="3"/>
  <c r="R23" i="3" s="1"/>
  <c r="S23" i="3"/>
  <c r="T23" i="3" s="1"/>
  <c r="A25" i="3"/>
  <c r="B25" i="3" s="1"/>
  <c r="C25" i="3"/>
  <c r="D25" i="3"/>
  <c r="E25" i="3"/>
  <c r="F25" i="3" s="1"/>
  <c r="G25" i="3"/>
  <c r="H25" i="3" s="1"/>
  <c r="I25" i="3"/>
  <c r="J25" i="3" s="1"/>
  <c r="K25" i="3"/>
  <c r="L25" i="3" s="1"/>
  <c r="M25" i="3"/>
  <c r="N25" i="3" s="1"/>
  <c r="O25" i="3"/>
  <c r="P25" i="3" s="1"/>
  <c r="Q25" i="3"/>
  <c r="R25" i="3" s="1"/>
  <c r="S25" i="3"/>
  <c r="T25" i="3"/>
  <c r="A27" i="3"/>
  <c r="B27" i="3" s="1"/>
  <c r="C27" i="3"/>
  <c r="D27" i="3" s="1"/>
  <c r="E27" i="3"/>
  <c r="F27" i="3" s="1"/>
  <c r="G27" i="3"/>
  <c r="H27" i="3" s="1"/>
  <c r="I27" i="3"/>
  <c r="J27" i="3" s="1"/>
  <c r="K27" i="3"/>
  <c r="L27" i="3" s="1"/>
  <c r="M27" i="3"/>
  <c r="N27" i="3" s="1"/>
  <c r="O27" i="3"/>
  <c r="P27" i="3"/>
  <c r="Q27" i="3"/>
  <c r="R27" i="3" s="1"/>
  <c r="S27" i="3"/>
  <c r="T27" i="3" s="1"/>
  <c r="U27" i="3"/>
  <c r="V27" i="3" s="1"/>
  <c r="A30" i="3"/>
  <c r="B30" i="3" s="1"/>
  <c r="C30" i="3"/>
  <c r="D30" i="3" s="1"/>
  <c r="E30" i="3"/>
  <c r="F30" i="3" s="1"/>
  <c r="G30" i="3"/>
  <c r="H30" i="3" s="1"/>
  <c r="I30" i="3"/>
  <c r="J30" i="3"/>
  <c r="K30" i="3"/>
  <c r="L30" i="3" s="1"/>
  <c r="M30" i="3"/>
  <c r="N30" i="3" s="1"/>
  <c r="O30" i="3"/>
  <c r="P30" i="3" s="1"/>
  <c r="Q30" i="3"/>
  <c r="R30" i="3" s="1"/>
  <c r="S30" i="3"/>
  <c r="T30" i="3" s="1"/>
  <c r="A32" i="3"/>
  <c r="B32" i="3" s="1"/>
  <c r="C32" i="3"/>
  <c r="D32" i="3" s="1"/>
  <c r="E32" i="3"/>
  <c r="F32" i="3" s="1"/>
  <c r="G32" i="3"/>
  <c r="H32" i="3" s="1"/>
  <c r="I32" i="3"/>
  <c r="J32" i="3" s="1"/>
  <c r="K32" i="3"/>
  <c r="L32" i="3" s="1"/>
  <c r="M32" i="3"/>
  <c r="N32" i="3" s="1"/>
  <c r="O32" i="3"/>
  <c r="P32" i="3" s="1"/>
  <c r="Q32" i="3"/>
  <c r="R32" i="3" s="1"/>
  <c r="S32" i="3"/>
  <c r="T32" i="3" s="1"/>
  <c r="A34" i="3"/>
  <c r="B34" i="3"/>
  <c r="C34" i="3"/>
  <c r="D34" i="3" s="1"/>
  <c r="E34" i="3"/>
  <c r="F34" i="3" s="1"/>
  <c r="G34" i="3"/>
  <c r="H34" i="3" s="1"/>
  <c r="I34" i="3"/>
  <c r="J34" i="3" s="1"/>
  <c r="K34" i="3"/>
  <c r="L34" i="3" s="1"/>
  <c r="M34" i="3"/>
  <c r="N34" i="3" s="1"/>
  <c r="O34" i="3"/>
  <c r="P34" i="3" s="1"/>
  <c r="Q34" i="3"/>
  <c r="R34" i="3" s="1"/>
  <c r="S34" i="3"/>
  <c r="T34" i="3" s="1"/>
  <c r="U34" i="3"/>
  <c r="V34" i="3" s="1"/>
  <c r="DD121" i="1" l="1"/>
  <c r="A120" i="1" l="1"/>
  <c r="B120" i="1" l="1"/>
  <c r="AC120" i="1"/>
  <c r="CE120" i="1"/>
  <c r="BD120" i="1"/>
  <c r="CN120" i="1"/>
  <c r="DD120" i="1"/>
  <c r="DF120" i="1"/>
  <c r="AD120" i="1" l="1"/>
  <c r="BE120" i="1"/>
  <c r="CF120" i="1"/>
  <c r="CO120" i="1"/>
  <c r="A118" i="1" l="1"/>
  <c r="B118" i="1" s="1"/>
  <c r="AD118" i="1" s="1"/>
  <c r="BD118" i="1" l="1"/>
  <c r="BE118" i="1"/>
  <c r="AC118" i="1"/>
  <c r="CE118" i="1"/>
  <c r="CF118" i="1"/>
  <c r="CN118" i="1"/>
  <c r="CO118" i="1"/>
  <c r="DD118" i="1"/>
  <c r="DF118" i="1"/>
  <c r="DD119" i="1"/>
  <c r="DD117" i="1" l="1"/>
  <c r="A114" i="1" l="1"/>
  <c r="BD114" i="1" l="1"/>
  <c r="B114" i="1"/>
  <c r="CF114" i="1" s="1"/>
  <c r="AC114" i="1"/>
  <c r="CE114" i="1"/>
  <c r="CN114" i="1"/>
  <c r="DD114" i="1"/>
  <c r="DF114" i="1"/>
  <c r="DD115" i="1"/>
  <c r="A116" i="1"/>
  <c r="B116" i="1" l="1"/>
  <c r="CO116" i="1" s="1"/>
  <c r="AC116" i="1"/>
  <c r="BD116" i="1"/>
  <c r="CO114" i="1"/>
  <c r="AD114" i="1"/>
  <c r="BE114" i="1"/>
  <c r="CE116" i="1"/>
  <c r="CN116" i="1"/>
  <c r="DD116" i="1"/>
  <c r="DF116" i="1"/>
  <c r="CF116" i="1" l="1"/>
  <c r="AD116" i="1"/>
  <c r="BE116" i="1"/>
  <c r="A112" i="1" l="1"/>
  <c r="BD112" i="1" l="1"/>
  <c r="B112" i="1"/>
  <c r="AD112" i="1" s="1"/>
  <c r="AC112" i="1"/>
  <c r="CE112" i="1"/>
  <c r="CN112" i="1"/>
  <c r="DD112" i="1"/>
  <c r="DF112" i="1"/>
  <c r="DD113" i="1"/>
  <c r="CO112" i="1" l="1"/>
  <c r="BE112" i="1"/>
  <c r="CF112" i="1"/>
  <c r="DD111" i="1" l="1"/>
  <c r="A108" i="1" l="1"/>
  <c r="CN108" i="1" s="1"/>
  <c r="DD108" i="1"/>
  <c r="DF108" i="1"/>
  <c r="DD109" i="1"/>
  <c r="A110" i="1"/>
  <c r="BD110" i="1" s="1"/>
  <c r="B108" i="1" l="1"/>
  <c r="AD108" i="1" s="1"/>
  <c r="CE108" i="1"/>
  <c r="AC108" i="1"/>
  <c r="DF110" i="1"/>
  <c r="CE110" i="1"/>
  <c r="BD108" i="1"/>
  <c r="DD110" i="1"/>
  <c r="AC110" i="1"/>
  <c r="CN110" i="1"/>
  <c r="B110" i="1"/>
  <c r="BE108" i="1" l="1"/>
  <c r="CF108" i="1"/>
  <c r="CO108" i="1"/>
  <c r="CO110" i="1"/>
  <c r="AD110" i="1"/>
  <c r="BE110" i="1"/>
  <c r="CF110" i="1"/>
  <c r="A104" i="1" l="1"/>
  <c r="B104" i="1" s="1"/>
  <c r="BE104" i="1" l="1"/>
  <c r="AD104" i="1"/>
  <c r="AC104" i="1"/>
  <c r="BD104" i="1"/>
  <c r="CE104" i="1"/>
  <c r="CF104" i="1"/>
  <c r="CN104" i="1"/>
  <c r="CO104" i="1"/>
  <c r="DD104" i="1"/>
  <c r="DF104" i="1"/>
  <c r="DD105" i="1"/>
  <c r="A106" i="1"/>
  <c r="BD106" i="1" l="1"/>
  <c r="B106" i="1"/>
  <c r="CO106" i="1" s="1"/>
  <c r="AC106" i="1"/>
  <c r="CE106" i="1"/>
  <c r="CN106" i="1"/>
  <c r="DD106" i="1"/>
  <c r="DF106" i="1"/>
  <c r="DD107" i="1"/>
  <c r="CF106" i="1" l="1"/>
  <c r="AD106" i="1"/>
  <c r="BE106" i="1"/>
  <c r="DD101" i="1" l="1"/>
  <c r="A102" i="1"/>
  <c r="BD102" i="1" l="1"/>
  <c r="B102" i="1"/>
  <c r="CO102" i="1" s="1"/>
  <c r="AC102" i="1"/>
  <c r="CE102" i="1"/>
  <c r="CN102" i="1"/>
  <c r="DD102" i="1"/>
  <c r="DF102" i="1"/>
  <c r="CF102" i="1" l="1"/>
  <c r="AD102" i="1"/>
  <c r="BE102" i="1"/>
  <c r="A100" i="1" l="1"/>
  <c r="B100" i="1" l="1"/>
  <c r="CF100" i="1" s="1"/>
  <c r="BD100" i="1"/>
  <c r="AC100" i="1"/>
  <c r="CE100" i="1"/>
  <c r="CN100" i="1"/>
  <c r="DD100" i="1"/>
  <c r="DF100" i="1"/>
  <c r="BE100" i="1" l="1"/>
  <c r="AD100" i="1"/>
  <c r="CO100" i="1"/>
  <c r="DD103" i="1"/>
  <c r="DD97" i="1" l="1"/>
  <c r="A98" i="1"/>
  <c r="B98" i="1" l="1"/>
  <c r="AD98" i="1" s="1"/>
  <c r="BD98" i="1"/>
  <c r="AC98" i="1"/>
  <c r="CE98" i="1"/>
  <c r="CN98" i="1"/>
  <c r="DD98" i="1"/>
  <c r="DF98" i="1"/>
  <c r="DD99" i="1"/>
  <c r="DD90" i="1"/>
  <c r="DD91" i="1"/>
  <c r="DF92" i="1"/>
  <c r="DD93" i="1"/>
  <c r="DD94" i="1"/>
  <c r="DD95" i="1"/>
  <c r="A96" i="1"/>
  <c r="AC96" i="1" s="1"/>
  <c r="DF94" i="1" l="1"/>
  <c r="CO98" i="1"/>
  <c r="A94" i="1"/>
  <c r="DD92" i="1"/>
  <c r="A92" i="1"/>
  <c r="BE98" i="1"/>
  <c r="CF98" i="1"/>
  <c r="A90" i="1"/>
  <c r="DF90" i="1"/>
  <c r="BD96" i="1"/>
  <c r="B96" i="1"/>
  <c r="BE96" i="1" s="1"/>
  <c r="CE96" i="1"/>
  <c r="CN96" i="1"/>
  <c r="DD96" i="1"/>
  <c r="DF96" i="1"/>
  <c r="AC92" i="1" l="1"/>
  <c r="B92" i="1"/>
  <c r="CN92" i="1"/>
  <c r="CE92" i="1"/>
  <c r="CN94" i="1"/>
  <c r="B94" i="1"/>
  <c r="AC94" i="1"/>
  <c r="BD94" i="1"/>
  <c r="CE94" i="1"/>
  <c r="BD92" i="1"/>
  <c r="B90" i="1"/>
  <c r="CE90" i="1"/>
  <c r="BD90" i="1"/>
  <c r="CN90" i="1"/>
  <c r="AC90" i="1"/>
  <c r="CF96" i="1"/>
  <c r="CO96" i="1"/>
  <c r="AD96" i="1"/>
  <c r="AD94" i="1" l="1"/>
  <c r="CO94" i="1"/>
  <c r="BE94" i="1"/>
  <c r="CF94" i="1"/>
  <c r="CF92" i="1"/>
  <c r="CO92" i="1"/>
  <c r="AD92" i="1"/>
  <c r="BE92" i="1"/>
  <c r="BE90" i="1"/>
  <c r="AD90" i="1"/>
  <c r="CF90" i="1"/>
  <c r="CO90" i="1"/>
  <c r="DD89" i="1" l="1"/>
  <c r="DF88" i="1" l="1"/>
  <c r="A88" i="1"/>
  <c r="DD88" i="1"/>
  <c r="B88" i="1" l="1"/>
  <c r="AC88" i="1"/>
  <c r="BD88" i="1"/>
  <c r="CN88" i="1"/>
  <c r="CE88" i="1"/>
  <c r="AD88" i="1" l="1"/>
  <c r="CF88" i="1"/>
  <c r="CO88" i="1"/>
  <c r="BE88" i="1"/>
  <c r="DD85" i="1" l="1"/>
  <c r="A86" i="1"/>
  <c r="AC86" i="1" l="1"/>
  <c r="B86" i="1"/>
  <c r="AD86" i="1" s="1"/>
  <c r="BD86" i="1"/>
  <c r="CE86" i="1"/>
  <c r="CN86" i="1"/>
  <c r="DD86" i="1"/>
  <c r="DF86" i="1"/>
  <c r="DD87" i="1"/>
  <c r="CO86" i="1" l="1"/>
  <c r="BE86" i="1"/>
  <c r="CF86" i="1"/>
  <c r="DD79" i="1"/>
  <c r="A80" i="1"/>
  <c r="B80" i="1" s="1"/>
  <c r="BE80" i="1" l="1"/>
  <c r="AD80" i="1"/>
  <c r="BD80" i="1"/>
  <c r="AC80" i="1"/>
  <c r="CE80" i="1"/>
  <c r="CF80" i="1"/>
  <c r="CN80" i="1"/>
  <c r="CO80" i="1"/>
  <c r="DD80" i="1"/>
  <c r="DF80" i="1"/>
  <c r="DD81" i="1"/>
  <c r="A82" i="1"/>
  <c r="BD82" i="1" l="1"/>
  <c r="B82" i="1"/>
  <c r="CO82" i="1" s="1"/>
  <c r="AC82" i="1"/>
  <c r="CE82" i="1"/>
  <c r="CN82" i="1"/>
  <c r="DD82" i="1"/>
  <c r="DF82" i="1"/>
  <c r="DD83" i="1"/>
  <c r="CF82" i="1" l="1"/>
  <c r="BE82" i="1"/>
  <c r="AD82" i="1"/>
  <c r="A84" i="1" l="1"/>
  <c r="BD84" i="1" l="1"/>
  <c r="B84" i="1"/>
  <c r="CO84" i="1" s="1"/>
  <c r="AC84" i="1"/>
  <c r="CE84" i="1"/>
  <c r="CN84" i="1"/>
  <c r="DD84" i="1"/>
  <c r="DF84" i="1"/>
  <c r="CF84" i="1" l="1"/>
  <c r="AD84" i="1"/>
  <c r="BE84" i="1"/>
  <c r="DD71" i="1" l="1"/>
  <c r="A72" i="1"/>
  <c r="BD72" i="1" l="1"/>
  <c r="B72" i="1"/>
  <c r="CO72" i="1" s="1"/>
  <c r="AC72" i="1"/>
  <c r="CE72" i="1"/>
  <c r="CN72" i="1"/>
  <c r="DD72" i="1"/>
  <c r="DF72" i="1"/>
  <c r="DD73" i="1"/>
  <c r="A74" i="1"/>
  <c r="DE75" i="1"/>
  <c r="A76" i="1"/>
  <c r="DD74" i="1" l="1"/>
  <c r="AC76" i="1"/>
  <c r="B76" i="1"/>
  <c r="AD76" i="1" s="1"/>
  <c r="BD76" i="1"/>
  <c r="DE74" i="1"/>
  <c r="CN74" i="1"/>
  <c r="BD74" i="1"/>
  <c r="AC74" i="1"/>
  <c r="CE74" i="1"/>
  <c r="B74" i="1"/>
  <c r="CO74" i="1" s="1"/>
  <c r="DF74" i="1"/>
  <c r="DD75" i="1"/>
  <c r="CF72" i="1"/>
  <c r="BE72" i="1"/>
  <c r="AD72" i="1"/>
  <c r="CE76" i="1"/>
  <c r="CN76" i="1"/>
  <c r="DD76" i="1"/>
  <c r="DF76" i="1"/>
  <c r="DD77" i="1"/>
  <c r="A78" i="1"/>
  <c r="BE76" i="1" l="1"/>
  <c r="CO76" i="1"/>
  <c r="CF76" i="1"/>
  <c r="AD74" i="1"/>
  <c r="BE74" i="1"/>
  <c r="CF74" i="1"/>
  <c r="B78" i="1"/>
  <c r="CO78" i="1" s="1"/>
  <c r="AC78" i="1"/>
  <c r="CE78" i="1"/>
  <c r="CN78" i="1"/>
  <c r="DD78" i="1"/>
  <c r="DF78" i="1"/>
  <c r="CF78" i="1" l="1"/>
  <c r="BE78" i="1"/>
  <c r="AD78" i="1"/>
  <c r="A4" i="1" l="1"/>
  <c r="DD32" i="1"/>
  <c r="A34" i="1"/>
  <c r="CE34" i="1" s="1"/>
  <c r="A36" i="1"/>
  <c r="BD36" i="1" s="1"/>
  <c r="A38" i="1"/>
  <c r="AC38" i="1" s="1"/>
  <c r="A40" i="1"/>
  <c r="CE40" i="1" s="1"/>
  <c r="A42" i="1"/>
  <c r="CN42" i="1" s="1"/>
  <c r="A44" i="1"/>
  <c r="CN44" i="1" s="1"/>
  <c r="A46" i="1"/>
  <c r="AC46" i="1" s="1"/>
  <c r="A48" i="1"/>
  <c r="CE48" i="1" s="1"/>
  <c r="A50" i="1"/>
  <c r="DF54" i="1"/>
  <c r="DD56" i="1"/>
  <c r="DF58" i="1"/>
  <c r="A60" i="1"/>
  <c r="CE60" i="1" s="1"/>
  <c r="A62" i="1"/>
  <c r="A64" i="1"/>
  <c r="B64" i="1" s="1"/>
  <c r="A66" i="1"/>
  <c r="CE66" i="1" s="1"/>
  <c r="A68" i="1"/>
  <c r="A70" i="1"/>
  <c r="CN70" i="1" s="1"/>
  <c r="DD69" i="1"/>
  <c r="DD67" i="1"/>
  <c r="DD63" i="1"/>
  <c r="DD64" i="1"/>
  <c r="DF64" i="1"/>
  <c r="DD65" i="1"/>
  <c r="DD61" i="1"/>
  <c r="DD59" i="1"/>
  <c r="DD57" i="1"/>
  <c r="DD55" i="1"/>
  <c r="DD53" i="1"/>
  <c r="DD51" i="1"/>
  <c r="DD47" i="1"/>
  <c r="DD49" i="1"/>
  <c r="DD45" i="1"/>
  <c r="DD43" i="1"/>
  <c r="DD39" i="1"/>
  <c r="DD41" i="1"/>
  <c r="DD37" i="1"/>
  <c r="DD35" i="1"/>
  <c r="DD33" i="1"/>
  <c r="Q12" i="6"/>
  <c r="Q13" i="6" s="1"/>
  <c r="DD5" i="1"/>
  <c r="AE275" i="5"/>
  <c r="AD275" i="5"/>
  <c r="AC275" i="5"/>
  <c r="AB275" i="5"/>
  <c r="AA275" i="5"/>
  <c r="Z275" i="5"/>
  <c r="Y275" i="5"/>
  <c r="X275" i="5"/>
  <c r="W275" i="5"/>
  <c r="V275" i="5"/>
  <c r="U275" i="5"/>
  <c r="T275" i="5"/>
  <c r="S275" i="5"/>
  <c r="R275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D275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D227" i="5"/>
  <c r="C193" i="5"/>
  <c r="C192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B227" i="5"/>
  <c r="B228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6" i="5"/>
  <c r="C7" i="5"/>
  <c r="AH4" i="5"/>
  <c r="AH5" i="5" s="1"/>
  <c r="AG4" i="5"/>
  <c r="AG275" i="5" s="1"/>
  <c r="AF4" i="5"/>
  <c r="AF275" i="5" s="1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D5" i="5"/>
  <c r="CN2" i="1"/>
  <c r="M6" i="3"/>
  <c r="CE2" i="1"/>
  <c r="BD2" i="1"/>
  <c r="AC2" i="1"/>
  <c r="C22" i="6"/>
  <c r="C25" i="6" s="1"/>
  <c r="AG5" i="5" l="1"/>
  <c r="AG227" i="5"/>
  <c r="CN64" i="1"/>
  <c r="AH227" i="5"/>
  <c r="AH275" i="5"/>
  <c r="CE42" i="1"/>
  <c r="CN40" i="1"/>
  <c r="DF36" i="1"/>
  <c r="DD46" i="1"/>
  <c r="DF62" i="1"/>
  <c r="DD36" i="1"/>
  <c r="DF60" i="1"/>
  <c r="DD34" i="1"/>
  <c r="BD64" i="1"/>
  <c r="BD60" i="1"/>
  <c r="BD68" i="1"/>
  <c r="CE68" i="1"/>
  <c r="DF68" i="1"/>
  <c r="DF38" i="1"/>
  <c r="DF46" i="1"/>
  <c r="DD68" i="1"/>
  <c r="A54" i="1"/>
  <c r="CE54" i="1" s="1"/>
  <c r="DF42" i="1"/>
  <c r="CN66" i="1"/>
  <c r="CE36" i="1"/>
  <c r="DD42" i="1"/>
  <c r="DF40" i="1"/>
  <c r="CN46" i="1"/>
  <c r="DD54" i="1"/>
  <c r="DD60" i="1"/>
  <c r="CE70" i="1"/>
  <c r="DD40" i="1"/>
  <c r="DD48" i="1"/>
  <c r="CN34" i="1"/>
  <c r="DD38" i="1"/>
  <c r="CN48" i="1"/>
  <c r="DF70" i="1"/>
  <c r="CN38" i="1"/>
  <c r="DF66" i="1"/>
  <c r="DD70" i="1"/>
  <c r="DF34" i="1"/>
  <c r="DF48" i="1"/>
  <c r="DD66" i="1"/>
  <c r="BD38" i="1"/>
  <c r="AC4" i="1"/>
  <c r="B4" i="1"/>
  <c r="BD4" i="1"/>
  <c r="CN4" i="1"/>
  <c r="CE4" i="1"/>
  <c r="BE64" i="1"/>
  <c r="CF64" i="1"/>
  <c r="CO64" i="1"/>
  <c r="CE62" i="1"/>
  <c r="CN62" i="1"/>
  <c r="CE50" i="1"/>
  <c r="CN50" i="1"/>
  <c r="DD62" i="1"/>
  <c r="B36" i="1"/>
  <c r="CN36" i="1"/>
  <c r="DF50" i="1"/>
  <c r="B68" i="1"/>
  <c r="AD68" i="1" s="1"/>
  <c r="CN68" i="1"/>
  <c r="B60" i="1"/>
  <c r="BE60" i="1" s="1"/>
  <c r="CN60" i="1"/>
  <c r="DD44" i="1"/>
  <c r="DF44" i="1"/>
  <c r="A56" i="1"/>
  <c r="AC56" i="1" s="1"/>
  <c r="DF56" i="1"/>
  <c r="A32" i="1"/>
  <c r="BD32" i="1" s="1"/>
  <c r="DF32" i="1"/>
  <c r="DF4" i="1"/>
  <c r="B44" i="1"/>
  <c r="BD44" i="1"/>
  <c r="CE44" i="1"/>
  <c r="DD4" i="1"/>
  <c r="DD50" i="1"/>
  <c r="AC64" i="1"/>
  <c r="CE64" i="1"/>
  <c r="A58" i="1"/>
  <c r="AC58" i="1" s="1"/>
  <c r="DD58" i="1"/>
  <c r="A52" i="1"/>
  <c r="AC52" i="1" s="1"/>
  <c r="DD52" i="1"/>
  <c r="DF52" i="1"/>
  <c r="B46" i="1"/>
  <c r="AD46" i="1" s="1"/>
  <c r="BD46" i="1"/>
  <c r="CE46" i="1"/>
  <c r="B38" i="1"/>
  <c r="CE38" i="1"/>
  <c r="C23" i="6"/>
  <c r="C24" i="6"/>
  <c r="AF227" i="5"/>
  <c r="AF5" i="5"/>
  <c r="BD62" i="1"/>
  <c r="AC62" i="1"/>
  <c r="B62" i="1"/>
  <c r="AC50" i="1"/>
  <c r="B50" i="1"/>
  <c r="BD50" i="1"/>
  <c r="BD48" i="1"/>
  <c r="AC48" i="1"/>
  <c r="B48" i="1"/>
  <c r="AC42" i="1"/>
  <c r="B42" i="1"/>
  <c r="BD42" i="1"/>
  <c r="BD70" i="1"/>
  <c r="AC70" i="1"/>
  <c r="B70" i="1"/>
  <c r="AC66" i="1"/>
  <c r="B66" i="1"/>
  <c r="BD66" i="1"/>
  <c r="BD40" i="1"/>
  <c r="AC40" i="1"/>
  <c r="B40" i="1"/>
  <c r="AC34" i="1"/>
  <c r="B34" i="1"/>
  <c r="BD34" i="1"/>
  <c r="AC68" i="1"/>
  <c r="AD64" i="1"/>
  <c r="AC60" i="1"/>
  <c r="AC44" i="1"/>
  <c r="AC36" i="1"/>
  <c r="BD54" i="1" l="1"/>
  <c r="AC54" i="1"/>
  <c r="AC32" i="1"/>
  <c r="BE46" i="1"/>
  <c r="BD56" i="1"/>
  <c r="B54" i="1"/>
  <c r="BE54" i="1" s="1"/>
  <c r="CN54" i="1"/>
  <c r="BE68" i="1"/>
  <c r="B56" i="1"/>
  <c r="CO56" i="1" s="1"/>
  <c r="CO38" i="1"/>
  <c r="CF38" i="1"/>
  <c r="CN58" i="1"/>
  <c r="CE58" i="1"/>
  <c r="CO36" i="1"/>
  <c r="CF36" i="1"/>
  <c r="CO4" i="1"/>
  <c r="CF4" i="1"/>
  <c r="CF44" i="1"/>
  <c r="CO44" i="1"/>
  <c r="CE32" i="1"/>
  <c r="CN32" i="1"/>
  <c r="AD4" i="1"/>
  <c r="BE38" i="1"/>
  <c r="AD36" i="1"/>
  <c r="BE44" i="1"/>
  <c r="BD58" i="1"/>
  <c r="B52" i="1"/>
  <c r="CE52" i="1"/>
  <c r="BD52" i="1"/>
  <c r="CN52" i="1"/>
  <c r="BE36" i="1"/>
  <c r="CO60" i="1"/>
  <c r="CF60" i="1"/>
  <c r="BE4" i="1"/>
  <c r="AD38" i="1"/>
  <c r="AD60" i="1"/>
  <c r="B32" i="1"/>
  <c r="BE32" i="1" s="1"/>
  <c r="AD44" i="1"/>
  <c r="B58" i="1"/>
  <c r="AD58" i="1" s="1"/>
  <c r="CO46" i="1"/>
  <c r="CF46" i="1"/>
  <c r="CE56" i="1"/>
  <c r="CN56" i="1"/>
  <c r="CF68" i="1"/>
  <c r="CO68" i="1"/>
  <c r="BE40" i="1"/>
  <c r="AD40" i="1"/>
  <c r="CF40" i="1"/>
  <c r="CO40" i="1"/>
  <c r="AD70" i="1"/>
  <c r="BE70" i="1"/>
  <c r="CO70" i="1"/>
  <c r="CF70" i="1"/>
  <c r="BE42" i="1"/>
  <c r="AD42" i="1"/>
  <c r="CF42" i="1"/>
  <c r="CO42" i="1"/>
  <c r="BE50" i="1"/>
  <c r="AD50" i="1"/>
  <c r="CF50" i="1"/>
  <c r="CO50" i="1"/>
  <c r="AD62" i="1"/>
  <c r="BE62" i="1"/>
  <c r="CF62" i="1"/>
  <c r="CO62" i="1"/>
  <c r="BE34" i="1"/>
  <c r="AD34" i="1"/>
  <c r="CO34" i="1"/>
  <c r="CF34" i="1"/>
  <c r="BE66" i="1"/>
  <c r="AD66" i="1"/>
  <c r="CF66" i="1"/>
  <c r="CO66" i="1"/>
  <c r="BE48" i="1"/>
  <c r="AD48" i="1"/>
  <c r="CO48" i="1"/>
  <c r="CF48" i="1"/>
  <c r="AD56" i="1" l="1"/>
  <c r="AD54" i="1"/>
  <c r="CF54" i="1"/>
  <c r="CF32" i="1"/>
  <c r="BE56" i="1"/>
  <c r="CO54" i="1"/>
  <c r="AD32" i="1"/>
  <c r="CO32" i="1"/>
  <c r="CF56" i="1"/>
  <c r="CO58" i="1"/>
  <c r="BE58" i="1"/>
  <c r="CF58" i="1"/>
  <c r="CF52" i="1"/>
  <c r="CO52" i="1"/>
  <c r="BE52" i="1"/>
  <c r="AD52" i="1"/>
</calcChain>
</file>

<file path=xl/sharedStrings.xml><?xml version="1.0" encoding="utf-8"?>
<sst xmlns="http://schemas.openxmlformats.org/spreadsheetml/2006/main" count="2595" uniqueCount="877">
  <si>
    <t>2階</t>
    <phoneticPr fontId="4"/>
  </si>
  <si>
    <t>3階</t>
    <phoneticPr fontId="1"/>
  </si>
  <si>
    <t>4階</t>
    <rPh sb="1" eb="2">
      <t>カイ</t>
    </rPh>
    <phoneticPr fontId="4"/>
  </si>
  <si>
    <t>全体</t>
    <rPh sb="0" eb="2">
      <t>ゼンタイ</t>
    </rPh>
    <phoneticPr fontId="1"/>
  </si>
  <si>
    <t>キャンセル待ち</t>
    <rPh sb="5" eb="6">
      <t>マ</t>
    </rPh>
    <phoneticPr fontId="1"/>
  </si>
  <si>
    <t>時間</t>
    <rPh sb="0" eb="2">
      <t>ジカン</t>
    </rPh>
    <phoneticPr fontId="1"/>
  </si>
  <si>
    <t>静養室</t>
    <rPh sb="0" eb="3">
      <t>セイヨウシツ</t>
    </rPh>
    <phoneticPr fontId="4"/>
  </si>
  <si>
    <t>日中</t>
    <rPh sb="0" eb="2">
      <t>ニッチュウ</t>
    </rPh>
    <phoneticPr fontId="4"/>
  </si>
  <si>
    <t>夜間</t>
    <rPh sb="0" eb="2">
      <t>ヤカン</t>
    </rPh>
    <phoneticPr fontId="4"/>
  </si>
  <si>
    <t>新規</t>
    <rPh sb="0" eb="2">
      <t>シンキ</t>
    </rPh>
    <phoneticPr fontId="4"/>
  </si>
  <si>
    <t>日中</t>
    <rPh sb="0" eb="2">
      <t>ニッチュウ</t>
    </rPh>
    <phoneticPr fontId="1"/>
  </si>
  <si>
    <t>夜間</t>
    <rPh sb="0" eb="2">
      <t>ヤカン</t>
    </rPh>
    <phoneticPr fontId="1"/>
  </si>
  <si>
    <t>新規</t>
    <rPh sb="0" eb="2">
      <t>シンキ</t>
    </rPh>
    <phoneticPr fontId="1"/>
  </si>
  <si>
    <t>●</t>
    <phoneticPr fontId="1"/>
  </si>
  <si>
    <t>㋷</t>
    <phoneticPr fontId="1"/>
  </si>
  <si>
    <t>キャンセル①</t>
    <phoneticPr fontId="1"/>
  </si>
  <si>
    <t>キャンセル②</t>
    <phoneticPr fontId="1"/>
  </si>
  <si>
    <t>キャンセル③</t>
    <phoneticPr fontId="1"/>
  </si>
  <si>
    <t>仮想月</t>
    <rPh sb="0" eb="2">
      <t>カソウ</t>
    </rPh>
    <rPh sb="2" eb="3">
      <t>ツキ</t>
    </rPh>
    <phoneticPr fontId="1"/>
  </si>
  <si>
    <t>月</t>
    <rPh sb="0" eb="1">
      <t>ツキ</t>
    </rPh>
    <phoneticPr fontId="1"/>
  </si>
  <si>
    <t>日</t>
    <rPh sb="0" eb="1">
      <t>ニチ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</si>
  <si>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</si>
  <si>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</si>
  <si>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閏年列</t>
    <rPh sb="0" eb="2">
      <t>ウルウドシ</t>
    </rPh>
    <rPh sb="2" eb="3">
      <t>レツ</t>
    </rPh>
    <phoneticPr fontId="1"/>
  </si>
  <si>
    <t>空き日付</t>
    <rPh sb="0" eb="1">
      <t>ア</t>
    </rPh>
    <rPh sb="2" eb="4">
      <t>ヒヅケ</t>
    </rPh>
    <phoneticPr fontId="1"/>
  </si>
  <si>
    <t>空き</t>
    <rPh sb="0" eb="1">
      <t>ア</t>
    </rPh>
    <phoneticPr fontId="1"/>
  </si>
  <si>
    <t>印刷ブレーク</t>
    <rPh sb="0" eb="2">
      <t>インサツ</t>
    </rPh>
    <phoneticPr fontId="1"/>
  </si>
  <si>
    <t>前</t>
    <rPh sb="0" eb="1">
      <t>マエ</t>
    </rPh>
    <phoneticPr fontId="1"/>
  </si>
  <si>
    <t>後</t>
    <rPh sb="0" eb="1">
      <t>アト</t>
    </rPh>
    <phoneticPr fontId="1"/>
  </si>
  <si>
    <t>1月</t>
    <rPh sb="1" eb="2">
      <t>ガツ</t>
    </rPh>
    <phoneticPr fontId="1"/>
  </si>
  <si>
    <t>稼働日</t>
    <rPh sb="0" eb="3">
      <t>カドウビ</t>
    </rPh>
    <phoneticPr fontId="4"/>
  </si>
  <si>
    <t>リピート率</t>
    <rPh sb="4" eb="5">
      <t>リツ</t>
    </rPh>
    <phoneticPr fontId="4"/>
  </si>
  <si>
    <t>全体延人数</t>
    <rPh sb="0" eb="2">
      <t>ゼンタイ</t>
    </rPh>
    <rPh sb="2" eb="3">
      <t>ノ</t>
    </rPh>
    <rPh sb="3" eb="5">
      <t>ニンズウ</t>
    </rPh>
    <phoneticPr fontId="4"/>
  </si>
  <si>
    <t>新規延人數</t>
    <rPh sb="0" eb="2">
      <t>シンキ</t>
    </rPh>
    <rPh sb="2" eb="3">
      <t>ノ</t>
    </rPh>
    <rPh sb="3" eb="5">
      <t>ニンズウ</t>
    </rPh>
    <phoneticPr fontId="4"/>
  </si>
  <si>
    <t>全利用稼働</t>
    <rPh sb="0" eb="3">
      <t>ゼンリヨウ</t>
    </rPh>
    <rPh sb="3" eb="5">
      <t>カドウ</t>
    </rPh>
    <phoneticPr fontId="4"/>
  </si>
  <si>
    <t>リピート稼働</t>
    <rPh sb="4" eb="6">
      <t>カドウ</t>
    </rPh>
    <phoneticPr fontId="4"/>
  </si>
  <si>
    <t>PB</t>
  </si>
  <si>
    <t>2月</t>
    <rPh sb="1" eb="2">
      <t>ガツ</t>
    </rPh>
    <phoneticPr fontId="1"/>
  </si>
  <si>
    <t>鈴木◯◯</t>
    <phoneticPr fontId="1"/>
  </si>
  <si>
    <t/>
  </si>
  <si>
    <t>小宮◯◯</t>
  </si>
  <si>
    <t>当麻◯◯</t>
  </si>
  <si>
    <t>●</t>
  </si>
  <si>
    <t>15時着</t>
    <rPh sb="2" eb="3">
      <t>ジ</t>
    </rPh>
    <rPh sb="3" eb="4">
      <t>チャク</t>
    </rPh>
    <phoneticPr fontId="1"/>
  </si>
  <si>
    <t>中止</t>
    <rPh sb="0" eb="2">
      <t>チュウシ</t>
    </rPh>
    <phoneticPr fontId="1"/>
  </si>
  <si>
    <t>FAAM</t>
    <phoneticPr fontId="1"/>
  </si>
  <si>
    <r>
      <t>FAおやつまで</t>
    </r>
    <r>
      <rPr>
        <sz val="20"/>
        <color indexed="12"/>
        <rFont val="メイリオ"/>
        <family val="3"/>
        <charset val="128"/>
      </rPr>
      <t>●</t>
    </r>
  </si>
  <si>
    <t>AM</t>
    <phoneticPr fontId="1"/>
  </si>
  <si>
    <t>渡邊◯◯</t>
    <phoneticPr fontId="1"/>
  </si>
  <si>
    <t>細田◯◯●</t>
  </si>
  <si>
    <t>◯◯◯◯</t>
  </si>
  <si>
    <t>FAおやつまで</t>
    <phoneticPr fontId="1"/>
  </si>
  <si>
    <r>
      <t>FA昼から</t>
    </r>
    <r>
      <rPr>
        <sz val="20"/>
        <color indexed="12"/>
        <rFont val="メイリオ"/>
        <family val="3"/>
        <charset val="128"/>
      </rPr>
      <t>●</t>
    </r>
    <phoneticPr fontId="0"/>
  </si>
  <si>
    <t>SSAM</t>
    <phoneticPr fontId="1"/>
  </si>
  <si>
    <t>AM</t>
  </si>
  <si>
    <t>PM</t>
    <phoneticPr fontId="1"/>
  </si>
  <si>
    <t>AM10FA</t>
    <phoneticPr fontId="1"/>
  </si>
  <si>
    <t>FAおやつから</t>
    <phoneticPr fontId="1"/>
  </si>
  <si>
    <t>FAAM10時半</t>
    <rPh sb="6" eb="7">
      <t>ジ</t>
    </rPh>
    <rPh sb="7" eb="8">
      <t>ハン</t>
    </rPh>
    <phoneticPr fontId="1"/>
  </si>
  <si>
    <t>FAAM9時半</t>
    <rPh sb="5" eb="6">
      <t>ジ</t>
    </rPh>
    <rPh sb="6" eb="7">
      <t>ハン</t>
    </rPh>
    <phoneticPr fontId="1"/>
  </si>
  <si>
    <t>山口◯◯</t>
    <phoneticPr fontId="1"/>
  </si>
  <si>
    <t>齋藤◯◯</t>
    <phoneticPr fontId="1"/>
  </si>
  <si>
    <t>宇都◯◯</t>
    <phoneticPr fontId="1"/>
  </si>
  <si>
    <t>北村◯◯</t>
  </si>
  <si>
    <t>山下◯◯</t>
  </si>
  <si>
    <t>松下◯◯</t>
  </si>
  <si>
    <t>加藤◯◯</t>
  </si>
  <si>
    <t>TM</t>
  </si>
  <si>
    <t>TM山口◯◯</t>
    <phoneticPr fontId="1"/>
  </si>
  <si>
    <t>TM齋藤◯◯</t>
    <phoneticPr fontId="1"/>
  </si>
  <si>
    <r>
      <t>TM保フジコ</t>
    </r>
    <r>
      <rPr>
        <sz val="20"/>
        <color indexed="12"/>
        <rFont val="メイリオ"/>
        <family val="3"/>
        <charset val="128"/>
      </rPr>
      <t>●</t>
    </r>
    <phoneticPr fontId="1"/>
  </si>
  <si>
    <t>TM鈴木◯◯</t>
    <phoneticPr fontId="1"/>
  </si>
  <si>
    <t>TM田所◯◯</t>
  </si>
  <si>
    <t>TM宇都宮◯◯●</t>
  </si>
  <si>
    <t>TM</t>
    <phoneticPr fontId="1"/>
  </si>
  <si>
    <t>TM北村◯◯</t>
  </si>
  <si>
    <t>TM山下◯◯</t>
  </si>
  <si>
    <t>TM松下◯◯●</t>
  </si>
  <si>
    <t>TM加藤◯◯●</t>
  </si>
  <si>
    <t>FA夕から</t>
    <rPh sb="2" eb="3">
      <t>ユウ</t>
    </rPh>
    <phoneticPr fontId="0"/>
  </si>
  <si>
    <t>TM原田◯◯</t>
  </si>
  <si>
    <t>木村◯◯</t>
    <phoneticPr fontId="1"/>
  </si>
  <si>
    <t>鈴木◯◯</t>
  </si>
  <si>
    <t>小倉◯◯</t>
  </si>
  <si>
    <t>小林◯◯</t>
  </si>
  <si>
    <t>FAおやつ</t>
    <phoneticPr fontId="1"/>
  </si>
  <si>
    <t>FA夕食～</t>
    <rPh sb="2" eb="4">
      <t>ユウショク</t>
    </rPh>
    <phoneticPr fontId="1"/>
  </si>
  <si>
    <t>FA11時</t>
    <rPh sb="4" eb="5">
      <t>ジ</t>
    </rPh>
    <phoneticPr fontId="1"/>
  </si>
  <si>
    <t>FAPM 1830</t>
    <phoneticPr fontId="1"/>
  </si>
  <si>
    <t>芳賀◯◯</t>
    <rPh sb="0" eb="2">
      <t>ハガ</t>
    </rPh>
    <rPh sb="2" eb="3">
      <t>イサオ</t>
    </rPh>
    <rPh sb="3" eb="4">
      <t>シチ</t>
    </rPh>
    <phoneticPr fontId="1"/>
  </si>
  <si>
    <t>夕食まで</t>
    <rPh sb="0" eb="2">
      <t>ユウショク</t>
    </rPh>
    <phoneticPr fontId="1"/>
  </si>
  <si>
    <t>FA</t>
    <phoneticPr fontId="1"/>
  </si>
  <si>
    <t>眞栄◯◯CM●</t>
  </si>
  <si>
    <t>昼止め</t>
    <rPh sb="0" eb="1">
      <t>ヒル</t>
    </rPh>
    <rPh sb="1" eb="2">
      <t>ト</t>
    </rPh>
    <phoneticPr fontId="1"/>
  </si>
  <si>
    <t>PM</t>
  </si>
  <si>
    <t>米盛◯◯</t>
    <phoneticPr fontId="1"/>
  </si>
  <si>
    <t>14時外出</t>
    <rPh sb="2" eb="3">
      <t>ジ</t>
    </rPh>
    <rPh sb="3" eb="5">
      <t>ガイシュツ</t>
    </rPh>
    <phoneticPr fontId="1"/>
  </si>
  <si>
    <t>渡邊◯◯</t>
  </si>
  <si>
    <t>花田◯◯</t>
  </si>
  <si>
    <t>FA朝まで</t>
    <rPh sb="2" eb="3">
      <t>アサ</t>
    </rPh>
    <phoneticPr fontId="1"/>
  </si>
  <si>
    <t>PM●</t>
    <phoneticPr fontId="1"/>
  </si>
  <si>
    <t>SSPM</t>
    <phoneticPr fontId="1"/>
  </si>
  <si>
    <t>手術の為外出</t>
    <phoneticPr fontId="1"/>
  </si>
  <si>
    <t>西野◯◯</t>
  </si>
  <si>
    <t>昼、おやつ止め</t>
    <rPh sb="0" eb="1">
      <t>ヒル</t>
    </rPh>
    <rPh sb="5" eb="6">
      <t>ト</t>
    </rPh>
    <phoneticPr fontId="1"/>
  </si>
  <si>
    <t>FA昼から</t>
    <rPh sb="2" eb="3">
      <t>ヒル</t>
    </rPh>
    <phoneticPr fontId="1"/>
  </si>
  <si>
    <t>受診の為外出</t>
    <rPh sb="0" eb="2">
      <t>ジュシン</t>
    </rPh>
    <rPh sb="3" eb="4">
      <t>タメ</t>
    </rPh>
    <rPh sb="4" eb="6">
      <t>ガイシュツ</t>
    </rPh>
    <phoneticPr fontId="1"/>
  </si>
  <si>
    <t>AM●</t>
    <phoneticPr fontId="1"/>
  </si>
  <si>
    <t>FA昼から</t>
    <rPh sb="2" eb="3">
      <t>ヒル</t>
    </rPh>
    <phoneticPr fontId="0"/>
  </si>
  <si>
    <t>FA9時30</t>
    <rPh sb="3" eb="4">
      <t>ジ</t>
    </rPh>
    <phoneticPr fontId="1"/>
  </si>
  <si>
    <t>森田◯◯</t>
  </si>
  <si>
    <t>山口◯◯</t>
  </si>
  <si>
    <t>歌丸登代子</t>
  </si>
  <si>
    <t>佐藤◯◯</t>
  </si>
  <si>
    <t>FA昼まで</t>
    <rPh sb="2" eb="3">
      <t>ヒル</t>
    </rPh>
    <phoneticPr fontId="1"/>
  </si>
  <si>
    <t>FA昼～</t>
  </si>
  <si>
    <t>AM木村◯◯</t>
  </si>
  <si>
    <t>10時</t>
    <rPh sb="2" eb="3">
      <t>ジ</t>
    </rPh>
    <phoneticPr fontId="1"/>
  </si>
  <si>
    <t>児玉◯◯</t>
  </si>
  <si>
    <t>宮腰◯◯</t>
  </si>
  <si>
    <t>シーツ交換</t>
    <rPh sb="3" eb="5">
      <t>コウカン</t>
    </rPh>
    <phoneticPr fontId="0"/>
  </si>
  <si>
    <r>
      <t>FA</t>
    </r>
    <r>
      <rPr>
        <sz val="20"/>
        <color indexed="12"/>
        <rFont val="メイリオ"/>
        <family val="3"/>
        <charset val="128"/>
      </rPr>
      <t>●</t>
    </r>
    <phoneticPr fontId="1"/>
  </si>
  <si>
    <t>FA（15時）</t>
    <rPh sb="5" eb="6">
      <t>ジ</t>
    </rPh>
    <phoneticPr fontId="1"/>
  </si>
  <si>
    <r>
      <t>AM</t>
    </r>
    <r>
      <rPr>
        <sz val="20"/>
        <color indexed="12"/>
        <rFont val="メイリオ"/>
        <family val="3"/>
        <charset val="128"/>
      </rPr>
      <t>●</t>
    </r>
    <phoneticPr fontId="1"/>
  </si>
  <si>
    <t>訪問歯科●</t>
    <rPh sb="0" eb="2">
      <t>ホウモン</t>
    </rPh>
    <rPh sb="2" eb="4">
      <t>シカ</t>
    </rPh>
    <phoneticPr fontId="1"/>
  </si>
  <si>
    <t>11時</t>
    <rPh sb="2" eb="3">
      <t>ジ</t>
    </rPh>
    <phoneticPr fontId="1"/>
  </si>
  <si>
    <t>↓遅い時間希望</t>
    <rPh sb="1" eb="2">
      <t>オソ</t>
    </rPh>
    <rPh sb="3" eb="5">
      <t>ジカン</t>
    </rPh>
    <rPh sb="5" eb="7">
      <t>キボウ</t>
    </rPh>
    <phoneticPr fontId="1"/>
  </si>
  <si>
    <t>目時◯◯</t>
  </si>
  <si>
    <t>FA昼まで(15時)</t>
    <rPh sb="2" eb="3">
      <t>ヒル</t>
    </rPh>
    <rPh sb="8" eb="9">
      <t>ジ</t>
    </rPh>
    <phoneticPr fontId="1"/>
  </si>
  <si>
    <t>ラバー入れて</t>
    <rPh sb="3" eb="4">
      <t>イ</t>
    </rPh>
    <phoneticPr fontId="0"/>
  </si>
  <si>
    <t>田中◯◯</t>
  </si>
  <si>
    <t>竹田◯◯</t>
  </si>
  <si>
    <t>三瓶◯◯</t>
  </si>
  <si>
    <t>齋藤◯◯</t>
  </si>
  <si>
    <t>FA11時着</t>
    <rPh sb="4" eb="5">
      <t>ジ</t>
    </rPh>
    <rPh sb="5" eb="6">
      <t>チャク</t>
    </rPh>
    <phoneticPr fontId="1"/>
  </si>
  <si>
    <t>拒否</t>
    <rPh sb="0" eb="2">
      <t>キョヒ</t>
    </rPh>
    <phoneticPr fontId="1"/>
  </si>
  <si>
    <t>石黒◯◯</t>
  </si>
  <si>
    <t>横山◯◯</t>
  </si>
  <si>
    <t>豊田◯◯</t>
  </si>
  <si>
    <t>長峰◯◯</t>
  </si>
  <si>
    <t>FA16時</t>
    <rPh sb="4" eb="5">
      <t>ジ</t>
    </rPh>
    <phoneticPr fontId="1"/>
  </si>
  <si>
    <t>平井◯◯</t>
  </si>
  <si>
    <t>木村◯◯</t>
  </si>
  <si>
    <t>FA●</t>
    <phoneticPr fontId="1"/>
  </si>
  <si>
    <t>昼まで</t>
    <rPh sb="0" eb="1">
      <t>ヒル</t>
    </rPh>
    <phoneticPr fontId="1"/>
  </si>
  <si>
    <t>米盛◯◯</t>
  </si>
  <si>
    <t>↓エアマット</t>
  </si>
  <si>
    <r>
      <t>PM</t>
    </r>
    <r>
      <rPr>
        <sz val="20"/>
        <color indexed="12"/>
        <rFont val="メイリオ"/>
        <family val="3"/>
        <charset val="128"/>
      </rPr>
      <t>●</t>
    </r>
    <phoneticPr fontId="1"/>
  </si>
  <si>
    <t>FA昼～</t>
    <phoneticPr fontId="1"/>
  </si>
  <si>
    <t>金谷◯◯</t>
  </si>
  <si>
    <t>藤原◯◯</t>
  </si>
  <si>
    <t>FAAM</t>
  </si>
  <si>
    <r>
      <t>ダイバー行徳</t>
    </r>
    <r>
      <rPr>
        <sz val="20"/>
        <color indexed="12"/>
        <rFont val="メイリオ"/>
        <family val="3"/>
        <charset val="128"/>
      </rPr>
      <t>●</t>
    </r>
  </si>
  <si>
    <t>FA９浦中◯◯●</t>
  </si>
  <si>
    <t>多田◯◯</t>
    <rPh sb="0" eb="2">
      <t>タダ</t>
    </rPh>
    <phoneticPr fontId="1"/>
  </si>
  <si>
    <t>横原CM</t>
    <rPh sb="0" eb="2">
      <t>ヨコハラ</t>
    </rPh>
    <phoneticPr fontId="1"/>
  </si>
  <si>
    <t>FA18</t>
  </si>
  <si>
    <t>SSAM</t>
  </si>
  <si>
    <t>エアマット</t>
    <phoneticPr fontId="1"/>
  </si>
  <si>
    <t>昼から</t>
    <rPh sb="0" eb="1">
      <t>ヒル</t>
    </rPh>
    <phoneticPr fontId="0"/>
  </si>
  <si>
    <t>内山◯◯</t>
  </si>
  <si>
    <t>向島◯◯</t>
  </si>
  <si>
    <t>宍戸◯◯</t>
  </si>
  <si>
    <t>FA</t>
  </si>
  <si>
    <r>
      <t>SSPM</t>
    </r>
    <r>
      <rPr>
        <sz val="20"/>
        <color indexed="12"/>
        <rFont val="メイリオ"/>
        <family val="3"/>
        <charset val="128"/>
      </rPr>
      <t>●</t>
    </r>
    <phoneticPr fontId="1"/>
  </si>
  <si>
    <t>鈴木◯◯AM</t>
  </si>
  <si>
    <t>菊田◯◯</t>
  </si>
  <si>
    <t>サコグチヨシコ</t>
    <phoneticPr fontId="1"/>
  </si>
  <si>
    <t>FA17</t>
    <phoneticPr fontId="1"/>
  </si>
  <si>
    <t>保冨◯◯</t>
  </si>
  <si>
    <t>夕から●</t>
    <rPh sb="0" eb="1">
      <t>ユウ</t>
    </rPh>
    <phoneticPr fontId="1"/>
  </si>
  <si>
    <t>上井たか</t>
  </si>
  <si>
    <t>徳田◯◯</t>
  </si>
  <si>
    <t>鎌形◯◯</t>
  </si>
  <si>
    <t>PMFA</t>
    <phoneticPr fontId="1"/>
  </si>
  <si>
    <t>FA1730</t>
    <phoneticPr fontId="1"/>
  </si>
  <si>
    <t>介護タクシー</t>
    <rPh sb="0" eb="2">
      <t>カイゴ</t>
    </rPh>
    <phoneticPr fontId="1"/>
  </si>
  <si>
    <t>昼から</t>
    <rPh sb="0" eb="1">
      <t>ヒル</t>
    </rPh>
    <phoneticPr fontId="1"/>
  </si>
  <si>
    <t>原田◯◯</t>
  </si>
  <si>
    <t>北澤◯◯●</t>
  </si>
  <si>
    <t>文平◯◯</t>
  </si>
  <si>
    <t>FA9:30</t>
    <phoneticPr fontId="1"/>
  </si>
  <si>
    <t>3月</t>
    <rPh sb="1" eb="2">
      <t>ガツ</t>
    </rPh>
    <phoneticPr fontId="1"/>
  </si>
  <si>
    <t>甲斐フミ子</t>
  </si>
  <si>
    <t>辻◯◯子</t>
  </si>
  <si>
    <t>海老原◯◯</t>
  </si>
  <si>
    <t>FA9：30</t>
    <phoneticPr fontId="1"/>
  </si>
  <si>
    <t>センサー</t>
    <phoneticPr fontId="1"/>
  </si>
  <si>
    <t>↓転倒注意</t>
    <rPh sb="1" eb="3">
      <t>テントウ</t>
    </rPh>
    <rPh sb="3" eb="5">
      <t>チュウイ</t>
    </rPh>
    <phoneticPr fontId="1"/>
  </si>
  <si>
    <t>吉田◯◯</t>
  </si>
  <si>
    <t>山本◯◯</t>
  </si>
  <si>
    <t>FA13</t>
    <phoneticPr fontId="1"/>
  </si>
  <si>
    <t>おやつまで</t>
    <phoneticPr fontId="1"/>
  </si>
  <si>
    <r>
      <t>FA10時</t>
    </r>
    <r>
      <rPr>
        <sz val="20"/>
        <color indexed="12"/>
        <rFont val="メイリオ"/>
        <family val="3"/>
        <charset val="128"/>
      </rPr>
      <t>●</t>
    </r>
    <phoneticPr fontId="0"/>
  </si>
  <si>
    <t>PM中止</t>
    <rPh sb="2" eb="4">
      <t>チュウシ</t>
    </rPh>
    <phoneticPr fontId="1"/>
  </si>
  <si>
    <t>シーツ交換</t>
    <rPh sb="3" eb="5">
      <t>コウカン</t>
    </rPh>
    <phoneticPr fontId="1"/>
  </si>
  <si>
    <t>野口◯◯</t>
  </si>
  <si>
    <t>介護タクシー14：45</t>
    <rPh sb="0" eb="2">
      <t>カイゴ</t>
    </rPh>
    <phoneticPr fontId="1"/>
  </si>
  <si>
    <t>11時訪問歯科</t>
    <rPh sb="2" eb="3">
      <t>ジ</t>
    </rPh>
    <rPh sb="3" eb="5">
      <t>ホウモン</t>
    </rPh>
    <rPh sb="5" eb="7">
      <t>シカ</t>
    </rPh>
    <phoneticPr fontId="1"/>
  </si>
  <si>
    <t>朝まで</t>
    <rPh sb="0" eb="1">
      <t>アサ</t>
    </rPh>
    <phoneticPr fontId="1"/>
  </si>
  <si>
    <r>
      <t>西野</t>
    </r>
    <r>
      <rPr>
        <sz val="20"/>
        <color indexed="12"/>
        <rFont val="メイリオ"/>
        <family val="3"/>
        <charset val="128"/>
      </rPr>
      <t>●</t>
    </r>
    <phoneticPr fontId="1"/>
  </si>
  <si>
    <t>10時着</t>
    <rPh sb="2" eb="3">
      <t>ジ</t>
    </rPh>
    <rPh sb="3" eb="4">
      <t>チャク</t>
    </rPh>
    <phoneticPr fontId="1"/>
  </si>
  <si>
    <t>持◯◯</t>
  </si>
  <si>
    <t>TM野口◯◯</t>
  </si>
  <si>
    <t>TM金谷◯◯</t>
  </si>
  <si>
    <t>TM持◯◯●</t>
  </si>
  <si>
    <t>TM西野</t>
  </si>
  <si>
    <t>TM米盛◯◯</t>
  </si>
  <si>
    <t>TM◯◯◯◯●</t>
  </si>
  <si>
    <t>TM小林◯◯</t>
  </si>
  <si>
    <t>TMSONPO 大村CM</t>
  </si>
  <si>
    <t>TM原田◯◯●</t>
  </si>
  <si>
    <t>入所SS</t>
    <rPh sb="0" eb="2">
      <t>ニュウショ</t>
    </rPh>
    <phoneticPr fontId="1"/>
  </si>
  <si>
    <t>木村◯◯●</t>
  </si>
  <si>
    <t>鈴木◯◯●</t>
  </si>
  <si>
    <t>川戸道◯◯</t>
  </si>
  <si>
    <t>高松◯◯</t>
  </si>
  <si>
    <t>斎藤◯◯</t>
  </si>
  <si>
    <t>池◯◯</t>
  </si>
  <si>
    <t>15</t>
  </si>
  <si>
    <t>石黒◯◯</t>
    <phoneticPr fontId="0"/>
  </si>
  <si>
    <t>10</t>
  </si>
  <si>
    <t>吉川◯◯</t>
  </si>
  <si>
    <t>宮崎◯◯</t>
  </si>
  <si>
    <t>田辺◯◯</t>
  </si>
  <si>
    <t>FAPM</t>
    <phoneticPr fontId="1"/>
  </si>
  <si>
    <t>まつどより移動</t>
  </si>
  <si>
    <t>夫婦</t>
    <rPh sb="0" eb="2">
      <t>フウフ</t>
    </rPh>
    <phoneticPr fontId="1"/>
  </si>
  <si>
    <t>DS北澤　◯◯</t>
  </si>
  <si>
    <t>新規◯◯CM</t>
    <phoneticPr fontId="1"/>
  </si>
  <si>
    <t>あいざわみちこ</t>
  </si>
  <si>
    <t>寶◯◯</t>
  </si>
  <si>
    <t>INFA10時</t>
    <rPh sb="6" eb="7">
      <t>ジ</t>
    </rPh>
    <phoneticPr fontId="1"/>
  </si>
  <si>
    <t>4月</t>
    <rPh sb="1" eb="2">
      <t>ガツ</t>
    </rPh>
    <phoneticPr fontId="1"/>
  </si>
  <si>
    <t>7月？</t>
    <rPh sb="1" eb="2">
      <t>ガツ</t>
    </rPh>
    <phoneticPr fontId="1"/>
  </si>
  <si>
    <t>細田◯◯</t>
  </si>
  <si>
    <t>TM目時◯◯</t>
  </si>
  <si>
    <t>TM◯◯◯◯</t>
  </si>
  <si>
    <t>TM細田◯◯</t>
  </si>
  <si>
    <t>TM寶◯◯</t>
  </si>
  <si>
    <t>TM保冨◯◯</t>
  </si>
  <si>
    <t>FA?</t>
    <phoneticPr fontId="1"/>
  </si>
  <si>
    <t>TM西野◯◯</t>
  </si>
  <si>
    <t>TM菊田◯◯</t>
  </si>
  <si>
    <t>吉野◯◯ゑ</t>
  </si>
  <si>
    <t>小藏◯◯</t>
  </si>
  <si>
    <t>北澤◯◯</t>
  </si>
  <si>
    <t>内山◯◯FA９</t>
  </si>
  <si>
    <t>FA１７</t>
    <phoneticPr fontId="1"/>
  </si>
  <si>
    <t>佐藤世子</t>
  </si>
  <si>
    <t>落合八重子</t>
  </si>
  <si>
    <t>5月</t>
    <rPh sb="1" eb="2">
      <t>ガツ</t>
    </rPh>
    <phoneticPr fontId="1"/>
  </si>
  <si>
    <t>TM向島◯◯</t>
  </si>
  <si>
    <t>TM山口◯◯</t>
  </si>
  <si>
    <t>TM木村◯◯</t>
  </si>
  <si>
    <t>TM渡邊◯◯</t>
  </si>
  <si>
    <t>TM豊田◯◯</t>
  </si>
  <si>
    <t>TM川戸道◯◯</t>
  </si>
  <si>
    <t>増田春雄</t>
    <rPh sb="0" eb="1">
      <t>マ</t>
    </rPh>
    <phoneticPr fontId="1"/>
  </si>
  <si>
    <t>Fa昼、おやつ持参</t>
    <rPh sb="2" eb="3">
      <t>ヒル</t>
    </rPh>
    <rPh sb="7" eb="9">
      <t>ジサン</t>
    </rPh>
    <phoneticPr fontId="1"/>
  </si>
  <si>
    <t>けいあいライフ</t>
  </si>
  <si>
    <t>↑申し込み書に詳細記載</t>
    <phoneticPr fontId="1"/>
  </si>
  <si>
    <t>中村　雅行</t>
  </si>
  <si>
    <t>受付日</t>
    <rPh sb="0" eb="3">
      <t>ウケツケビ</t>
    </rPh>
    <phoneticPr fontId="4"/>
  </si>
  <si>
    <t>利用者名</t>
    <rPh sb="0" eb="3">
      <t>リヨウシャ</t>
    </rPh>
    <rPh sb="3" eb="4">
      <t>メイ</t>
    </rPh>
    <phoneticPr fontId="4"/>
  </si>
  <si>
    <t>居宅</t>
    <rPh sb="0" eb="2">
      <t>キョタク</t>
    </rPh>
    <phoneticPr fontId="4"/>
  </si>
  <si>
    <t>CM氏名</t>
    <rPh sb="2" eb="4">
      <t>シメイ</t>
    </rPh>
    <phoneticPr fontId="4"/>
  </si>
  <si>
    <t>内容</t>
    <rPh sb="0" eb="2">
      <t>ナイヨウ</t>
    </rPh>
    <phoneticPr fontId="4"/>
  </si>
  <si>
    <t>詳細</t>
    <rPh sb="0" eb="2">
      <t>ショウサイ</t>
    </rPh>
    <phoneticPr fontId="4"/>
  </si>
  <si>
    <t>受付者</t>
    <rPh sb="0" eb="3">
      <t>ウケツケシャ</t>
    </rPh>
    <phoneticPr fontId="4"/>
  </si>
  <si>
    <t>予約表
反映</t>
    <rPh sb="0" eb="3">
      <t>ヨヤクヒョウ</t>
    </rPh>
    <rPh sb="4" eb="6">
      <t>ハンエイ</t>
    </rPh>
    <phoneticPr fontId="4"/>
  </si>
  <si>
    <t>SS確認</t>
    <rPh sb="2" eb="4">
      <t>カクニン</t>
    </rPh>
    <phoneticPr fontId="4"/>
  </si>
  <si>
    <t>鎌形勝夫</t>
    <rPh sb="0" eb="2">
      <t>カマガタ</t>
    </rPh>
    <rPh sb="2" eb="4">
      <t>カツオ</t>
    </rPh>
    <phoneticPr fontId="1"/>
  </si>
  <si>
    <t>ゆたか</t>
  </si>
  <si>
    <t>高橋CM</t>
    <rPh sb="0" eb="2">
      <t>タカハシ</t>
    </rPh>
    <phoneticPr fontId="1"/>
  </si>
  <si>
    <t>予約</t>
    <rPh sb="0" eb="2">
      <t>ヨヤク</t>
    </rPh>
    <phoneticPr fontId="1"/>
  </si>
  <si>
    <t>2/18-2/21予約</t>
    <rPh sb="9" eb="11">
      <t>ヨヤク</t>
    </rPh>
    <phoneticPr fontId="1"/>
  </si>
  <si>
    <t>清水</t>
    <rPh sb="0" eb="2">
      <t>シミズ</t>
    </rPh>
    <phoneticPr fontId="1"/>
  </si>
  <si>
    <t>✓</t>
  </si>
  <si>
    <t>内山光江</t>
    <rPh sb="0" eb="2">
      <t>ウチヤマ</t>
    </rPh>
    <rPh sb="2" eb="4">
      <t>ミツエ</t>
    </rPh>
    <phoneticPr fontId="1"/>
  </si>
  <si>
    <t>ナチュラル</t>
  </si>
  <si>
    <t>小林CM</t>
    <rPh sb="0" eb="2">
      <t>コバヤシ</t>
    </rPh>
    <phoneticPr fontId="1"/>
  </si>
  <si>
    <t>4/17-4-19予約</t>
    <rPh sb="9" eb="11">
      <t>ヨヤク</t>
    </rPh>
    <phoneticPr fontId="1"/>
  </si>
  <si>
    <t>齋藤恵美子</t>
    <rPh sb="0" eb="2">
      <t>サイトウ</t>
    </rPh>
    <rPh sb="2" eb="5">
      <t>エミコ</t>
    </rPh>
    <phoneticPr fontId="1"/>
  </si>
  <si>
    <t>ケイアイライフ</t>
  </si>
  <si>
    <t>井内CM</t>
    <rPh sb="0" eb="2">
      <t>イウチ</t>
    </rPh>
    <phoneticPr fontId="1"/>
  </si>
  <si>
    <t>2/19-2/22予約</t>
    <rPh sb="9" eb="11">
      <t>ヨヤク</t>
    </rPh>
    <phoneticPr fontId="1"/>
  </si>
  <si>
    <t>川戸道友子</t>
    <rPh sb="0" eb="5">
      <t>カワトミチトモコ</t>
    </rPh>
    <phoneticPr fontId="1"/>
  </si>
  <si>
    <t>キャンセル</t>
  </si>
  <si>
    <t>馬渡D訪問時にキャンセルとなる</t>
  </si>
  <si>
    <t>高橋弘</t>
    <rPh sb="0" eb="2">
      <t>タカハシ</t>
    </rPh>
    <rPh sb="2" eb="3">
      <t>ヒロ</t>
    </rPh>
    <phoneticPr fontId="1"/>
  </si>
  <si>
    <t>児玉久枝</t>
    <rPh sb="0" eb="2">
      <t>コダマ</t>
    </rPh>
    <rPh sb="2" eb="4">
      <t>ヒサエ</t>
    </rPh>
    <phoneticPr fontId="1"/>
  </si>
  <si>
    <t>高橋弘</t>
  </si>
  <si>
    <t>池雅明</t>
    <rPh sb="0" eb="3">
      <t>イケマサアキ</t>
    </rPh>
    <phoneticPr fontId="1"/>
  </si>
  <si>
    <t>アフェクション</t>
  </si>
  <si>
    <t>神谷CM</t>
    <rPh sb="0" eb="2">
      <t>カミヤ</t>
    </rPh>
    <phoneticPr fontId="1"/>
  </si>
  <si>
    <t>3月(金)-(月)全て予約</t>
    <rPh sb="1" eb="2">
      <t>ガツ</t>
    </rPh>
    <rPh sb="2" eb="5">
      <t>キン</t>
    </rPh>
    <rPh sb="6" eb="9">
      <t>ゲツ</t>
    </rPh>
    <rPh sb="9" eb="10">
      <t>スベ</t>
    </rPh>
    <rPh sb="11" eb="13">
      <t>ヨヤク</t>
    </rPh>
    <phoneticPr fontId="1"/>
  </si>
  <si>
    <t>桑山</t>
    <rPh sb="0" eb="2">
      <t>クワヤマ</t>
    </rPh>
    <phoneticPr fontId="1"/>
  </si>
  <si>
    <t>長濱幾子</t>
    <rPh sb="0" eb="4">
      <t>ナガハマイクコ</t>
    </rPh>
    <phoneticPr fontId="1"/>
  </si>
  <si>
    <t>市友</t>
    <rPh sb="0" eb="2">
      <t>イチユウ</t>
    </rPh>
    <phoneticPr fontId="1"/>
  </si>
  <si>
    <t>田中CM</t>
    <rPh sb="0" eb="2">
      <t>タナカ</t>
    </rPh>
    <phoneticPr fontId="1"/>
  </si>
  <si>
    <t>変更</t>
  </si>
  <si>
    <t>13-17→14-24　に変更</t>
    <rPh sb="13" eb="15">
      <t>ヘンコウ</t>
    </rPh>
    <phoneticPr fontId="1"/>
  </si>
  <si>
    <t>大島</t>
    <rPh sb="0" eb="2">
      <t>オオシマ</t>
    </rPh>
    <phoneticPr fontId="1"/>
  </si>
  <si>
    <t>佐藤英康</t>
    <rPh sb="0" eb="4">
      <t>サトウヒデヤス</t>
    </rPh>
    <phoneticPr fontId="1"/>
  </si>
  <si>
    <t>退所日14→13に変更</t>
    <rPh sb="0" eb="2">
      <t>タイショ</t>
    </rPh>
    <rPh sb="2" eb="3">
      <t>ビ</t>
    </rPh>
    <rPh sb="9" eb="11">
      <t>ヘンコウ</t>
    </rPh>
    <phoneticPr fontId="1"/>
  </si>
  <si>
    <t>高橋美代子</t>
    <rPh sb="0" eb="2">
      <t>タカハシ</t>
    </rPh>
    <rPh sb="2" eb="5">
      <t>ミヨコ</t>
    </rPh>
    <phoneticPr fontId="1"/>
  </si>
  <si>
    <t>1/14-18 キャンセル　入院したため</t>
    <rPh sb="14" eb="16">
      <t>ニュウイン</t>
    </rPh>
    <phoneticPr fontId="1"/>
  </si>
  <si>
    <t>早川健一</t>
    <rPh sb="0" eb="2">
      <t>ハヤカワ</t>
    </rPh>
    <rPh sb="2" eb="4">
      <t>ケンイチ</t>
    </rPh>
    <phoneticPr fontId="1"/>
  </si>
  <si>
    <t>川野CM</t>
    <rPh sb="0" eb="2">
      <t>カワノ</t>
    </rPh>
    <phoneticPr fontId="1"/>
  </si>
  <si>
    <t>1/25-27 2/1-3 15-17 キャンセル</t>
  </si>
  <si>
    <t>1/16-20 キャンセル　入院された為</t>
    <rPh sb="14" eb="16">
      <t>ニュウイン</t>
    </rPh>
    <rPh sb="19" eb="20">
      <t>タメ</t>
    </rPh>
    <phoneticPr fontId="1"/>
  </si>
  <si>
    <t>藤原啓子</t>
    <rPh sb="0" eb="2">
      <t>フジワラ</t>
    </rPh>
    <rPh sb="2" eb="4">
      <t>ケイコ</t>
    </rPh>
    <phoneticPr fontId="1"/>
  </si>
  <si>
    <t>ダイバー行徳</t>
    <rPh sb="4" eb="6">
      <t>ギョウトク</t>
    </rPh>
    <phoneticPr fontId="1"/>
  </si>
  <si>
    <t>2/11-全キャンセル</t>
    <rPh sb="5" eb="6">
      <t>ゼン</t>
    </rPh>
    <phoneticPr fontId="1"/>
  </si>
  <si>
    <t>吉岡</t>
    <rPh sb="0" eb="2">
      <t>ヨシオカ</t>
    </rPh>
    <phoneticPr fontId="1"/>
  </si>
  <si>
    <t>三瓶正子</t>
    <rPh sb="0" eb="4">
      <t>ミカメマサコ</t>
    </rPh>
    <phoneticPr fontId="1"/>
  </si>
  <si>
    <t>テルウェル</t>
  </si>
  <si>
    <t>河原CM</t>
    <rPh sb="0" eb="2">
      <t>カワハラ</t>
    </rPh>
    <phoneticPr fontId="1"/>
  </si>
  <si>
    <t>2/11-13⇒2/11-14  3/11-13⇒3/11-14 入退所時間変更により滞在時間少ないため延泊</t>
    <rPh sb="33" eb="34">
      <t>ニュウ</t>
    </rPh>
    <rPh sb="34" eb="36">
      <t>タイショ</t>
    </rPh>
    <rPh sb="36" eb="38">
      <t>ジカン</t>
    </rPh>
    <rPh sb="38" eb="40">
      <t>ヘンコウ</t>
    </rPh>
    <rPh sb="43" eb="45">
      <t>タイザイ</t>
    </rPh>
    <rPh sb="45" eb="47">
      <t>ジカン</t>
    </rPh>
    <rPh sb="47" eb="48">
      <t>スク</t>
    </rPh>
    <rPh sb="52" eb="54">
      <t>エンパク</t>
    </rPh>
    <phoneticPr fontId="1"/>
  </si>
  <si>
    <t>予約</t>
  </si>
  <si>
    <t>3/20-22 予約</t>
    <rPh sb="8" eb="10">
      <t>ヨヤク</t>
    </rPh>
    <phoneticPr fontId="1"/>
  </si>
  <si>
    <t>原葉子</t>
    <rPh sb="0" eb="1">
      <t>ハラ</t>
    </rPh>
    <rPh sb="1" eb="3">
      <t>ヨウコ</t>
    </rPh>
    <phoneticPr fontId="1"/>
  </si>
  <si>
    <t>二月以降全キャンセル</t>
    <rPh sb="0" eb="2">
      <t>ニガツ</t>
    </rPh>
    <rPh sb="2" eb="4">
      <t>イコウ</t>
    </rPh>
    <rPh sb="4" eb="5">
      <t>ゼン</t>
    </rPh>
    <phoneticPr fontId="1"/>
  </si>
  <si>
    <t>長峰文子</t>
    <rPh sb="0" eb="4">
      <t>ナガミネフミコ</t>
    </rPh>
    <phoneticPr fontId="1"/>
  </si>
  <si>
    <t>3/14-16→13-16に変更</t>
    <rPh sb="14" eb="16">
      <t>ヘンコウ</t>
    </rPh>
    <phoneticPr fontId="1"/>
  </si>
  <si>
    <t>渡邊弘子</t>
    <rPh sb="0" eb="2">
      <t>ワタナベ</t>
    </rPh>
    <rPh sb="2" eb="4">
      <t>ヒロコ</t>
    </rPh>
    <phoneticPr fontId="1"/>
  </si>
  <si>
    <t>癒しのケアプラン浦安</t>
    <rPh sb="0" eb="1">
      <t>イヤ</t>
    </rPh>
    <rPh sb="8" eb="10">
      <t>ウラヤス</t>
    </rPh>
    <phoneticPr fontId="1"/>
  </si>
  <si>
    <t>遠藤CM</t>
    <rPh sb="0" eb="2">
      <t>エンドウ</t>
    </rPh>
    <phoneticPr fontId="1"/>
  </si>
  <si>
    <t>2/8-10 予約</t>
    <rPh sb="7" eb="9">
      <t>ヨヤク</t>
    </rPh>
    <phoneticPr fontId="1"/>
  </si>
  <si>
    <t>フジワラケイコ</t>
  </si>
  <si>
    <t>新規　3/11-3/16、3/18-3/23、3/25-3/30　仮予約</t>
    <rPh sb="0" eb="2">
      <t>シンキ</t>
    </rPh>
    <rPh sb="33" eb="34">
      <t>カリ</t>
    </rPh>
    <rPh sb="34" eb="36">
      <t>ヨヤク</t>
    </rPh>
    <phoneticPr fontId="1"/>
  </si>
  <si>
    <t>オシタマサヒロ</t>
  </si>
  <si>
    <t>武田CM</t>
    <rPh sb="0" eb="2">
      <t>タケダ</t>
    </rPh>
    <phoneticPr fontId="1"/>
  </si>
  <si>
    <t>1/31-2/1 予約</t>
    <rPh sb="9" eb="11">
      <t>ヨヤク</t>
    </rPh>
    <phoneticPr fontId="1"/>
  </si>
  <si>
    <t>上井たか</t>
    <rPh sb="0" eb="2">
      <t>カミイ</t>
    </rPh>
    <phoneticPr fontId="1"/>
  </si>
  <si>
    <t>角川CM</t>
    <rPh sb="0" eb="2">
      <t>ツノカワ</t>
    </rPh>
    <phoneticPr fontId="1"/>
  </si>
  <si>
    <t>2/18-20 予約　理美容希望</t>
    <rPh sb="8" eb="10">
      <t>ヨヤク</t>
    </rPh>
    <rPh sb="11" eb="12">
      <t>リ</t>
    </rPh>
    <rPh sb="12" eb="14">
      <t>ビヨウ</t>
    </rPh>
    <rPh sb="14" eb="16">
      <t>キボウ</t>
    </rPh>
    <phoneticPr fontId="1"/>
  </si>
  <si>
    <t>佐藤世子</t>
    <rPh sb="0" eb="4">
      <t>サトウセイコ</t>
    </rPh>
    <phoneticPr fontId="1"/>
  </si>
  <si>
    <t>ライオン</t>
  </si>
  <si>
    <t>1/21-23 予約　帰りは浦安に送る</t>
    <rPh sb="8" eb="10">
      <t>ヨヤク</t>
    </rPh>
    <rPh sb="11" eb="12">
      <t>カエ</t>
    </rPh>
    <rPh sb="14" eb="16">
      <t>ウラヤス</t>
    </rPh>
    <rPh sb="17" eb="18">
      <t>オク</t>
    </rPh>
    <phoneticPr fontId="1"/>
  </si>
  <si>
    <t>鈴木芳枝</t>
    <rPh sb="0" eb="2">
      <t>スズキ</t>
    </rPh>
    <rPh sb="2" eb="4">
      <t>ヨシエ</t>
    </rPh>
    <phoneticPr fontId="1"/>
  </si>
  <si>
    <t>ニチイ</t>
  </si>
  <si>
    <t>中村CM</t>
    <rPh sb="0" eb="2">
      <t>ナカムラ</t>
    </rPh>
    <phoneticPr fontId="1"/>
  </si>
  <si>
    <t>2/25-3/2</t>
  </si>
  <si>
    <t>鈴木弘子</t>
    <rPh sb="0" eb="2">
      <t>スズキ</t>
    </rPh>
    <rPh sb="2" eb="4">
      <t>ヒロコ</t>
    </rPh>
    <phoneticPr fontId="1"/>
  </si>
  <si>
    <t>ケアリッツ日本橋</t>
    <rPh sb="5" eb="8">
      <t>ニホンバシ</t>
    </rPh>
    <phoneticPr fontId="1"/>
  </si>
  <si>
    <t>古田CM</t>
    <rPh sb="0" eb="2">
      <t>フルタ</t>
    </rPh>
    <phoneticPr fontId="1"/>
  </si>
  <si>
    <t>4/11-14　26-28　予約</t>
    <rPh sb="14" eb="16">
      <t>ヨヤク</t>
    </rPh>
    <phoneticPr fontId="1"/>
  </si>
  <si>
    <t>児玉久枝</t>
    <rPh sb="0" eb="2">
      <t>コダマ</t>
    </rPh>
    <rPh sb="2" eb="4">
      <t>ヒサエ</t>
    </rPh>
    <phoneticPr fontId="0"/>
  </si>
  <si>
    <t>1/24-1/26キャンセル</t>
  </si>
  <si>
    <t>清水</t>
    <rPh sb="0" eb="2">
      <t>シミズ</t>
    </rPh>
    <phoneticPr fontId="0"/>
  </si>
  <si>
    <t>浦中芳子</t>
    <rPh sb="0" eb="2">
      <t>ウラナカ</t>
    </rPh>
    <rPh sb="2" eb="4">
      <t>ヨシコ</t>
    </rPh>
    <phoneticPr fontId="1"/>
  </si>
  <si>
    <t>2/9-2/10予約　9日FA8：30送迎</t>
    <rPh sb="8" eb="10">
      <t>ヨヤク</t>
    </rPh>
    <rPh sb="12" eb="13">
      <t>ニチ</t>
    </rPh>
    <rPh sb="19" eb="21">
      <t>ソウゲイ</t>
    </rPh>
    <phoneticPr fontId="1"/>
  </si>
  <si>
    <t>栗原葉子</t>
    <rPh sb="0" eb="2">
      <t>クリハラ</t>
    </rPh>
    <rPh sb="2" eb="4">
      <t>ヨウコ</t>
    </rPh>
    <phoneticPr fontId="1"/>
  </si>
  <si>
    <t>ケアフリー</t>
  </si>
  <si>
    <t>栗岡CM</t>
    <rPh sb="0" eb="2">
      <t>クリオカ</t>
    </rPh>
    <phoneticPr fontId="0"/>
  </si>
  <si>
    <t>2/1-4 予約</t>
    <rPh sb="6" eb="8">
      <t>ヨヤク</t>
    </rPh>
    <phoneticPr fontId="1"/>
  </si>
  <si>
    <t>田中正江</t>
    <rPh sb="0" eb="4">
      <t>タナカマサエ</t>
    </rPh>
    <phoneticPr fontId="1"/>
  </si>
  <si>
    <t>松戸CM</t>
    <rPh sb="0" eb="2">
      <t>マツド</t>
    </rPh>
    <phoneticPr fontId="1"/>
  </si>
  <si>
    <t>2月以降全キャンセル　</t>
    <rPh sb="1" eb="2">
      <t>ガツ</t>
    </rPh>
    <rPh sb="2" eb="4">
      <t>イコウ</t>
    </rPh>
    <rPh sb="4" eb="5">
      <t>ゼン</t>
    </rPh>
    <phoneticPr fontId="1"/>
  </si>
  <si>
    <t>野津一美</t>
    <rPh sb="0" eb="1">
      <t>ノ</t>
    </rPh>
    <rPh sb="1" eb="2">
      <t>ツ</t>
    </rPh>
    <rPh sb="2" eb="4">
      <t>カズミ</t>
    </rPh>
    <phoneticPr fontId="0"/>
  </si>
  <si>
    <t>ダイバー篠崎</t>
    <rPh sb="4" eb="6">
      <t>シノザキ</t>
    </rPh>
    <phoneticPr fontId="0"/>
  </si>
  <si>
    <t>藤沼CM</t>
    <rPh sb="0" eb="2">
      <t>フジヌマ</t>
    </rPh>
    <phoneticPr fontId="0"/>
  </si>
  <si>
    <t>3/10-15⇒3/9-17</t>
  </si>
  <si>
    <t>吉岡</t>
    <rPh sb="0" eb="2">
      <t>ヨシオカ</t>
    </rPh>
    <phoneticPr fontId="0"/>
  </si>
  <si>
    <t>鈴木弘子</t>
    <rPh sb="0" eb="2">
      <t>スズキ</t>
    </rPh>
    <rPh sb="2" eb="4">
      <t>ヒロコ</t>
    </rPh>
    <phoneticPr fontId="0"/>
  </si>
  <si>
    <t>体調不良のため</t>
    <rPh sb="0" eb="2">
      <t>タイチョウ</t>
    </rPh>
    <rPh sb="2" eb="4">
      <t>フリョウ</t>
    </rPh>
    <phoneticPr fontId="0"/>
  </si>
  <si>
    <t>田邊博之</t>
    <rPh sb="0" eb="4">
      <t>タナベヒロユキ</t>
    </rPh>
    <phoneticPr fontId="1"/>
  </si>
  <si>
    <t>ホワイト市川</t>
    <rPh sb="4" eb="6">
      <t>イチカワ</t>
    </rPh>
    <phoneticPr fontId="1"/>
  </si>
  <si>
    <t>1/25-28 キャンセル入院されている為</t>
    <rPh sb="13" eb="15">
      <t>ニュウイン</t>
    </rPh>
    <rPh sb="20" eb="21">
      <t>タメ</t>
    </rPh>
    <phoneticPr fontId="1"/>
  </si>
  <si>
    <t>スガトミジ</t>
  </si>
  <si>
    <t>フォレスト</t>
  </si>
  <si>
    <t>荒木CM</t>
    <rPh sb="0" eb="2">
      <t>アラキ</t>
    </rPh>
    <phoneticPr fontId="0"/>
  </si>
  <si>
    <t>２/１５－２/２０仮予約→送迎時間合わない為キャンセル</t>
    <rPh sb="9" eb="12">
      <t>カリヨヤク</t>
    </rPh>
    <rPh sb="13" eb="15">
      <t>ソウゲイ</t>
    </rPh>
    <rPh sb="15" eb="17">
      <t>ジカン</t>
    </rPh>
    <rPh sb="17" eb="18">
      <t>ア</t>
    </rPh>
    <rPh sb="21" eb="22">
      <t>タメ</t>
    </rPh>
    <phoneticPr fontId="0"/>
  </si>
  <si>
    <t>田上</t>
    <rPh sb="0" eb="2">
      <t>タノウエ</t>
    </rPh>
    <phoneticPr fontId="0"/>
  </si>
  <si>
    <t>新キリコシハルオ</t>
    <rPh sb="0" eb="1">
      <t>シン</t>
    </rPh>
    <phoneticPr fontId="1"/>
  </si>
  <si>
    <t>わかる介護</t>
    <rPh sb="3" eb="5">
      <t>カイゴ</t>
    </rPh>
    <phoneticPr fontId="1"/>
  </si>
  <si>
    <t>保木元CM</t>
    <rPh sb="0" eb="3">
      <t>ホキモト</t>
    </rPh>
    <phoneticPr fontId="1"/>
  </si>
  <si>
    <t>新規　2/1-2/4予約</t>
    <rPh sb="0" eb="2">
      <t>シンキ</t>
    </rPh>
    <rPh sb="10" eb="12">
      <t>ヨヤク</t>
    </rPh>
    <phoneticPr fontId="1"/>
  </si>
  <si>
    <t>菊田トミ</t>
    <rPh sb="0" eb="2">
      <t>キクタ</t>
    </rPh>
    <phoneticPr fontId="1"/>
  </si>
  <si>
    <t>セントケア</t>
  </si>
  <si>
    <t>熊谷CM</t>
    <rPh sb="0" eb="2">
      <t>クマガイ</t>
    </rPh>
    <phoneticPr fontId="1"/>
  </si>
  <si>
    <t>３/２４－３/29予約</t>
    <rPh sb="9" eb="11">
      <t>ヨヤク</t>
    </rPh>
    <phoneticPr fontId="1"/>
  </si>
  <si>
    <t>田上</t>
    <rPh sb="0" eb="2">
      <t>タノウエ</t>
    </rPh>
    <phoneticPr fontId="1"/>
  </si>
  <si>
    <t>ダイバー篠崎</t>
    <rPh sb="4" eb="6">
      <t>シノザキ</t>
    </rPh>
    <phoneticPr fontId="1"/>
  </si>
  <si>
    <t>2/27-3/3 キャンセル</t>
  </si>
  <si>
    <t>小宮光江</t>
    <rPh sb="0" eb="2">
      <t>コミヤ</t>
    </rPh>
    <rPh sb="2" eb="4">
      <t>ミツエ</t>
    </rPh>
    <phoneticPr fontId="1"/>
  </si>
  <si>
    <t>不破CM</t>
    <rPh sb="0" eb="2">
      <t>フワ</t>
    </rPh>
    <phoneticPr fontId="1"/>
  </si>
  <si>
    <t>2/19-21 予約</t>
    <rPh sb="8" eb="10">
      <t>ヨヤク</t>
    </rPh>
    <phoneticPr fontId="1"/>
  </si>
  <si>
    <t>２/１～まだ入院中の為キャンセル。</t>
    <rPh sb="6" eb="9">
      <t>ニュウインチュウ</t>
    </rPh>
    <rPh sb="10" eb="11">
      <t>タメ</t>
    </rPh>
    <phoneticPr fontId="1"/>
  </si>
  <si>
    <t>２/８－２/１４、３/９－３/１７キャンセル</t>
  </si>
  <si>
    <t>２/１５－２/１７キャンセル</t>
  </si>
  <si>
    <t>原田完治</t>
    <rPh sb="0" eb="4">
      <t>ハラダカンジ</t>
    </rPh>
    <phoneticPr fontId="1"/>
  </si>
  <si>
    <t>パムコ</t>
  </si>
  <si>
    <t>天井CM</t>
    <rPh sb="0" eb="2">
      <t>アマイ</t>
    </rPh>
    <phoneticPr fontId="1"/>
  </si>
  <si>
    <t>空きができたので２/14～２/18繋げて予約済み。連絡依頼してます</t>
    <rPh sb="0" eb="1">
      <t>ア</t>
    </rPh>
    <rPh sb="17" eb="18">
      <t>ツナ</t>
    </rPh>
    <rPh sb="20" eb="22">
      <t>ヨヤク</t>
    </rPh>
    <rPh sb="22" eb="23">
      <t>ズ</t>
    </rPh>
    <rPh sb="25" eb="27">
      <t>レンラク</t>
    </rPh>
    <rPh sb="27" eb="29">
      <t>イライ</t>
    </rPh>
    <phoneticPr fontId="1"/>
  </si>
  <si>
    <t>花田房子</t>
    <rPh sb="0" eb="4">
      <t>ハナダフサコ</t>
    </rPh>
    <phoneticPr fontId="0"/>
  </si>
  <si>
    <t>下河辺CM</t>
    <rPh sb="0" eb="3">
      <t>シモカワベ</t>
    </rPh>
    <phoneticPr fontId="0"/>
  </si>
  <si>
    <t>2/17-20→21退所　3/4-10→3/3入所　送迎時間変更の為</t>
    <rPh sb="10" eb="12">
      <t>タイショ</t>
    </rPh>
    <rPh sb="23" eb="25">
      <t>ニュウショ</t>
    </rPh>
    <rPh sb="26" eb="30">
      <t>ソウゲイジカン</t>
    </rPh>
    <rPh sb="30" eb="32">
      <t>ヘンコウ</t>
    </rPh>
    <rPh sb="33" eb="34">
      <t>タメ</t>
    </rPh>
    <phoneticPr fontId="0"/>
  </si>
  <si>
    <t>桑山</t>
    <rPh sb="0" eb="2">
      <t>クワヤマ</t>
    </rPh>
    <phoneticPr fontId="0"/>
  </si>
  <si>
    <t>尾下正大</t>
    <rPh sb="0" eb="2">
      <t>オシタ</t>
    </rPh>
    <rPh sb="2" eb="4">
      <t>マサヒロ</t>
    </rPh>
    <phoneticPr fontId="1"/>
  </si>
  <si>
    <t>1/31-2/1緊急搬送の為キャンセル</t>
    <rPh sb="8" eb="12">
      <t>キンキュウハンソウ</t>
    </rPh>
    <rPh sb="13" eb="14">
      <t>タメ</t>
    </rPh>
    <phoneticPr fontId="1"/>
  </si>
  <si>
    <t>松田春雄</t>
    <rPh sb="0" eb="2">
      <t>マツダ</t>
    </rPh>
    <rPh sb="2" eb="4">
      <t>ハルオ</t>
    </rPh>
    <phoneticPr fontId="1"/>
  </si>
  <si>
    <t>奥田CM</t>
    <rPh sb="0" eb="2">
      <t>オクダ</t>
    </rPh>
    <phoneticPr fontId="1"/>
  </si>
  <si>
    <t>6/1-6/2予約　6/2、FA夕方　昼おやつ持参</t>
    <rPh sb="7" eb="9">
      <t>ヨヤク</t>
    </rPh>
    <rPh sb="16" eb="18">
      <t>ユウガタ</t>
    </rPh>
    <rPh sb="19" eb="20">
      <t>ヒル</t>
    </rPh>
    <rPh sb="23" eb="25">
      <t>ジサン</t>
    </rPh>
    <phoneticPr fontId="1"/>
  </si>
  <si>
    <t>つぼみきぬ</t>
    <phoneticPr fontId="1"/>
  </si>
  <si>
    <t>坂本CM</t>
    <rPh sb="0" eb="2">
      <t>サカモト</t>
    </rPh>
    <phoneticPr fontId="1"/>
  </si>
  <si>
    <t>新規２/21－２/22予約（入所は午前、退所は午後）
契約は２月入ってから</t>
    <rPh sb="0" eb="2">
      <t>シンキ</t>
    </rPh>
    <rPh sb="11" eb="13">
      <t>ヨヤク</t>
    </rPh>
    <rPh sb="14" eb="16">
      <t>ニュウショ</t>
    </rPh>
    <rPh sb="17" eb="19">
      <t>ゴゼン</t>
    </rPh>
    <rPh sb="20" eb="22">
      <t>タイショ</t>
    </rPh>
    <rPh sb="23" eb="25">
      <t>ゴゴ</t>
    </rPh>
    <rPh sb="27" eb="29">
      <t>ケイヤク</t>
    </rPh>
    <rPh sb="31" eb="32">
      <t>ガツ</t>
    </rPh>
    <rPh sb="32" eb="33">
      <t>ハイ</t>
    </rPh>
    <phoneticPr fontId="1"/>
  </si>
  <si>
    <t>アフェクション</t>
    <phoneticPr fontId="1"/>
  </si>
  <si>
    <t>1/31～、２/7～２/10入院中の為キャンセル</t>
    <rPh sb="14" eb="17">
      <t>ニュウインチュウ</t>
    </rPh>
    <rPh sb="18" eb="19">
      <t>タメ</t>
    </rPh>
    <phoneticPr fontId="1"/>
  </si>
  <si>
    <t>小林</t>
    <rPh sb="0" eb="2">
      <t>コバヤシ</t>
    </rPh>
    <phoneticPr fontId="1"/>
  </si>
  <si>
    <t>宍戸利弘</t>
    <rPh sb="0" eb="2">
      <t>シシド</t>
    </rPh>
    <rPh sb="2" eb="4">
      <t>トシヒロ</t>
    </rPh>
    <phoneticPr fontId="0"/>
  </si>
  <si>
    <t>退所日30→2/4に変更　奥様怪我された為</t>
    <rPh sb="0" eb="2">
      <t>タイショ</t>
    </rPh>
    <rPh sb="2" eb="3">
      <t>ビ</t>
    </rPh>
    <rPh sb="10" eb="12">
      <t>ヘンコウ</t>
    </rPh>
    <rPh sb="13" eb="15">
      <t>オクサマ</t>
    </rPh>
    <rPh sb="15" eb="17">
      <t>ケガ</t>
    </rPh>
    <rPh sb="20" eb="21">
      <t>タメ</t>
    </rPh>
    <phoneticPr fontId="0"/>
  </si>
  <si>
    <t>大島</t>
    <rPh sb="0" eb="2">
      <t>オオシマ</t>
    </rPh>
    <phoneticPr fontId="0"/>
  </si>
  <si>
    <t>西野具己</t>
    <rPh sb="0" eb="4">
      <t>ニシノグオノレ</t>
    </rPh>
    <phoneticPr fontId="1"/>
  </si>
  <si>
    <t>きらら船堀</t>
    <rPh sb="3" eb="5">
      <t>フナボリ</t>
    </rPh>
    <phoneticPr fontId="1"/>
  </si>
  <si>
    <t>亀井CM</t>
    <rPh sb="0" eb="2">
      <t>カメイ</t>
    </rPh>
    <phoneticPr fontId="1"/>
  </si>
  <si>
    <t>3/21-25 予約　2/8-13に変更</t>
    <rPh sb="8" eb="10">
      <t>ヨヤク</t>
    </rPh>
    <rPh sb="18" eb="20">
      <t>ヘンコウ</t>
    </rPh>
    <phoneticPr fontId="1"/>
  </si>
  <si>
    <t>北村やいこ</t>
    <rPh sb="0" eb="2">
      <t>キタムラ</t>
    </rPh>
    <phoneticPr fontId="1"/>
  </si>
  <si>
    <t>3/5-25 予約　契約2月14日希望時間未定</t>
    <rPh sb="7" eb="9">
      <t>ヨヤク</t>
    </rPh>
    <rPh sb="10" eb="12">
      <t>ケイヤク</t>
    </rPh>
    <rPh sb="13" eb="14">
      <t>ガツ</t>
    </rPh>
    <rPh sb="16" eb="17">
      <t>ニチ</t>
    </rPh>
    <rPh sb="17" eb="19">
      <t>キボウ</t>
    </rPh>
    <rPh sb="19" eb="21">
      <t>ジカン</t>
    </rPh>
    <rPh sb="21" eb="23">
      <t>ミテイ</t>
    </rPh>
    <phoneticPr fontId="1"/>
  </si>
  <si>
    <t>田中慶子</t>
    <rPh sb="0" eb="4">
      <t>タナカケイコ</t>
    </rPh>
    <phoneticPr fontId="1"/>
  </si>
  <si>
    <t>吉武CM</t>
    <rPh sb="0" eb="2">
      <t>ヨシタケ</t>
    </rPh>
    <phoneticPr fontId="1"/>
  </si>
  <si>
    <t>2月以降全キャンセル　</t>
    <rPh sb="1" eb="2">
      <t>ガツ</t>
    </rPh>
    <phoneticPr fontId="1"/>
  </si>
  <si>
    <t>介護のパムコ</t>
    <rPh sb="0" eb="2">
      <t>カイゴ</t>
    </rPh>
    <phoneticPr fontId="1"/>
  </si>
  <si>
    <t>2/14-18→15-18に変更</t>
    <rPh sb="14" eb="16">
      <t>ヘンコウ</t>
    </rPh>
    <phoneticPr fontId="1"/>
  </si>
  <si>
    <t>2/7-2/10体調不良のためキャンセル</t>
    <rPh sb="8" eb="10">
      <t>タイチョウ</t>
    </rPh>
    <rPh sb="10" eb="12">
      <t>フリョウ</t>
    </rPh>
    <phoneticPr fontId="0"/>
  </si>
  <si>
    <t>高橋美代子</t>
    <rPh sb="0" eb="2">
      <t>タカハシ</t>
    </rPh>
    <rPh sb="2" eb="5">
      <t>ミヨコ</t>
    </rPh>
    <phoneticPr fontId="0"/>
  </si>
  <si>
    <t>河原CM</t>
    <rPh sb="0" eb="2">
      <t>カワハラ</t>
    </rPh>
    <phoneticPr fontId="0"/>
  </si>
  <si>
    <t>2/4-8 キャンセル</t>
  </si>
  <si>
    <t>尾下正大</t>
    <rPh sb="0" eb="4">
      <t>オシタマサヒロ</t>
    </rPh>
    <phoneticPr fontId="1"/>
  </si>
  <si>
    <t>2/7-8入院中の為キャンセル</t>
    <rPh sb="5" eb="8">
      <t>ニュウインチュウ</t>
    </rPh>
    <rPh sb="9" eb="10">
      <t>タメ</t>
    </rPh>
    <phoneticPr fontId="1"/>
  </si>
  <si>
    <t>新規</t>
    <rPh sb="0" eb="2">
      <t>シンキ</t>
    </rPh>
    <phoneticPr fontId="0"/>
  </si>
  <si>
    <t>がんちゃん</t>
  </si>
  <si>
    <t>加藤CM</t>
    <rPh sb="0" eb="2">
      <t>カトウ</t>
    </rPh>
    <phoneticPr fontId="0"/>
  </si>
  <si>
    <t>新規　2/10-2/17仮予約</t>
    <rPh sb="0" eb="2">
      <t>シンキ</t>
    </rPh>
    <rPh sb="12" eb="13">
      <t>カリ</t>
    </rPh>
    <rPh sb="13" eb="15">
      <t>ヨヤク</t>
    </rPh>
    <phoneticPr fontId="0"/>
  </si>
  <si>
    <t>北澤　歳今朝</t>
    <rPh sb="0" eb="2">
      <t>キタザワ</t>
    </rPh>
    <rPh sb="3" eb="4">
      <t>トシ</t>
    </rPh>
    <rPh sb="4" eb="6">
      <t>ケサ</t>
    </rPh>
    <phoneticPr fontId="1"/>
  </si>
  <si>
    <t>菅原CM</t>
    <rPh sb="0" eb="2">
      <t>スガワラ</t>
    </rPh>
    <phoneticPr fontId="1"/>
  </si>
  <si>
    <t>4/16-20 予約（CM変更）</t>
    <rPh sb="8" eb="10">
      <t>ヨヤク</t>
    </rPh>
    <rPh sb="13" eb="15">
      <t>ヘンコウ</t>
    </rPh>
    <phoneticPr fontId="1"/>
  </si>
  <si>
    <t>3/24-31 予約　</t>
    <rPh sb="8" eb="10">
      <t>ヨヤク</t>
    </rPh>
    <phoneticPr fontId="1"/>
  </si>
  <si>
    <t>入所日変更7日→8日に変更</t>
    <rPh sb="0" eb="2">
      <t>ニュウショ</t>
    </rPh>
    <rPh sb="2" eb="3">
      <t>ビ</t>
    </rPh>
    <rPh sb="3" eb="5">
      <t>ヘンコウ</t>
    </rPh>
    <rPh sb="6" eb="7">
      <t>ニチ</t>
    </rPh>
    <rPh sb="9" eb="10">
      <t>ニチ</t>
    </rPh>
    <rPh sb="11" eb="13">
      <t>ヘンコウ</t>
    </rPh>
    <phoneticPr fontId="1"/>
  </si>
  <si>
    <t>利用難しい為、全キャンセル</t>
    <rPh sb="0" eb="2">
      <t>リヨウ</t>
    </rPh>
    <rPh sb="2" eb="3">
      <t>ムズカ</t>
    </rPh>
    <rPh sb="5" eb="6">
      <t>タメ</t>
    </rPh>
    <rPh sb="7" eb="8">
      <t>ゼン</t>
    </rPh>
    <phoneticPr fontId="1"/>
  </si>
  <si>
    <t>当麻純子</t>
    <rPh sb="0" eb="2">
      <t>トウマ</t>
    </rPh>
    <rPh sb="2" eb="4">
      <t>ジュンコ</t>
    </rPh>
    <phoneticPr fontId="1"/>
  </si>
  <si>
    <t>2/22-25 PM入所AM退所　SS送迎</t>
    <rPh sb="10" eb="12">
      <t>ニュウショ</t>
    </rPh>
    <rPh sb="14" eb="16">
      <t>タイショ</t>
    </rPh>
    <rPh sb="19" eb="21">
      <t>ソウゲイ</t>
    </rPh>
    <phoneticPr fontId="1"/>
  </si>
  <si>
    <t>田中サク</t>
    <rPh sb="0" eb="2">
      <t>タナカ</t>
    </rPh>
    <phoneticPr fontId="0"/>
  </si>
  <si>
    <t>わかる介護</t>
    <rPh sb="3" eb="5">
      <t>カイゴ</t>
    </rPh>
    <phoneticPr fontId="0"/>
  </si>
  <si>
    <t>浅野CM</t>
    <rPh sb="0" eb="2">
      <t>アサノ</t>
    </rPh>
    <phoneticPr fontId="0"/>
  </si>
  <si>
    <t>予約</t>
    <rPh sb="0" eb="2">
      <t>ヨヤク</t>
    </rPh>
    <phoneticPr fontId="0"/>
  </si>
  <si>
    <t>2/17-2/20予約</t>
    <rPh sb="9" eb="11">
      <t>ヨヤク</t>
    </rPh>
    <phoneticPr fontId="0"/>
  </si>
  <si>
    <t>松原節子</t>
    <rPh sb="0" eb="2">
      <t>マツバラ</t>
    </rPh>
    <rPh sb="2" eb="4">
      <t>セツコ</t>
    </rPh>
    <phoneticPr fontId="1"/>
  </si>
  <si>
    <t>みずたま</t>
    <phoneticPr fontId="1"/>
  </si>
  <si>
    <t>大輪CM</t>
    <rPh sb="0" eb="2">
      <t>オオワ</t>
    </rPh>
    <phoneticPr fontId="1"/>
  </si>
  <si>
    <t>2/8-14 予約</t>
    <rPh sb="7" eb="9">
      <t>ヨヤク</t>
    </rPh>
    <phoneticPr fontId="1"/>
  </si>
  <si>
    <t>涌田ミキ</t>
    <rPh sb="0" eb="2">
      <t>ワクタ</t>
    </rPh>
    <phoneticPr fontId="1"/>
  </si>
  <si>
    <t>2/10-14 キャンセル　コロナにて入院の為</t>
    <rPh sb="19" eb="21">
      <t>ニュウイン</t>
    </rPh>
    <rPh sb="22" eb="23">
      <t>タメ</t>
    </rPh>
    <phoneticPr fontId="1"/>
  </si>
  <si>
    <t>入院することになり全キャンセル</t>
    <rPh sb="0" eb="2">
      <t>ニュウイン</t>
    </rPh>
    <rPh sb="9" eb="10">
      <t>ゼン</t>
    </rPh>
    <phoneticPr fontId="1"/>
  </si>
  <si>
    <t>加藤健治</t>
    <rPh sb="0" eb="2">
      <t>カトウ</t>
    </rPh>
    <rPh sb="2" eb="4">
      <t>ケンジ</t>
    </rPh>
    <phoneticPr fontId="0"/>
  </si>
  <si>
    <t>ハートパートナーズ</t>
  </si>
  <si>
    <t>酒井CM</t>
    <rPh sb="0" eb="2">
      <t>サカイ</t>
    </rPh>
    <phoneticPr fontId="0"/>
  </si>
  <si>
    <t>2/24-28 仮押さえ</t>
    <rPh sb="8" eb="9">
      <t>カリ</t>
    </rPh>
    <rPh sb="9" eb="10">
      <t>オ</t>
    </rPh>
    <phoneticPr fontId="0"/>
  </si>
  <si>
    <t>原田完治</t>
    <rPh sb="0" eb="2">
      <t>ハラダ</t>
    </rPh>
    <rPh sb="2" eb="4">
      <t>カンジ</t>
    </rPh>
    <phoneticPr fontId="0"/>
  </si>
  <si>
    <t>CM</t>
  </si>
  <si>
    <t>2/１５－/18入院中の為キャンセル</t>
    <rPh sb="8" eb="11">
      <t>ニュウインチュウ</t>
    </rPh>
    <rPh sb="12" eb="13">
      <t>タメ</t>
    </rPh>
    <phoneticPr fontId="0"/>
  </si>
  <si>
    <t>あいざわみちこ</t>
    <phoneticPr fontId="1"/>
  </si>
  <si>
    <t>セントケア</t>
    <phoneticPr fontId="1"/>
  </si>
  <si>
    <t>坂元CM</t>
    <rPh sb="0" eb="2">
      <t>サカモト</t>
    </rPh>
    <phoneticPr fontId="1"/>
  </si>
  <si>
    <t>新規　４/24－４/27予約。契約後日</t>
    <rPh sb="0" eb="2">
      <t>シンキ</t>
    </rPh>
    <rPh sb="12" eb="14">
      <t>ヨヤク</t>
    </rPh>
    <rPh sb="15" eb="17">
      <t>ケイヤク</t>
    </rPh>
    <rPh sb="17" eb="19">
      <t>ゴジツ</t>
    </rPh>
    <phoneticPr fontId="1"/>
  </si>
  <si>
    <t>伊藤チヨ</t>
    <rPh sb="0" eb="2">
      <t>イトウ</t>
    </rPh>
    <phoneticPr fontId="1"/>
  </si>
  <si>
    <t>フォレスト</t>
    <phoneticPr fontId="1"/>
  </si>
  <si>
    <t>小森CM</t>
    <rPh sb="0" eb="2">
      <t>コモリ</t>
    </rPh>
    <phoneticPr fontId="1"/>
  </si>
  <si>
    <t>２/22～3/12予約</t>
    <rPh sb="9" eb="11">
      <t>ヨヤク</t>
    </rPh>
    <phoneticPr fontId="1"/>
  </si>
  <si>
    <t>かすみ介護</t>
    <rPh sb="3" eb="5">
      <t>カイゴ</t>
    </rPh>
    <phoneticPr fontId="1"/>
  </si>
  <si>
    <t>鈴木CM</t>
    <rPh sb="0" eb="2">
      <t>スズキ</t>
    </rPh>
    <phoneticPr fontId="1"/>
  </si>
  <si>
    <t>ご逝去された為、全キャンセル</t>
    <rPh sb="1" eb="3">
      <t>セイキョ</t>
    </rPh>
    <rPh sb="6" eb="7">
      <t>タメ</t>
    </rPh>
    <rPh sb="8" eb="9">
      <t>ゼン</t>
    </rPh>
    <phoneticPr fontId="1"/>
  </si>
  <si>
    <t>松井敏美</t>
    <rPh sb="0" eb="2">
      <t>マツイ</t>
    </rPh>
    <rPh sb="2" eb="3">
      <t>トシ</t>
    </rPh>
    <rPh sb="3" eb="4">
      <t>ミ</t>
    </rPh>
    <phoneticPr fontId="1"/>
  </si>
  <si>
    <t>ケアリッツプラン行徳</t>
    <rPh sb="8" eb="10">
      <t>ギョウトク</t>
    </rPh>
    <phoneticPr fontId="1"/>
  </si>
  <si>
    <t>倉島CM</t>
    <rPh sb="0" eb="2">
      <t>クラシマ</t>
    </rPh>
    <phoneticPr fontId="1"/>
  </si>
  <si>
    <t>5/12-15 予約</t>
    <rPh sb="8" eb="10">
      <t>ヨヤク</t>
    </rPh>
    <phoneticPr fontId="1"/>
  </si>
  <si>
    <t>なるみかずこ</t>
    <phoneticPr fontId="1"/>
  </si>
  <si>
    <t>ラビット</t>
    <phoneticPr fontId="1"/>
  </si>
  <si>
    <t>小松CM</t>
    <rPh sb="0" eb="2">
      <t>コマツ</t>
    </rPh>
    <phoneticPr fontId="1"/>
  </si>
  <si>
    <t>3/3-15 キャンセル待ち　3/17-29 予約</t>
    <rPh sb="12" eb="13">
      <t>マ</t>
    </rPh>
    <rPh sb="23" eb="25">
      <t>ヨヤク</t>
    </rPh>
    <phoneticPr fontId="1"/>
  </si>
  <si>
    <t>宮腰よね子</t>
    <rPh sb="0" eb="2">
      <t>ミヤコシ</t>
    </rPh>
    <rPh sb="4" eb="5">
      <t>コ</t>
    </rPh>
    <phoneticPr fontId="1"/>
  </si>
  <si>
    <t>愛ネット</t>
    <rPh sb="0" eb="1">
      <t>アイ</t>
    </rPh>
    <phoneticPr fontId="1"/>
  </si>
  <si>
    <t>小島CM</t>
    <rPh sb="0" eb="2">
      <t>コジマ</t>
    </rPh>
    <phoneticPr fontId="1"/>
  </si>
  <si>
    <t>４月～キャンセル</t>
    <rPh sb="1" eb="2">
      <t>ガツ</t>
    </rPh>
    <phoneticPr fontId="1"/>
  </si>
  <si>
    <t>ダイバーシティ行徳</t>
    <rPh sb="7" eb="9">
      <t>ギョウトク</t>
    </rPh>
    <phoneticPr fontId="1"/>
  </si>
  <si>
    <t>3/1～⇒2/28～へ変更（点眼調整のため）</t>
    <rPh sb="11" eb="13">
      <t>ヘンコウ</t>
    </rPh>
    <rPh sb="14" eb="16">
      <t>テンガン</t>
    </rPh>
    <rPh sb="16" eb="18">
      <t>チョウセイ</t>
    </rPh>
    <phoneticPr fontId="1"/>
  </si>
  <si>
    <t>石光清美</t>
    <rPh sb="0" eb="2">
      <t>イシミツ</t>
    </rPh>
    <rPh sb="2" eb="4">
      <t>キヨミ</t>
    </rPh>
    <phoneticPr fontId="1"/>
  </si>
  <si>
    <t>2/18-21 2/25-27 施設入所のため全キャンセル</t>
    <rPh sb="16" eb="18">
      <t>シセツ</t>
    </rPh>
    <rPh sb="18" eb="20">
      <t>ニュウショ</t>
    </rPh>
    <rPh sb="23" eb="24">
      <t>ゼン</t>
    </rPh>
    <phoneticPr fontId="1"/>
  </si>
  <si>
    <t>３/２４－３/29→３/22－/29に変更</t>
    <rPh sb="19" eb="21">
      <t>ヘンコウ</t>
    </rPh>
    <phoneticPr fontId="1"/>
  </si>
  <si>
    <t>上井たか</t>
    <rPh sb="0" eb="2">
      <t>カミイ</t>
    </rPh>
    <phoneticPr fontId="0"/>
  </si>
  <si>
    <t>ダイバー</t>
  </si>
  <si>
    <t>角川CM</t>
    <rPh sb="0" eb="2">
      <t>ツノカワ</t>
    </rPh>
    <phoneticPr fontId="0"/>
  </si>
  <si>
    <t>4/21-4/28予約</t>
    <rPh sb="9" eb="11">
      <t>ヨヤク</t>
    </rPh>
    <phoneticPr fontId="0"/>
  </si>
  <si>
    <t>保冨士子</t>
    <rPh sb="0" eb="1">
      <t>タモツ</t>
    </rPh>
    <rPh sb="1" eb="4">
      <t>フジコ</t>
    </rPh>
    <phoneticPr fontId="0"/>
  </si>
  <si>
    <t>3/16-3/22、4/13-4/26仮予約　CMに伝えるとの事だったが残り1部屋しかなかった為仮で押さえてます</t>
    <rPh sb="19" eb="20">
      <t>カリ</t>
    </rPh>
    <rPh sb="20" eb="22">
      <t>ヨヤク</t>
    </rPh>
    <rPh sb="26" eb="27">
      <t>ツタ</t>
    </rPh>
    <rPh sb="31" eb="32">
      <t>コト</t>
    </rPh>
    <rPh sb="36" eb="37">
      <t>ノコ</t>
    </rPh>
    <rPh sb="39" eb="41">
      <t>ヘヤ</t>
    </rPh>
    <rPh sb="47" eb="48">
      <t>タメ</t>
    </rPh>
    <rPh sb="48" eb="49">
      <t>カリ</t>
    </rPh>
    <rPh sb="50" eb="51">
      <t>オ</t>
    </rPh>
    <phoneticPr fontId="0"/>
  </si>
  <si>
    <t>首藤フクミ</t>
    <rPh sb="0" eb="2">
      <t>シュトウ</t>
    </rPh>
    <phoneticPr fontId="1"/>
  </si>
  <si>
    <t>３/８－/10キャンセル。FA入院の為老健１か月入所</t>
    <rPh sb="15" eb="17">
      <t>ニュウイン</t>
    </rPh>
    <rPh sb="18" eb="19">
      <t>タメ</t>
    </rPh>
    <rPh sb="19" eb="21">
      <t>ロウケン</t>
    </rPh>
    <rPh sb="21" eb="24">
      <t>イッカゲツ</t>
    </rPh>
    <rPh sb="24" eb="26">
      <t>ニュウショ</t>
    </rPh>
    <phoneticPr fontId="1"/>
  </si>
  <si>
    <t>CM</t>
    <phoneticPr fontId="1"/>
  </si>
  <si>
    <t>３/11－/14、4/15－/18、5/13－/16、6/13ー/16、7/4－/7予約</t>
    <rPh sb="42" eb="44">
      <t>ヨヤク</t>
    </rPh>
    <phoneticPr fontId="1"/>
  </si>
  <si>
    <t>3/22－３/24→3/11－３/14に変更、CMへはFAから伝達する</t>
    <rPh sb="20" eb="22">
      <t>ヘンコウ</t>
    </rPh>
    <rPh sb="31" eb="33">
      <t>デンタツ</t>
    </rPh>
    <phoneticPr fontId="1"/>
  </si>
  <si>
    <t>佐藤　豊吉</t>
    <rPh sb="0" eb="2">
      <t>サトウ</t>
    </rPh>
    <rPh sb="3" eb="5">
      <t>トヨキチ</t>
    </rPh>
    <phoneticPr fontId="0"/>
  </si>
  <si>
    <t>アイノテ</t>
  </si>
  <si>
    <t>佐々木CM</t>
    <rPh sb="0" eb="3">
      <t>ササキ</t>
    </rPh>
    <phoneticPr fontId="0"/>
  </si>
  <si>
    <t>3/25-4/3　DS見学完了者　DS契約なし　奥様入院のためSS利用契約日後日調整</t>
    <rPh sb="11" eb="13">
      <t>ケンガク</t>
    </rPh>
    <rPh sb="13" eb="15">
      <t>カンリョウ</t>
    </rPh>
    <rPh sb="15" eb="16">
      <t>シャ</t>
    </rPh>
    <rPh sb="19" eb="21">
      <t>ケイヤク</t>
    </rPh>
    <rPh sb="24" eb="26">
      <t>オクサマ</t>
    </rPh>
    <rPh sb="26" eb="28">
      <t>ニュウイン</t>
    </rPh>
    <rPh sb="33" eb="35">
      <t>リヨウ</t>
    </rPh>
    <rPh sb="35" eb="38">
      <t>ケイヤクビ</t>
    </rPh>
    <rPh sb="38" eb="40">
      <t>ゴジツ</t>
    </rPh>
    <rPh sb="40" eb="42">
      <t>チョウセイ</t>
    </rPh>
    <phoneticPr fontId="0"/>
  </si>
  <si>
    <t>宇都宮紘二</t>
    <rPh sb="0" eb="3">
      <t>ウツノミヤ</t>
    </rPh>
    <rPh sb="3" eb="4">
      <t>コウ</t>
    </rPh>
    <rPh sb="4" eb="5">
      <t>ジ</t>
    </rPh>
    <phoneticPr fontId="1"/>
  </si>
  <si>
    <t>2/28－３/17予約</t>
    <rPh sb="9" eb="11">
      <t>ヨヤク</t>
    </rPh>
    <phoneticPr fontId="1"/>
  </si>
  <si>
    <t>ナチュラル</t>
    <phoneticPr fontId="1"/>
  </si>
  <si>
    <t>5/17（FA９）－５/18（FA17）</t>
    <phoneticPr fontId="1"/>
  </si>
  <si>
    <t>３/18－３/21予約。３/19－/20→3/18－3/21に変更</t>
    <rPh sb="9" eb="11">
      <t>ヨヤク</t>
    </rPh>
    <rPh sb="31" eb="33">
      <t>ヘンコウ</t>
    </rPh>
    <phoneticPr fontId="1"/>
  </si>
  <si>
    <t>後藤ナツ子</t>
    <rPh sb="0" eb="2">
      <t>ゴトウ</t>
    </rPh>
    <rPh sb="4" eb="5">
      <t>コ</t>
    </rPh>
    <phoneticPr fontId="1"/>
  </si>
  <si>
    <t>ダイバー</t>
    <phoneticPr fontId="1"/>
  </si>
  <si>
    <t>奥村</t>
    <rPh sb="0" eb="2">
      <t>オクムラ</t>
    </rPh>
    <phoneticPr fontId="1"/>
  </si>
  <si>
    <t>2/20～キャンセル</t>
    <phoneticPr fontId="1"/>
  </si>
  <si>
    <t>2/26－/28、３/7－3/8（FA夕方）、5/５－/7、5/31－6/2予約</t>
    <rPh sb="19" eb="21">
      <t>ユウガタ</t>
    </rPh>
    <rPh sb="38" eb="40">
      <t>ヨヤク</t>
    </rPh>
    <phoneticPr fontId="1"/>
  </si>
  <si>
    <t>4/26-5/3 予約</t>
    <rPh sb="9" eb="11">
      <t>ヨヤク</t>
    </rPh>
    <phoneticPr fontId="1"/>
  </si>
  <si>
    <t>歌丸登代子</t>
    <rPh sb="0" eb="5">
      <t>ウタマルトヨコ</t>
    </rPh>
    <phoneticPr fontId="1"/>
  </si>
  <si>
    <t>2/22-26 キャンセル</t>
    <phoneticPr fontId="1"/>
  </si>
  <si>
    <t>ゆたか</t>
    <phoneticPr fontId="1"/>
  </si>
  <si>
    <t>2/25-27 予約</t>
    <rPh sb="8" eb="10">
      <t>ヨヤク</t>
    </rPh>
    <phoneticPr fontId="1"/>
  </si>
  <si>
    <t>石黒葉子</t>
    <rPh sb="0" eb="4">
      <t>イシグロヨウコ</t>
    </rPh>
    <phoneticPr fontId="1"/>
  </si>
  <si>
    <t>ニチイ</t>
    <phoneticPr fontId="1"/>
  </si>
  <si>
    <t>3/4-7 予約</t>
    <rPh sb="6" eb="8">
      <t>ヨヤク</t>
    </rPh>
    <phoneticPr fontId="1"/>
  </si>
  <si>
    <t>市友</t>
    <rPh sb="0" eb="1">
      <t>イチ</t>
    </rPh>
    <rPh sb="1" eb="2">
      <t>ユウ</t>
    </rPh>
    <phoneticPr fontId="1"/>
  </si>
  <si>
    <t>２/25-3/20→３/9-3/20に変更</t>
    <rPh sb="19" eb="21">
      <t>ヘンコウ</t>
    </rPh>
    <phoneticPr fontId="1"/>
  </si>
  <si>
    <t>木村邦子</t>
    <rPh sb="0" eb="2">
      <t>キムラ</t>
    </rPh>
    <rPh sb="2" eb="4">
      <t>クニコ</t>
    </rPh>
    <phoneticPr fontId="1"/>
  </si>
  <si>
    <t>家族体調不良にて2/25まで延泊</t>
    <rPh sb="0" eb="2">
      <t>カゾク</t>
    </rPh>
    <rPh sb="2" eb="4">
      <t>タイチョウ</t>
    </rPh>
    <rPh sb="4" eb="6">
      <t>フリョウ</t>
    </rPh>
    <rPh sb="14" eb="16">
      <t>エンパク</t>
    </rPh>
    <phoneticPr fontId="1"/>
  </si>
  <si>
    <t>横山弘子</t>
    <rPh sb="0" eb="2">
      <t>ヨコヤマ</t>
    </rPh>
    <rPh sb="2" eb="4">
      <t>ヒロコ</t>
    </rPh>
    <phoneticPr fontId="1"/>
  </si>
  <si>
    <t>なぎさ和楽園</t>
    <rPh sb="3" eb="4">
      <t>ワ</t>
    </rPh>
    <rPh sb="4" eb="6">
      <t>ラクエン</t>
    </rPh>
    <phoneticPr fontId="1"/>
  </si>
  <si>
    <t>みながわCM</t>
    <phoneticPr fontId="1"/>
  </si>
  <si>
    <t>3/18－/20仮予約。契約３/７</t>
    <rPh sb="8" eb="9">
      <t>カリ</t>
    </rPh>
    <rPh sb="9" eb="11">
      <t>ヨヤク</t>
    </rPh>
    <rPh sb="12" eb="14">
      <t>ケイヤク</t>
    </rPh>
    <phoneticPr fontId="1"/>
  </si>
  <si>
    <t>西野具己</t>
    <rPh sb="0" eb="4">
      <t>ニシノグオノレ</t>
    </rPh>
    <phoneticPr fontId="0"/>
  </si>
  <si>
    <t>～３/31までを～４/１までに変更</t>
    <rPh sb="15" eb="17">
      <t>ヘンコウ</t>
    </rPh>
    <phoneticPr fontId="0"/>
  </si>
  <si>
    <t>内山榮子</t>
    <rPh sb="0" eb="2">
      <t>ウチヤマ</t>
    </rPh>
    <rPh sb="2" eb="4">
      <t>エイコ</t>
    </rPh>
    <phoneticPr fontId="1"/>
  </si>
  <si>
    <t>えん</t>
    <phoneticPr fontId="1"/>
  </si>
  <si>
    <t>松崎CM</t>
    <rPh sb="0" eb="2">
      <t>マツザキ</t>
    </rPh>
    <phoneticPr fontId="1"/>
  </si>
  <si>
    <t>5/1－5/8、6/4－/8、7/19－/23、9/20－/24（FA送迎かも？）</t>
    <rPh sb="35" eb="37">
      <t>ソウゲイ</t>
    </rPh>
    <phoneticPr fontId="1"/>
  </si>
  <si>
    <t>向島好子</t>
    <rPh sb="0" eb="2">
      <t>ムコウジマ</t>
    </rPh>
    <rPh sb="2" eb="4">
      <t>ヨシコ</t>
    </rPh>
    <phoneticPr fontId="1"/>
  </si>
  <si>
    <t>3/20-22キャンセル待ち、4/10－/12予約</t>
    <rPh sb="12" eb="13">
      <t>マ</t>
    </rPh>
    <rPh sb="23" eb="25">
      <t>ヨヤク</t>
    </rPh>
    <phoneticPr fontId="1"/>
  </si>
  <si>
    <t>３/7－/11キャンセル待ち→空き出て入れるCM、FA連絡済み</t>
    <rPh sb="12" eb="13">
      <t>マ</t>
    </rPh>
    <rPh sb="15" eb="16">
      <t>ア</t>
    </rPh>
    <rPh sb="17" eb="18">
      <t>デ</t>
    </rPh>
    <rPh sb="19" eb="20">
      <t>ハイ</t>
    </rPh>
    <rPh sb="27" eb="29">
      <t>レンラク</t>
    </rPh>
    <rPh sb="29" eb="30">
      <t>ズ</t>
    </rPh>
    <phoneticPr fontId="1"/>
  </si>
  <si>
    <t>はがこうしち</t>
    <phoneticPr fontId="1"/>
  </si>
  <si>
    <t>眞栄</t>
    <rPh sb="0" eb="2">
      <t>シンエイ</t>
    </rPh>
    <phoneticPr fontId="1"/>
  </si>
  <si>
    <t>富澤CM</t>
    <rPh sb="0" eb="2">
      <t>トミサワ</t>
    </rPh>
    <phoneticPr fontId="1"/>
  </si>
  <si>
    <t>3/2-4 予約</t>
    <rPh sb="6" eb="8">
      <t>ヨヤク</t>
    </rPh>
    <phoneticPr fontId="1"/>
  </si>
  <si>
    <t>3月キャンセル</t>
    <rPh sb="1" eb="2">
      <t>ガツ</t>
    </rPh>
    <phoneticPr fontId="1"/>
  </si>
  <si>
    <t>今西恵</t>
    <rPh sb="0" eb="2">
      <t>イマニシ</t>
    </rPh>
    <rPh sb="2" eb="3">
      <t>メグミ</t>
    </rPh>
    <phoneticPr fontId="0"/>
  </si>
  <si>
    <t>手塚CM</t>
    <rPh sb="0" eb="2">
      <t>テヅカ</t>
    </rPh>
    <phoneticPr fontId="0"/>
  </si>
  <si>
    <t>4/8-4/11、4/21-4/22キャンセル</t>
  </si>
  <si>
    <t>山本信春夫妻</t>
    <rPh sb="0" eb="2">
      <t>ヤマモト</t>
    </rPh>
    <rPh sb="2" eb="4">
      <t>ノブハル</t>
    </rPh>
    <rPh sb="4" eb="6">
      <t>フサイ</t>
    </rPh>
    <phoneticPr fontId="0"/>
  </si>
  <si>
    <t>わかるか介護</t>
    <rPh sb="4" eb="6">
      <t>カイゴ</t>
    </rPh>
    <phoneticPr fontId="0"/>
  </si>
  <si>
    <t>保木CM</t>
    <rPh sb="0" eb="2">
      <t>ホギ</t>
    </rPh>
    <phoneticPr fontId="0"/>
  </si>
  <si>
    <t>3/29-3/31予約　午後入所、午前退所OK</t>
    <rPh sb="9" eb="11">
      <t>ヨヤク</t>
    </rPh>
    <rPh sb="12" eb="14">
      <t>ゴゴ</t>
    </rPh>
    <rPh sb="14" eb="16">
      <t>ニュウショ</t>
    </rPh>
    <rPh sb="17" eb="19">
      <t>ゴゼン</t>
    </rPh>
    <rPh sb="19" eb="21">
      <t>タイショ</t>
    </rPh>
    <phoneticPr fontId="0"/>
  </si>
  <si>
    <t>豊田道子</t>
    <rPh sb="0" eb="4">
      <t>トヨタミチコ</t>
    </rPh>
    <phoneticPr fontId="1"/>
  </si>
  <si>
    <t>3/13-15 予約</t>
    <rPh sb="8" eb="10">
      <t>ヨヤク</t>
    </rPh>
    <phoneticPr fontId="1"/>
  </si>
  <si>
    <t>SSU</t>
    <phoneticPr fontId="1"/>
  </si>
  <si>
    <t>岩村CM</t>
    <rPh sb="0" eb="2">
      <t>イワムラ</t>
    </rPh>
    <phoneticPr fontId="1"/>
  </si>
  <si>
    <t>3/20-28 予約</t>
    <rPh sb="8" eb="10">
      <t>ヨヤク</t>
    </rPh>
    <phoneticPr fontId="1"/>
  </si>
  <si>
    <t>髙橋克誠</t>
    <rPh sb="0" eb="3">
      <t>タカハシカツ</t>
    </rPh>
    <rPh sb="3" eb="4">
      <t>マコト</t>
    </rPh>
    <phoneticPr fontId="1"/>
  </si>
  <si>
    <t>癒しのケアプラン</t>
    <rPh sb="0" eb="1">
      <t>イヤ</t>
    </rPh>
    <phoneticPr fontId="1"/>
  </si>
  <si>
    <t>岸本CM</t>
    <rPh sb="0" eb="2">
      <t>キシモト</t>
    </rPh>
    <phoneticPr fontId="1"/>
  </si>
  <si>
    <t>施設入所した為全キャンセル</t>
    <rPh sb="0" eb="2">
      <t>シセツ</t>
    </rPh>
    <rPh sb="2" eb="4">
      <t>ニュウショ</t>
    </rPh>
    <rPh sb="6" eb="7">
      <t>タメ</t>
    </rPh>
    <rPh sb="7" eb="8">
      <t>ゼン</t>
    </rPh>
    <phoneticPr fontId="1"/>
  </si>
  <si>
    <t>森田喜代子</t>
    <rPh sb="0" eb="5">
      <t>モリタキヨコ</t>
    </rPh>
    <phoneticPr fontId="1"/>
  </si>
  <si>
    <t>ケアサービスひまわり</t>
    <phoneticPr fontId="1"/>
  </si>
  <si>
    <t>古宮CM</t>
    <rPh sb="0" eb="2">
      <t>コミヤ</t>
    </rPh>
    <phoneticPr fontId="1"/>
  </si>
  <si>
    <t>3/7-11キャンセル　旦那様は利用予定</t>
    <rPh sb="12" eb="15">
      <t>ダンナサマ</t>
    </rPh>
    <rPh sb="16" eb="18">
      <t>リヨウ</t>
    </rPh>
    <rPh sb="18" eb="20">
      <t>ヨテイ</t>
    </rPh>
    <phoneticPr fontId="1"/>
  </si>
  <si>
    <t>鎌形勝夫</t>
    <rPh sb="0" eb="2">
      <t>カマガタ</t>
    </rPh>
    <rPh sb="2" eb="4">
      <t>カツオ</t>
    </rPh>
    <phoneticPr fontId="0"/>
  </si>
  <si>
    <t>高橋CM</t>
    <rPh sb="0" eb="2">
      <t>タカハシ</t>
    </rPh>
    <phoneticPr fontId="0"/>
  </si>
  <si>
    <t>3/21-24 予約</t>
    <rPh sb="8" eb="10">
      <t>ヨヤク</t>
    </rPh>
    <phoneticPr fontId="0"/>
  </si>
  <si>
    <t>佐藤豊吉</t>
    <rPh sb="0" eb="2">
      <t>サトウ</t>
    </rPh>
    <rPh sb="2" eb="4">
      <t>トヨキチ</t>
    </rPh>
    <phoneticPr fontId="1"/>
  </si>
  <si>
    <t>アイノテ</t>
    <phoneticPr fontId="1"/>
  </si>
  <si>
    <t>3/25-4/3 キャンセル</t>
    <phoneticPr fontId="1"/>
  </si>
  <si>
    <t>渡辺留美子</t>
    <rPh sb="0" eb="2">
      <t>ワタナベ</t>
    </rPh>
    <rPh sb="2" eb="5">
      <t>ルミコ</t>
    </rPh>
    <phoneticPr fontId="1"/>
  </si>
  <si>
    <t xml:space="preserve">4/1-4/4→3/31-4/4 </t>
    <phoneticPr fontId="1"/>
  </si>
  <si>
    <t>目時絋子</t>
    <rPh sb="0" eb="4">
      <t>メトキヒロコ</t>
    </rPh>
    <phoneticPr fontId="1"/>
  </si>
  <si>
    <t>いろは</t>
    <phoneticPr fontId="1"/>
  </si>
  <si>
    <t>池添Cm</t>
    <rPh sb="0" eb="2">
      <t>イケゾエ</t>
    </rPh>
    <phoneticPr fontId="1"/>
  </si>
  <si>
    <t>3/10-/12予約</t>
    <rPh sb="8" eb="10">
      <t>ヨヤク</t>
    </rPh>
    <phoneticPr fontId="1"/>
  </si>
  <si>
    <t>現在入院中の為3/9－/16キャンセル。以降は再度連絡くれる予定</t>
    <rPh sb="0" eb="2">
      <t>ゲンザイ</t>
    </rPh>
    <rPh sb="2" eb="5">
      <t>ニュウインチュウ</t>
    </rPh>
    <rPh sb="6" eb="7">
      <t>タメ</t>
    </rPh>
    <rPh sb="20" eb="22">
      <t>イコウ</t>
    </rPh>
    <rPh sb="23" eb="25">
      <t>サイド</t>
    </rPh>
    <rPh sb="25" eb="27">
      <t>レンラク</t>
    </rPh>
    <rPh sb="30" eb="32">
      <t>ヨテイ</t>
    </rPh>
    <phoneticPr fontId="1"/>
  </si>
  <si>
    <t>佐藤英康</t>
    <rPh sb="0" eb="2">
      <t>サトウ</t>
    </rPh>
    <rPh sb="2" eb="4">
      <t>ヒデヤス</t>
    </rPh>
    <phoneticPr fontId="1"/>
  </si>
  <si>
    <t>変更</t>
    <phoneticPr fontId="1"/>
  </si>
  <si>
    <t>3/10退所から3/9退所へ変更</t>
    <rPh sb="4" eb="6">
      <t>タイショ</t>
    </rPh>
    <rPh sb="11" eb="13">
      <t>タイショ</t>
    </rPh>
    <rPh sb="14" eb="16">
      <t>ヘンコウ</t>
    </rPh>
    <phoneticPr fontId="1"/>
  </si>
  <si>
    <t>3/8から3/11キャンセル</t>
    <phoneticPr fontId="1"/>
  </si>
  <si>
    <t>鈴木眞琴</t>
    <rPh sb="0" eb="3">
      <t>スズキマコト</t>
    </rPh>
    <rPh sb="3" eb="4">
      <t>コト</t>
    </rPh>
    <phoneticPr fontId="1"/>
  </si>
  <si>
    <t>ダイバー葛西</t>
    <rPh sb="4" eb="6">
      <t>カサイ</t>
    </rPh>
    <phoneticPr fontId="1"/>
  </si>
  <si>
    <t>3/10-20 拒否が強い為</t>
    <rPh sb="8" eb="10">
      <t>キョヒ</t>
    </rPh>
    <rPh sb="11" eb="12">
      <t>ツヨ</t>
    </rPh>
    <rPh sb="13" eb="14">
      <t>タメ</t>
    </rPh>
    <phoneticPr fontId="1"/>
  </si>
  <si>
    <t>4/11-13 行き帰りFA送迎</t>
    <rPh sb="8" eb="9">
      <t>イ</t>
    </rPh>
    <rPh sb="10" eb="11">
      <t>カエ</t>
    </rPh>
    <rPh sb="14" eb="16">
      <t>ソウゲイ</t>
    </rPh>
    <phoneticPr fontId="1"/>
  </si>
  <si>
    <t>5/19-5/26予約</t>
    <rPh sb="9" eb="11">
      <t>ヨヤク</t>
    </rPh>
    <phoneticPr fontId="1"/>
  </si>
  <si>
    <t>3/20-22 キャンセル　家族との連絡行き違い</t>
    <rPh sb="14" eb="16">
      <t>カゾク</t>
    </rPh>
    <rPh sb="18" eb="20">
      <t>レンラク</t>
    </rPh>
    <rPh sb="20" eb="21">
      <t>イ</t>
    </rPh>
    <rPh sb="22" eb="23">
      <t>チガ</t>
    </rPh>
    <phoneticPr fontId="0"/>
  </si>
  <si>
    <t>3/11退所でしたが12日に変更　FA体調不良の為</t>
    <rPh sb="4" eb="6">
      <t>タイショ</t>
    </rPh>
    <rPh sb="12" eb="13">
      <t>ニチ</t>
    </rPh>
    <rPh sb="14" eb="16">
      <t>ヘンコウ</t>
    </rPh>
    <rPh sb="19" eb="21">
      <t>タイチョウ</t>
    </rPh>
    <rPh sb="21" eb="23">
      <t>フリョウ</t>
    </rPh>
    <rPh sb="24" eb="25">
      <t>タメ</t>
    </rPh>
    <phoneticPr fontId="1"/>
  </si>
  <si>
    <t>西野文子</t>
    <rPh sb="0" eb="2">
      <t>ニシノ</t>
    </rPh>
    <rPh sb="2" eb="4">
      <t>フミコ</t>
    </rPh>
    <phoneticPr fontId="1"/>
  </si>
  <si>
    <t>楓</t>
    <rPh sb="0" eb="1">
      <t>カエデ</t>
    </rPh>
    <phoneticPr fontId="1"/>
  </si>
  <si>
    <t>5/3-6 予約</t>
    <rPh sb="6" eb="8">
      <t>ヨヤク</t>
    </rPh>
    <phoneticPr fontId="1"/>
  </si>
  <si>
    <t>上村宏子</t>
    <rPh sb="0" eb="4">
      <t>カミムラヒロコ</t>
    </rPh>
    <phoneticPr fontId="1"/>
  </si>
  <si>
    <t>ウエルネスサポート</t>
    <phoneticPr fontId="1"/>
  </si>
  <si>
    <t>竹村CM</t>
    <rPh sb="0" eb="1">
      <t>タケ</t>
    </rPh>
    <rPh sb="1" eb="2">
      <t>ムラ</t>
    </rPh>
    <phoneticPr fontId="1"/>
  </si>
  <si>
    <t>3/14－３/27キャンセル。送迎時間合わない為</t>
    <rPh sb="15" eb="17">
      <t>ソウゲイ</t>
    </rPh>
    <rPh sb="17" eb="19">
      <t>ジカン</t>
    </rPh>
    <rPh sb="19" eb="20">
      <t>ア</t>
    </rPh>
    <rPh sb="23" eb="24">
      <t>タメ</t>
    </rPh>
    <phoneticPr fontId="1"/>
  </si>
  <si>
    <t>3/17-3/20キャンセル　入院のため</t>
    <rPh sb="15" eb="17">
      <t>ニュウイン</t>
    </rPh>
    <phoneticPr fontId="0"/>
  </si>
  <si>
    <t>吉川としこ</t>
    <rPh sb="0" eb="2">
      <t>ヨシカワ</t>
    </rPh>
    <phoneticPr fontId="1"/>
  </si>
  <si>
    <t>新規　4/11－４/13　担会は後日</t>
    <rPh sb="0" eb="2">
      <t>シンキ</t>
    </rPh>
    <rPh sb="13" eb="14">
      <t>タン</t>
    </rPh>
    <rPh sb="14" eb="15">
      <t>カイ</t>
    </rPh>
    <rPh sb="16" eb="18">
      <t>ゴジツ</t>
    </rPh>
    <phoneticPr fontId="1"/>
  </si>
  <si>
    <t>鈴木與五郎</t>
    <rPh sb="0" eb="2">
      <t>スズキ</t>
    </rPh>
    <rPh sb="2" eb="5">
      <t>ヨゴロウ</t>
    </rPh>
    <phoneticPr fontId="1"/>
  </si>
  <si>
    <t>エスポワール</t>
    <phoneticPr fontId="1"/>
  </si>
  <si>
    <t>はやまCM</t>
    <phoneticPr fontId="1"/>
  </si>
  <si>
    <t>３/22－/24キャンセル待ちから予約</t>
    <rPh sb="13" eb="14">
      <t>マ</t>
    </rPh>
    <rPh sb="17" eb="19">
      <t>ヨヤク</t>
    </rPh>
    <phoneticPr fontId="1"/>
  </si>
  <si>
    <t>わかる</t>
    <phoneticPr fontId="1"/>
  </si>
  <si>
    <t>3/12までを3/13までに変更</t>
    <rPh sb="14" eb="16">
      <t>ヘンコウ</t>
    </rPh>
    <phoneticPr fontId="1"/>
  </si>
  <si>
    <t>豊田道子</t>
    <rPh sb="0" eb="2">
      <t>トヨダ</t>
    </rPh>
    <rPh sb="2" eb="4">
      <t>ミチコ</t>
    </rPh>
    <phoneticPr fontId="1"/>
  </si>
  <si>
    <t>5/29-6/3予約</t>
    <rPh sb="8" eb="10">
      <t>ヨヤク</t>
    </rPh>
    <phoneticPr fontId="1"/>
  </si>
  <si>
    <t>山田</t>
    <rPh sb="0" eb="2">
      <t>ヤマダ</t>
    </rPh>
    <phoneticPr fontId="1"/>
  </si>
  <si>
    <t>山下堯</t>
    <rPh sb="0" eb="3">
      <t>ヤマシタタカシ</t>
    </rPh>
    <phoneticPr fontId="1"/>
  </si>
  <si>
    <t>テルウェル</t>
    <phoneticPr fontId="1"/>
  </si>
  <si>
    <t>古谷野CM</t>
    <rPh sb="0" eb="3">
      <t>コヤノ</t>
    </rPh>
    <phoneticPr fontId="1"/>
  </si>
  <si>
    <t>4/5-7 26-28 予約</t>
    <rPh sb="12" eb="14">
      <t>ヨヤク</t>
    </rPh>
    <phoneticPr fontId="1"/>
  </si>
  <si>
    <t>文平好枝</t>
    <rPh sb="0" eb="2">
      <t>フミヒラ</t>
    </rPh>
    <rPh sb="2" eb="4">
      <t>ヨシエ</t>
    </rPh>
    <phoneticPr fontId="1"/>
  </si>
  <si>
    <t>3/26-29 予約</t>
    <rPh sb="8" eb="10">
      <t>ヨヤク</t>
    </rPh>
    <phoneticPr fontId="1"/>
  </si>
  <si>
    <t>佐藤みち子</t>
    <rPh sb="0" eb="2">
      <t>サトウ</t>
    </rPh>
    <rPh sb="4" eb="5">
      <t>コ</t>
    </rPh>
    <phoneticPr fontId="1"/>
  </si>
  <si>
    <t>大谷CM</t>
    <rPh sb="0" eb="2">
      <t>オオタニ</t>
    </rPh>
    <phoneticPr fontId="1"/>
  </si>
  <si>
    <t>3/19-4/18 SS利用できる状況ではなくなってしまった為</t>
    <rPh sb="12" eb="14">
      <t>リヨウ</t>
    </rPh>
    <rPh sb="17" eb="19">
      <t>ジョウキョウ</t>
    </rPh>
    <rPh sb="30" eb="31">
      <t>タメ</t>
    </rPh>
    <phoneticPr fontId="1"/>
  </si>
  <si>
    <t>吉田ようこ</t>
    <rPh sb="0" eb="2">
      <t>ヨシダ</t>
    </rPh>
    <phoneticPr fontId="0"/>
  </si>
  <si>
    <t>SSU</t>
  </si>
  <si>
    <t>栗山CM</t>
    <rPh sb="0" eb="2">
      <t>クリヤマ</t>
    </rPh>
    <phoneticPr fontId="0"/>
  </si>
  <si>
    <t>3/21-3/23予約　新規案件</t>
    <rPh sb="9" eb="11">
      <t>ヨヤク</t>
    </rPh>
    <rPh sb="12" eb="14">
      <t>シンキ</t>
    </rPh>
    <rPh sb="14" eb="16">
      <t>アンケン</t>
    </rPh>
    <phoneticPr fontId="0"/>
  </si>
  <si>
    <t>本田</t>
    <rPh sb="0" eb="2">
      <t>ホンダ</t>
    </rPh>
    <phoneticPr fontId="0"/>
  </si>
  <si>
    <t>ケイアイライフ</t>
    <phoneticPr fontId="1"/>
  </si>
  <si>
    <t>4/8-10 20-22   予約</t>
    <rPh sb="15" eb="17">
      <t>ヨヤク</t>
    </rPh>
    <phoneticPr fontId="1"/>
  </si>
  <si>
    <t>徳田雅代</t>
    <rPh sb="0" eb="4">
      <t>トクダマサヨ</t>
    </rPh>
    <phoneticPr fontId="1"/>
  </si>
  <si>
    <t>ダイバー浦安</t>
    <rPh sb="4" eb="6">
      <t>ウラヤス</t>
    </rPh>
    <phoneticPr fontId="1"/>
  </si>
  <si>
    <t>船橋CM</t>
    <rPh sb="0" eb="2">
      <t>フナハシ</t>
    </rPh>
    <phoneticPr fontId="1"/>
  </si>
  <si>
    <t>3/24-28 予約</t>
    <rPh sb="8" eb="10">
      <t>ヨヤク</t>
    </rPh>
    <phoneticPr fontId="1"/>
  </si>
  <si>
    <t>永田みどりみつえ</t>
    <rPh sb="0" eb="2">
      <t>ナガタ</t>
    </rPh>
    <phoneticPr fontId="1"/>
  </si>
  <si>
    <t>山口久子</t>
    <rPh sb="0" eb="2">
      <t>ヤマグチ</t>
    </rPh>
    <rPh sb="2" eb="4">
      <t>ヒサコ</t>
    </rPh>
    <phoneticPr fontId="1"/>
  </si>
  <si>
    <t>浅野CM</t>
    <rPh sb="0" eb="2">
      <t>アサノ</t>
    </rPh>
    <phoneticPr fontId="1"/>
  </si>
  <si>
    <t>3/28-を3/26-に変更</t>
    <rPh sb="12" eb="14">
      <t>ヘンコウ</t>
    </rPh>
    <phoneticPr fontId="1"/>
  </si>
  <si>
    <t>篠塚</t>
    <rPh sb="0" eb="2">
      <t>シノツカ</t>
    </rPh>
    <phoneticPr fontId="1"/>
  </si>
  <si>
    <t>✓</t>
    <phoneticPr fontId="1"/>
  </si>
  <si>
    <t>SONPO</t>
    <phoneticPr fontId="1"/>
  </si>
  <si>
    <t>大村CM</t>
    <rPh sb="0" eb="2">
      <t>オオムラ</t>
    </rPh>
    <phoneticPr fontId="1"/>
  </si>
  <si>
    <t>3/22-4/31　ロング予約希望受付　契約吉岡予定</t>
    <rPh sb="13" eb="15">
      <t>ヨヤク</t>
    </rPh>
    <rPh sb="15" eb="17">
      <t>キボウ</t>
    </rPh>
    <rPh sb="17" eb="19">
      <t>ウケツケ</t>
    </rPh>
    <rPh sb="20" eb="22">
      <t>ケイヤク</t>
    </rPh>
    <rPh sb="22" eb="24">
      <t>ヨシオカ</t>
    </rPh>
    <rPh sb="24" eb="26">
      <t>ヨテイ</t>
    </rPh>
    <phoneticPr fontId="1"/>
  </si>
  <si>
    <t>入院中の為3/24－3/30キャンセル</t>
    <rPh sb="0" eb="3">
      <t>ニュウインチュウ</t>
    </rPh>
    <rPh sb="4" eb="5">
      <t>タメ</t>
    </rPh>
    <phoneticPr fontId="1"/>
  </si>
  <si>
    <t>大貫しん</t>
    <rPh sb="0" eb="2">
      <t>オオヌキ</t>
    </rPh>
    <phoneticPr fontId="1"/>
  </si>
  <si>
    <t>源元CM</t>
    <rPh sb="0" eb="1">
      <t>ゲン</t>
    </rPh>
    <rPh sb="1" eb="2">
      <t>モト</t>
    </rPh>
    <phoneticPr fontId="1"/>
  </si>
  <si>
    <t>新規4/７－4/20　旦那様入院日確定したら日程変わるかも
確定したら連絡くれる予定</t>
    <rPh sb="0" eb="2">
      <t>シンキ</t>
    </rPh>
    <rPh sb="11" eb="14">
      <t>ダンナサマ</t>
    </rPh>
    <rPh sb="14" eb="16">
      <t>ニュウイン</t>
    </rPh>
    <rPh sb="16" eb="17">
      <t>ビ</t>
    </rPh>
    <rPh sb="17" eb="19">
      <t>カクテイ</t>
    </rPh>
    <rPh sb="22" eb="24">
      <t>ニッテイ</t>
    </rPh>
    <rPh sb="24" eb="25">
      <t>カ</t>
    </rPh>
    <rPh sb="30" eb="32">
      <t>カクテイ</t>
    </rPh>
    <rPh sb="35" eb="37">
      <t>レンラク</t>
    </rPh>
    <rPh sb="40" eb="42">
      <t>ヨテイ</t>
    </rPh>
    <phoneticPr fontId="1"/>
  </si>
  <si>
    <t>3/21－3/24キャンセル、3/24－3/27予約</t>
    <rPh sb="24" eb="26">
      <t>ヨヤク</t>
    </rPh>
    <phoneticPr fontId="1"/>
  </si>
  <si>
    <t>田上</t>
    <rPh sb="0" eb="1">
      <t>タ</t>
    </rPh>
    <rPh sb="1" eb="2">
      <t>ウエ</t>
    </rPh>
    <phoneticPr fontId="1"/>
  </si>
  <si>
    <t>高松すえ</t>
    <rPh sb="0" eb="2">
      <t>タカマツ</t>
    </rPh>
    <phoneticPr fontId="1"/>
  </si>
  <si>
    <t>新規　4/8－/10お試し予約　契約日は大島CWへ連絡済み</t>
    <rPh sb="0" eb="2">
      <t>シンキ</t>
    </rPh>
    <rPh sb="11" eb="12">
      <t>タメ</t>
    </rPh>
    <rPh sb="13" eb="15">
      <t>ヨヤク</t>
    </rPh>
    <rPh sb="16" eb="19">
      <t>ケイヤクビ</t>
    </rPh>
    <rPh sb="20" eb="22">
      <t>オオシマ</t>
    </rPh>
    <rPh sb="25" eb="27">
      <t>レンラク</t>
    </rPh>
    <rPh sb="27" eb="28">
      <t>ズ</t>
    </rPh>
    <phoneticPr fontId="1"/>
  </si>
  <si>
    <t>ニチイ浦安</t>
    <rPh sb="3" eb="5">
      <t>ウラヤス</t>
    </rPh>
    <phoneticPr fontId="1"/>
  </si>
  <si>
    <t>4/9～4/11　予約</t>
    <rPh sb="9" eb="11">
      <t>ヨヤク</t>
    </rPh>
    <phoneticPr fontId="1"/>
  </si>
  <si>
    <t>吉野とみゑ</t>
    <rPh sb="0" eb="2">
      <t>ヨシノ</t>
    </rPh>
    <phoneticPr fontId="1"/>
  </si>
  <si>
    <t>ケアリッツ行徳</t>
    <rPh sb="5" eb="7">
      <t>ギョウトク</t>
    </rPh>
    <phoneticPr fontId="1"/>
  </si>
  <si>
    <t>佐藤CM</t>
    <rPh sb="0" eb="2">
      <t>サトウ</t>
    </rPh>
    <phoneticPr fontId="1"/>
  </si>
  <si>
    <t>5/2-6　予約 送迎はFA送迎で時間は後日連絡くださいます。</t>
    <rPh sb="6" eb="8">
      <t>ヨヤク</t>
    </rPh>
    <rPh sb="9" eb="11">
      <t>ソウゲイ</t>
    </rPh>
    <rPh sb="14" eb="16">
      <t>ソウゲイ</t>
    </rPh>
    <rPh sb="17" eb="19">
      <t>ジカン</t>
    </rPh>
    <rPh sb="20" eb="22">
      <t>ゴジツ</t>
    </rPh>
    <rPh sb="22" eb="24">
      <t>レンラク</t>
    </rPh>
    <phoneticPr fontId="1"/>
  </si>
  <si>
    <t>高橋友</t>
    <rPh sb="0" eb="2">
      <t>タカハシ</t>
    </rPh>
    <rPh sb="2" eb="3">
      <t>ユウ</t>
    </rPh>
    <phoneticPr fontId="1"/>
  </si>
  <si>
    <t>高松すえ</t>
    <rPh sb="0" eb="2">
      <t>タカマツ</t>
    </rPh>
    <phoneticPr fontId="0"/>
  </si>
  <si>
    <t>楓</t>
    <rPh sb="0" eb="1">
      <t>カエデ</t>
    </rPh>
    <phoneticPr fontId="0"/>
  </si>
  <si>
    <t>中村CM</t>
    <rPh sb="0" eb="2">
      <t>ナカムラ</t>
    </rPh>
    <phoneticPr fontId="0"/>
  </si>
  <si>
    <t>4/8-10→4/7-10へ変更</t>
    <rPh sb="14" eb="16">
      <t>ヘンコウ</t>
    </rPh>
    <phoneticPr fontId="0"/>
  </si>
  <si>
    <t>高橋友</t>
    <rPh sb="2" eb="3">
      <t>ユウ</t>
    </rPh>
    <phoneticPr fontId="0"/>
  </si>
  <si>
    <t>4/18-4/22、5/1-5/7、5/21-5/24予約</t>
    <rPh sb="27" eb="29">
      <t>ヨヤク</t>
    </rPh>
    <phoneticPr fontId="1"/>
  </si>
  <si>
    <t>新)落合八重子</t>
    <rPh sb="0" eb="1">
      <t>シン</t>
    </rPh>
    <rPh sb="2" eb="4">
      <t>オチアイ</t>
    </rPh>
    <rPh sb="4" eb="5">
      <t>ヤ</t>
    </rPh>
    <rPh sb="5" eb="6">
      <t>エ</t>
    </rPh>
    <rPh sb="6" eb="7">
      <t>コ</t>
    </rPh>
    <phoneticPr fontId="0"/>
  </si>
  <si>
    <t>木下CM</t>
    <rPh sb="0" eb="2">
      <t>キノシタ</t>
    </rPh>
    <phoneticPr fontId="0"/>
  </si>
  <si>
    <t>5/20-22　６/15-17　予約　6/15(日)FA送迎可能</t>
    <rPh sb="16" eb="18">
      <t>ヨヤク</t>
    </rPh>
    <rPh sb="24" eb="25">
      <t>ニチ</t>
    </rPh>
    <rPh sb="28" eb="30">
      <t>ソウゲイ</t>
    </rPh>
    <rPh sb="30" eb="32">
      <t>カノウ</t>
    </rPh>
    <phoneticPr fontId="0"/>
  </si>
  <si>
    <t>高橋友</t>
    <rPh sb="0" eb="2">
      <t>タカハシ</t>
    </rPh>
    <rPh sb="2" eb="3">
      <t>ユウ</t>
    </rPh>
    <phoneticPr fontId="0"/>
  </si>
  <si>
    <t>森田夫婦</t>
    <rPh sb="0" eb="2">
      <t>モリタ</t>
    </rPh>
    <rPh sb="2" eb="4">
      <t>フウフ</t>
    </rPh>
    <phoneticPr fontId="0"/>
  </si>
  <si>
    <t>ケアサービス</t>
  </si>
  <si>
    <t>小宮CM</t>
    <rPh sb="0" eb="2">
      <t>コミヤ</t>
    </rPh>
    <phoneticPr fontId="0"/>
  </si>
  <si>
    <t>4/22-25→25-29へ変更</t>
    <rPh sb="14" eb="16">
      <t>ヘンコウ</t>
    </rPh>
    <phoneticPr fontId="0"/>
  </si>
  <si>
    <t>３/22～キャンセル。CM以前伝えたと仰る</t>
    <rPh sb="13" eb="15">
      <t>イゼン</t>
    </rPh>
    <rPh sb="15" eb="16">
      <t>ツタ</t>
    </rPh>
    <rPh sb="19" eb="20">
      <t>オッシャ</t>
    </rPh>
    <phoneticPr fontId="1"/>
  </si>
  <si>
    <t>SS利用難しくなったため利用全キャンセル</t>
    <rPh sb="2" eb="4">
      <t>リヨウ</t>
    </rPh>
    <rPh sb="4" eb="5">
      <t>ムズカ</t>
    </rPh>
    <rPh sb="12" eb="14">
      <t>リヨウ</t>
    </rPh>
    <rPh sb="14" eb="15">
      <t>ゼン</t>
    </rPh>
    <phoneticPr fontId="1"/>
  </si>
  <si>
    <t>3/24退所予定→3/23おやつまで　FA迎え</t>
    <rPh sb="4" eb="6">
      <t>タイショ</t>
    </rPh>
    <rPh sb="6" eb="8">
      <t>ヨテイ</t>
    </rPh>
    <rPh sb="21" eb="22">
      <t>ムカ</t>
    </rPh>
    <phoneticPr fontId="1"/>
  </si>
  <si>
    <t>6/2-6 7/7-11 予約　新規　改めて契約予定</t>
    <rPh sb="13" eb="15">
      <t>ヨヤク</t>
    </rPh>
    <rPh sb="16" eb="18">
      <t>シンキ</t>
    </rPh>
    <rPh sb="19" eb="20">
      <t>アラタ</t>
    </rPh>
    <rPh sb="22" eb="24">
      <t>ケイヤク</t>
    </rPh>
    <rPh sb="24" eb="26">
      <t>ヨテイ</t>
    </rPh>
    <phoneticPr fontId="1"/>
  </si>
  <si>
    <t>松江敏光</t>
    <rPh sb="0" eb="2">
      <t>マツエ</t>
    </rPh>
    <rPh sb="2" eb="4">
      <t>トシミツ</t>
    </rPh>
    <phoneticPr fontId="1"/>
  </si>
  <si>
    <t>5/12-15 キャンセル</t>
    <phoneticPr fontId="1"/>
  </si>
  <si>
    <t>海老原孝子</t>
    <rPh sb="0" eb="5">
      <t>エビハラタカコ</t>
    </rPh>
    <phoneticPr fontId="1"/>
  </si>
  <si>
    <t>ケアスポット</t>
    <phoneticPr fontId="1"/>
  </si>
  <si>
    <t>千葉CM</t>
    <rPh sb="0" eb="2">
      <t>チバ</t>
    </rPh>
    <phoneticPr fontId="1"/>
  </si>
  <si>
    <t>3/27-29 予約</t>
    <rPh sb="8" eb="10">
      <t>ヨヤク</t>
    </rPh>
    <phoneticPr fontId="1"/>
  </si>
  <si>
    <t>細田和司</t>
    <rPh sb="0" eb="4">
      <t>ホソダカズシ</t>
    </rPh>
    <phoneticPr fontId="1"/>
  </si>
  <si>
    <t>キャンセル</t>
    <phoneticPr fontId="1"/>
  </si>
  <si>
    <t>4月利用全キャンセル</t>
    <rPh sb="1" eb="2">
      <t>ガツ</t>
    </rPh>
    <rPh sb="2" eb="4">
      <t>リヨウ</t>
    </rPh>
    <rPh sb="4" eb="5">
      <t>ゼン</t>
    </rPh>
    <phoneticPr fontId="1"/>
  </si>
  <si>
    <t>3/31-4/4 キャンセル　入院中の為5月のGWあけまで入院</t>
    <rPh sb="15" eb="18">
      <t>ニュウインチュウ</t>
    </rPh>
    <rPh sb="19" eb="20">
      <t>タメ</t>
    </rPh>
    <rPh sb="21" eb="22">
      <t>ガツ</t>
    </rPh>
    <rPh sb="29" eb="31">
      <t>ニュウイン</t>
    </rPh>
    <phoneticPr fontId="1"/>
  </si>
  <si>
    <t>～３/28までだったが、～３/27に変更（CM事前連絡してたそうです）</t>
    <rPh sb="18" eb="20">
      <t>ヘンコウ</t>
    </rPh>
    <rPh sb="23" eb="25">
      <t>ジゼン</t>
    </rPh>
    <rPh sb="25" eb="27">
      <t>レンラク</t>
    </rPh>
    <phoneticPr fontId="0"/>
  </si>
  <si>
    <t>4月～7月全キャンセル</t>
    <rPh sb="1" eb="2">
      <t>ガツ</t>
    </rPh>
    <rPh sb="4" eb="5">
      <t>ガツ</t>
    </rPh>
    <rPh sb="5" eb="6">
      <t>ゼン</t>
    </rPh>
    <phoneticPr fontId="1"/>
  </si>
  <si>
    <t>住吉</t>
    <rPh sb="0" eb="2">
      <t>スミヨシ</t>
    </rPh>
    <phoneticPr fontId="1"/>
  </si>
  <si>
    <t>4/16-20 予約</t>
    <rPh sb="8" eb="10">
      <t>ヨヤク</t>
    </rPh>
    <phoneticPr fontId="1"/>
  </si>
  <si>
    <t>6/6-8 予約（入退所時間変更伝達済　退所日日曜日伝達忘れたので、再確認お願いします）
CM連絡まだしていないとのこと　ダイバー浦安　大島CMだそうです</t>
    <rPh sb="6" eb="8">
      <t>ヨヤク</t>
    </rPh>
    <rPh sb="9" eb="12">
      <t>ニュウタイショ</t>
    </rPh>
    <rPh sb="12" eb="14">
      <t>ジカン</t>
    </rPh>
    <rPh sb="14" eb="16">
      <t>ヘンコウ</t>
    </rPh>
    <rPh sb="16" eb="18">
      <t>デンタツ</t>
    </rPh>
    <rPh sb="18" eb="19">
      <t>スミ</t>
    </rPh>
    <rPh sb="20" eb="22">
      <t>タイショ</t>
    </rPh>
    <rPh sb="22" eb="23">
      <t>ビ</t>
    </rPh>
    <rPh sb="23" eb="26">
      <t>ニチヨウビ</t>
    </rPh>
    <rPh sb="26" eb="28">
      <t>デンタツ</t>
    </rPh>
    <rPh sb="28" eb="29">
      <t>ワス</t>
    </rPh>
    <rPh sb="34" eb="37">
      <t>サイカクニン</t>
    </rPh>
    <rPh sb="38" eb="39">
      <t>ネガ</t>
    </rPh>
    <rPh sb="47" eb="49">
      <t>レンラク</t>
    </rPh>
    <rPh sb="65" eb="67">
      <t>ウラヤス</t>
    </rPh>
    <rPh sb="68" eb="70">
      <t>オオシマ</t>
    </rPh>
    <phoneticPr fontId="1"/>
  </si>
  <si>
    <t>熊谷CM</t>
    <rPh sb="0" eb="2">
      <t>クマガイ</t>
    </rPh>
    <phoneticPr fontId="0"/>
  </si>
  <si>
    <t>４/26－５/3→～５/５に変更
５/31－６/９予約</t>
    <rPh sb="14" eb="16">
      <t>ヘンコウ</t>
    </rPh>
    <rPh sb="25" eb="27">
      <t>ヨヤク</t>
    </rPh>
    <phoneticPr fontId="0"/>
  </si>
  <si>
    <t>新規4/21-4/26　情報はFAXするとの事</t>
    <rPh sb="0" eb="2">
      <t>シンキ</t>
    </rPh>
    <rPh sb="12" eb="14">
      <t>ジョウホウ</t>
    </rPh>
    <rPh sb="22" eb="23">
      <t>コト</t>
    </rPh>
    <phoneticPr fontId="0"/>
  </si>
  <si>
    <t>４/２－４/３予約。４/５－/７→　～/８変更</t>
    <rPh sb="7" eb="9">
      <t>ヨヤク</t>
    </rPh>
    <rPh sb="21" eb="23">
      <t>ヘンコウ</t>
    </rPh>
    <phoneticPr fontId="0"/>
  </si>
  <si>
    <t>奥村CM</t>
    <rPh sb="0" eb="2">
      <t>オクムラ</t>
    </rPh>
    <phoneticPr fontId="1"/>
  </si>
  <si>
    <t>5/16-19→23-26 に変更</t>
    <rPh sb="15" eb="17">
      <t>ヘンコウ</t>
    </rPh>
    <phoneticPr fontId="1"/>
  </si>
  <si>
    <t>入院がずれた為改めて利用することになり、キャンセル</t>
    <rPh sb="0" eb="2">
      <t>ニュウイン</t>
    </rPh>
    <rPh sb="6" eb="7">
      <t>タメ</t>
    </rPh>
    <rPh sb="7" eb="8">
      <t>アラタ</t>
    </rPh>
    <rPh sb="10" eb="12">
      <t>リヨウ</t>
    </rPh>
    <phoneticPr fontId="1"/>
  </si>
  <si>
    <t>6/16-23 予約</t>
    <rPh sb="8" eb="10">
      <t>ヨヤク</t>
    </rPh>
    <phoneticPr fontId="1"/>
  </si>
  <si>
    <t>4/8 4/30 予約</t>
    <rPh sb="9" eb="11">
      <t>ヨヤク</t>
    </rPh>
    <phoneticPr fontId="1"/>
  </si>
  <si>
    <t>まつどより移動</t>
    <rPh sb="5" eb="7">
      <t>イドウ</t>
    </rPh>
    <phoneticPr fontId="1"/>
  </si>
  <si>
    <t>4/14-18 予約夫婦　稲村所長より依頼あり　情報これから</t>
    <rPh sb="8" eb="10">
      <t>ヨヤク</t>
    </rPh>
    <rPh sb="10" eb="12">
      <t>フウフ</t>
    </rPh>
    <rPh sb="13" eb="15">
      <t>イナムラ</t>
    </rPh>
    <rPh sb="15" eb="17">
      <t>ショチョウ</t>
    </rPh>
    <rPh sb="19" eb="21">
      <t>イライ</t>
    </rPh>
    <rPh sb="24" eb="26">
      <t>ジョウホウ</t>
    </rPh>
    <phoneticPr fontId="1"/>
  </si>
  <si>
    <t>居宅介護支援事業所　各位</t>
    <rPh sb="0" eb="9">
      <t>キョタクカイゴシエンジギョウショ</t>
    </rPh>
    <rPh sb="10" eb="12">
      <t>カクイ</t>
    </rPh>
    <phoneticPr fontId="33"/>
  </si>
  <si>
    <t>開始月</t>
    <rPh sb="0" eb="2">
      <t>カイシ</t>
    </rPh>
    <rPh sb="2" eb="3">
      <t>ツキ</t>
    </rPh>
    <phoneticPr fontId="1"/>
  </si>
  <si>
    <t>ショートステイ　空室情報のご案内</t>
    <rPh sb="8" eb="10">
      <t>クウシツ</t>
    </rPh>
    <rPh sb="10" eb="12">
      <t>ジョウホウ</t>
    </rPh>
    <rPh sb="14" eb="16">
      <t>アンナイ</t>
    </rPh>
    <phoneticPr fontId="33"/>
  </si>
  <si>
    <t>現在、ケアサポートいちかわでは
職員・利用者様のマスク着用、定期的な換気や消毒など感染予防に取り組んでおります。
定期利用やロング利用でのご希望も承っております。
送迎は午前入所、午後退所対応。
満床の日程でも近隣のショートステイ「ケアサポートまつど」「ケアサポートやちよ」のご案内も行っておりますので、お気軽にお問い合わせくださいませ。</t>
    <phoneticPr fontId="1"/>
  </si>
  <si>
    <t>○</t>
    <phoneticPr fontId="1"/>
  </si>
  <si>
    <t>△</t>
    <phoneticPr fontId="1"/>
  </si>
  <si>
    <t>注）上記空き情報は目安としてご覧ください
最新の状況に関しましては直接お電話にてお問い合わせください。</t>
    <rPh sb="2" eb="4">
      <t>ジョウキ</t>
    </rPh>
    <rPh sb="4" eb="5">
      <t>ア</t>
    </rPh>
    <rPh sb="6" eb="8">
      <t>ジョウホウ</t>
    </rPh>
    <rPh sb="21" eb="23">
      <t>サイシン</t>
    </rPh>
    <rPh sb="24" eb="26">
      <t>ジョウキョウ</t>
    </rPh>
    <rPh sb="27" eb="28">
      <t>カン</t>
    </rPh>
    <rPh sb="33" eb="35">
      <t>チョクセツ</t>
    </rPh>
    <rPh sb="36" eb="38">
      <t>デンワ</t>
    </rPh>
    <rPh sb="41" eb="42">
      <t>ト</t>
    </rPh>
    <rPh sb="43" eb="44">
      <t>ア</t>
    </rPh>
    <phoneticPr fontId="33"/>
  </si>
  <si>
    <t>○・・・十分な空きがございます。</t>
  </si>
  <si>
    <t>ショートステイ</t>
    <phoneticPr fontId="33"/>
  </si>
  <si>
    <t>△・・・要相談　</t>
    <rPh sb="4" eb="7">
      <t>ヨウソウダン</t>
    </rPh>
    <phoneticPr fontId="33"/>
  </si>
  <si>
    <t>住所</t>
    <rPh sb="0" eb="2">
      <t>ジュウショ</t>
    </rPh>
    <phoneticPr fontId="4"/>
  </si>
  <si>
    <t>TEL</t>
    <phoneticPr fontId="4"/>
  </si>
  <si>
    <r>
      <rPr>
        <sz val="14"/>
        <color theme="1"/>
        <rFont val="Segoe UI Symbol"/>
        <family val="3"/>
      </rPr>
      <t>✕</t>
    </r>
    <r>
      <rPr>
        <sz val="14"/>
        <color theme="1"/>
        <rFont val="HGSｺﾞｼｯｸM"/>
        <family val="3"/>
        <charset val="128"/>
      </rPr>
      <t>・・・満床でございます。　　　</t>
    </r>
    <phoneticPr fontId="33"/>
  </si>
  <si>
    <t>FAX</t>
    <phoneticPr fontId="4"/>
  </si>
  <si>
    <t>担当</t>
    <rPh sb="0" eb="2">
      <t>タントウ</t>
    </rPh>
    <phoneticPr fontId="4"/>
  </si>
  <si>
    <t>・</t>
    <phoneticPr fontId="1"/>
  </si>
  <si>
    <t>氏名</t>
    <rPh sb="0" eb="2">
      <t>シメイ</t>
    </rPh>
    <phoneticPr fontId="1"/>
  </si>
  <si>
    <t>利用日</t>
    <rPh sb="0" eb="2">
      <t>リヨウ</t>
    </rPh>
    <rPh sb="2" eb="3">
      <t>ビ</t>
    </rPh>
    <phoneticPr fontId="1"/>
  </si>
  <si>
    <t>備考</t>
    <rPh sb="0" eb="2">
      <t>ビコウ</t>
    </rPh>
    <phoneticPr fontId="1"/>
  </si>
  <si>
    <t>1/26－２/11、2/21－3/12予約まだいれてない</t>
    <rPh sb="19" eb="21">
      <t>ヨヤク</t>
    </rPh>
    <phoneticPr fontId="1"/>
  </si>
  <si>
    <t>第１、２、３（火）～（土）</t>
    <rPh sb="0" eb="1">
      <t>ダイ</t>
    </rPh>
    <rPh sb="7" eb="8">
      <t>ヒ</t>
    </rPh>
    <rPh sb="11" eb="12">
      <t>ツチ</t>
    </rPh>
    <phoneticPr fontId="1"/>
  </si>
  <si>
    <t>第３週辺りで土日含めて６泊７日</t>
    <rPh sb="0" eb="1">
      <t>ダイ</t>
    </rPh>
    <rPh sb="2" eb="3">
      <t>シュウ</t>
    </rPh>
    <rPh sb="3" eb="4">
      <t>アタ</t>
    </rPh>
    <rPh sb="6" eb="8">
      <t>ドニチ</t>
    </rPh>
    <rPh sb="8" eb="9">
      <t>フク</t>
    </rPh>
    <rPh sb="12" eb="13">
      <t>パク</t>
    </rPh>
    <rPh sb="14" eb="15">
      <t>ニチ</t>
    </rPh>
    <phoneticPr fontId="1"/>
  </si>
  <si>
    <t>2月～毎週水木、入所FAAM</t>
    <rPh sb="1" eb="2">
      <t>ガツ</t>
    </rPh>
    <rPh sb="3" eb="5">
      <t>マイシュウ</t>
    </rPh>
    <rPh sb="5" eb="6">
      <t>スイ</t>
    </rPh>
    <rPh sb="6" eb="7">
      <t>モク</t>
    </rPh>
    <rPh sb="8" eb="10">
      <t>ニュウショ</t>
    </rPh>
    <phoneticPr fontId="1"/>
  </si>
  <si>
    <t>行帰りFA送迎前日着時間TEL予定</t>
    <rPh sb="0" eb="1">
      <t>イキ</t>
    </rPh>
    <rPh sb="1" eb="2">
      <t>カエ</t>
    </rPh>
    <rPh sb="5" eb="7">
      <t>ソウゲイ</t>
    </rPh>
    <rPh sb="7" eb="9">
      <t>ゼンジツ</t>
    </rPh>
    <rPh sb="9" eb="12">
      <t>チャクジカン</t>
    </rPh>
    <rPh sb="15" eb="17">
      <t>ヨテイ</t>
    </rPh>
    <phoneticPr fontId="1"/>
  </si>
  <si>
    <t>3月は全て今後SS送迎</t>
    <rPh sb="1" eb="2">
      <t>ガツ</t>
    </rPh>
    <rPh sb="3" eb="4">
      <t>スベ</t>
    </rPh>
    <rPh sb="5" eb="7">
      <t>コンゴ</t>
    </rPh>
    <rPh sb="9" eb="11">
      <t>ソウゲイ</t>
    </rPh>
    <phoneticPr fontId="0"/>
  </si>
  <si>
    <t>毎週（(金)～(月)、入所のみAM送迎対応</t>
    <rPh sb="0" eb="2">
      <t>マイシュウ</t>
    </rPh>
    <rPh sb="3" eb="6">
      <t>キン</t>
    </rPh>
    <rPh sb="7" eb="10">
      <t>ゲツ</t>
    </rPh>
    <rPh sb="11" eb="13">
      <t>ニュウショ</t>
    </rPh>
    <rPh sb="17" eb="19">
      <t>ソウゲイ</t>
    </rPh>
    <rPh sb="19" eb="21">
      <t>タイオウ</t>
    </rPh>
    <phoneticPr fontId="1"/>
  </si>
  <si>
    <t>送迎今まで通り対応</t>
    <rPh sb="0" eb="2">
      <t>ソウゲイ</t>
    </rPh>
    <rPh sb="2" eb="3">
      <t>イマ</t>
    </rPh>
    <rPh sb="5" eb="6">
      <t>ドオ</t>
    </rPh>
    <rPh sb="7" eb="9">
      <t>タイオウ</t>
    </rPh>
    <phoneticPr fontId="1"/>
  </si>
  <si>
    <t>4月から送迎対応に変更</t>
    <rPh sb="1" eb="2">
      <t>ガツ</t>
    </rPh>
    <rPh sb="4" eb="6">
      <t>ソウゲイ</t>
    </rPh>
    <rPh sb="6" eb="8">
      <t>タイオウ</t>
    </rPh>
    <rPh sb="9" eb="11">
      <t>ヘンコウ</t>
    </rPh>
    <phoneticPr fontId="1"/>
  </si>
  <si>
    <t>集計年</t>
    <rPh sb="0" eb="2">
      <t>シュウケイ</t>
    </rPh>
    <rPh sb="2" eb="3">
      <t>ネン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</si>
  <si>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</si>
  <si>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</si>
  <si>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集計日時:</t>
    <rPh sb="0" eb="3">
      <t>シュウケイビ</t>
    </rPh>
    <rPh sb="3" eb="4">
      <t>トキ</t>
    </rPh>
    <phoneticPr fontId="1"/>
  </si>
  <si>
    <t>利用者氏名</t>
    <rPh sb="0" eb="3">
      <t>リヨウシャ</t>
    </rPh>
    <rPh sb="3" eb="5">
      <t>シメイ</t>
    </rPh>
    <phoneticPr fontId="1"/>
  </si>
  <si>
    <t>利用日数</t>
    <rPh sb="0" eb="4">
      <t>リヨウニッスウ</t>
    </rPh>
    <phoneticPr fontId="1"/>
  </si>
  <si>
    <t>送迎回数</t>
    <rPh sb="0" eb="2">
      <t>ソウゲイ</t>
    </rPh>
    <rPh sb="2" eb="4">
      <t>カイスウ</t>
    </rPh>
    <phoneticPr fontId="1"/>
  </si>
  <si>
    <t>利用</t>
    <rPh sb="0" eb="2">
      <t>リヨウ</t>
    </rPh>
    <phoneticPr fontId="1"/>
  </si>
  <si>
    <t>送迎</t>
    <rPh sb="0" eb="2">
      <t>ソウゲイ</t>
    </rPh>
    <phoneticPr fontId="1"/>
  </si>
  <si>
    <t>デフォルト時間</t>
    <rPh sb="5" eb="7">
      <t>ジカン</t>
    </rPh>
    <phoneticPr fontId="1"/>
  </si>
  <si>
    <t>拠点</t>
    <rPh sb="0" eb="2">
      <t>キョテン</t>
    </rPh>
    <phoneticPr fontId="1"/>
  </si>
  <si>
    <t>ケアサポートいちかわ</t>
  </si>
  <si>
    <t>入所時間</t>
    <rPh sb="0" eb="2">
      <t>ニュウショ</t>
    </rPh>
    <rPh sb="2" eb="4">
      <t>ジカン</t>
    </rPh>
    <phoneticPr fontId="1"/>
  </si>
  <si>
    <t>退所時間</t>
    <rPh sb="0" eb="2">
      <t>タイショ</t>
    </rPh>
    <rPh sb="2" eb="4">
      <t>ジカン</t>
    </rPh>
    <phoneticPr fontId="1"/>
  </si>
  <si>
    <t>ユニット名</t>
    <rPh sb="4" eb="5">
      <t>メイ</t>
    </rPh>
    <phoneticPr fontId="1"/>
  </si>
  <si>
    <t>居室1</t>
    <rPh sb="0" eb="2">
      <t>キョシツ</t>
    </rPh>
    <phoneticPr fontId="1"/>
  </si>
  <si>
    <t>居室2</t>
    <rPh sb="0" eb="2">
      <t>キョシツ</t>
    </rPh>
    <phoneticPr fontId="1"/>
  </si>
  <si>
    <t>居室3</t>
    <rPh sb="0" eb="2">
      <t>キョシツ</t>
    </rPh>
    <phoneticPr fontId="1"/>
  </si>
  <si>
    <t>居室4</t>
    <rPh sb="0" eb="2">
      <t>キョシツ</t>
    </rPh>
    <phoneticPr fontId="1"/>
  </si>
  <si>
    <t>居室5</t>
    <rPh sb="0" eb="2">
      <t>キョシツ</t>
    </rPh>
    <phoneticPr fontId="1"/>
  </si>
  <si>
    <t>居室6</t>
    <rPh sb="0" eb="2">
      <t>キョシツ</t>
    </rPh>
    <phoneticPr fontId="1"/>
  </si>
  <si>
    <t>居室7</t>
    <rPh sb="0" eb="2">
      <t>キョシツ</t>
    </rPh>
    <phoneticPr fontId="1"/>
  </si>
  <si>
    <t>居室8</t>
    <rPh sb="0" eb="2">
      <t>キョシツ</t>
    </rPh>
    <phoneticPr fontId="1"/>
  </si>
  <si>
    <t>居室9</t>
    <rPh sb="0" eb="2">
      <t>キョシツ</t>
    </rPh>
    <phoneticPr fontId="1"/>
  </si>
  <si>
    <t>居室10</t>
    <rPh sb="0" eb="2">
      <t>キョシツ</t>
    </rPh>
    <phoneticPr fontId="1"/>
  </si>
  <si>
    <t>静養室</t>
    <rPh sb="0" eb="3">
      <t>セイヨウシツ</t>
    </rPh>
    <phoneticPr fontId="1"/>
  </si>
  <si>
    <t>ユニット1</t>
    <phoneticPr fontId="1"/>
  </si>
  <si>
    <t>2階</t>
    <rPh sb="1" eb="2">
      <t>カイ</t>
    </rPh>
    <phoneticPr fontId="1"/>
  </si>
  <si>
    <t>○</t>
  </si>
  <si>
    <t>ユニット2</t>
  </si>
  <si>
    <t>3階</t>
    <rPh sb="1" eb="2">
      <t>カイ</t>
    </rPh>
    <phoneticPr fontId="1"/>
  </si>
  <si>
    <t>ユニット3</t>
  </si>
  <si>
    <t>最大定員数</t>
    <rPh sb="0" eb="2">
      <t>サイダイ</t>
    </rPh>
    <rPh sb="2" eb="5">
      <t>テイインスウ</t>
    </rPh>
    <phoneticPr fontId="1"/>
  </si>
  <si>
    <t>人</t>
    <rPh sb="0" eb="1">
      <t>ニン</t>
    </rPh>
    <phoneticPr fontId="1"/>
  </si>
  <si>
    <t>日中警告人数(黄色)</t>
    <rPh sb="0" eb="2">
      <t>ニッチュウ</t>
    </rPh>
    <rPh sb="2" eb="4">
      <t>ケイコク</t>
    </rPh>
    <rPh sb="4" eb="6">
      <t>ニンズウ</t>
    </rPh>
    <rPh sb="7" eb="9">
      <t>キイロ</t>
    </rPh>
    <phoneticPr fontId="1"/>
  </si>
  <si>
    <t>目標稼働(%)</t>
    <rPh sb="0" eb="2">
      <t>モクヒョウ</t>
    </rPh>
    <rPh sb="2" eb="4">
      <t>カドウ</t>
    </rPh>
    <phoneticPr fontId="1"/>
  </si>
  <si>
    <t>（夜間人数）</t>
    <rPh sb="1" eb="3">
      <t>ヤカン</t>
    </rPh>
    <rPh sb="3" eb="5">
      <t>ニンズウ</t>
    </rPh>
    <phoneticPr fontId="1"/>
  </si>
  <si>
    <t>日中警告人数(赤色)</t>
    <rPh sb="0" eb="2">
      <t>ニッチュウ</t>
    </rPh>
    <rPh sb="2" eb="4">
      <t>ケイコク</t>
    </rPh>
    <rPh sb="4" eb="6">
      <t>ニンズウ</t>
    </rPh>
    <rPh sb="7" eb="9">
      <t>アカイロ</t>
    </rPh>
    <phoneticPr fontId="1"/>
  </si>
  <si>
    <t>目標リピート稼働(%)</t>
    <rPh sb="0" eb="2">
      <t>モクヒョウ</t>
    </rPh>
    <rPh sb="6" eb="8">
      <t>カドウ</t>
    </rPh>
    <phoneticPr fontId="1"/>
  </si>
  <si>
    <t>FAX送付用</t>
    <rPh sb="3" eb="5">
      <t>ソウフ</t>
    </rPh>
    <rPh sb="5" eb="6">
      <t>ヨウ</t>
    </rPh>
    <phoneticPr fontId="1"/>
  </si>
  <si>
    <t>担当者①</t>
    <rPh sb="0" eb="3">
      <t>タントウシャ</t>
    </rPh>
    <phoneticPr fontId="1"/>
  </si>
  <si>
    <t>担当者②</t>
    <rPh sb="0" eb="3">
      <t>タントウシャ</t>
    </rPh>
    <phoneticPr fontId="1"/>
  </si>
  <si>
    <t>年リスト</t>
    <rPh sb="0" eb="1">
      <t>ネン</t>
    </rPh>
    <phoneticPr fontId="1"/>
  </si>
  <si>
    <t>拠点名</t>
    <rPh sb="0" eb="2">
      <t>キョテン</t>
    </rPh>
    <rPh sb="2" eb="3">
      <t>メイ</t>
    </rPh>
    <phoneticPr fontId="1"/>
  </si>
  <si>
    <t>住所</t>
    <rPh sb="0" eb="2">
      <t>ジュウショ</t>
    </rPh>
    <phoneticPr fontId="1"/>
  </si>
  <si>
    <t>電話番号</t>
    <rPh sb="0" eb="4">
      <t>デンワバンゴウ</t>
    </rPh>
    <phoneticPr fontId="1"/>
  </si>
  <si>
    <t>FAX番号</t>
    <rPh sb="3" eb="5">
      <t>バンゴウ</t>
    </rPh>
    <phoneticPr fontId="1"/>
  </si>
  <si>
    <t>ケアサポートおおみや</t>
    <phoneticPr fontId="1"/>
  </si>
  <si>
    <t>さいたま市大宮区天沼町1-250-1</t>
    <phoneticPr fontId="1"/>
  </si>
  <si>
    <t>048-640-7503</t>
    <phoneticPr fontId="1"/>
  </si>
  <si>
    <t>048-640-7552</t>
    <phoneticPr fontId="1"/>
  </si>
  <si>
    <t>ケアサポートみどり</t>
    <phoneticPr fontId="1"/>
  </si>
  <si>
    <t>さいたま市緑区芝原1-13-5</t>
    <phoneticPr fontId="1"/>
  </si>
  <si>
    <t>048-810-6550</t>
    <phoneticPr fontId="1"/>
  </si>
  <si>
    <t>048-810-6557</t>
    <phoneticPr fontId="1"/>
  </si>
  <si>
    <t>ケアサポートわらび</t>
    <phoneticPr fontId="1"/>
  </si>
  <si>
    <t>蕨市中央6-6-20</t>
    <phoneticPr fontId="1"/>
  </si>
  <si>
    <t>048-434-5551</t>
    <phoneticPr fontId="1"/>
  </si>
  <si>
    <t>048-434-5566</t>
    <phoneticPr fontId="1"/>
  </si>
  <si>
    <t>ケアサポートかわぐち</t>
    <phoneticPr fontId="1"/>
  </si>
  <si>
    <t>川口市榛松1-8-5</t>
    <phoneticPr fontId="1"/>
  </si>
  <si>
    <t>048-280-1165</t>
    <phoneticPr fontId="1"/>
  </si>
  <si>
    <t>048-280-1168</t>
    <phoneticPr fontId="1"/>
  </si>
  <si>
    <t>ケアサポートあだち</t>
    <phoneticPr fontId="1"/>
  </si>
  <si>
    <t>足立区千住河原町22-3</t>
    <phoneticPr fontId="1"/>
  </si>
  <si>
    <t>03-5284-3865</t>
    <phoneticPr fontId="1"/>
  </si>
  <si>
    <t>03-5284-3862</t>
    <phoneticPr fontId="1"/>
  </si>
  <si>
    <t>ケアサポートふじみの</t>
    <phoneticPr fontId="1"/>
  </si>
  <si>
    <t>ふじみ野市長宮2-4-6</t>
    <phoneticPr fontId="1"/>
  </si>
  <si>
    <t>049-278-1191</t>
    <phoneticPr fontId="1"/>
  </si>
  <si>
    <t>049-278-1192</t>
    <phoneticPr fontId="1"/>
  </si>
  <si>
    <t>ケアサポートわこう</t>
    <phoneticPr fontId="1"/>
  </si>
  <si>
    <t>和光市下新倉2-38-12</t>
    <phoneticPr fontId="1"/>
  </si>
  <si>
    <t>048-465-1765</t>
    <phoneticPr fontId="1"/>
  </si>
  <si>
    <t>048-465-1760</t>
    <phoneticPr fontId="1"/>
  </si>
  <si>
    <t>ケアサポートにいざ</t>
    <phoneticPr fontId="1"/>
  </si>
  <si>
    <t>新座市大和田1-8-2</t>
    <phoneticPr fontId="1"/>
  </si>
  <si>
    <t>048-480-4165</t>
    <phoneticPr fontId="1"/>
  </si>
  <si>
    <t>048-480-4166</t>
    <phoneticPr fontId="1"/>
  </si>
  <si>
    <t>ケアサポートさやま</t>
    <phoneticPr fontId="1"/>
  </si>
  <si>
    <t>狭山市柏原2935</t>
    <phoneticPr fontId="1"/>
  </si>
  <si>
    <t>04-2908-2227</t>
    <phoneticPr fontId="1"/>
  </si>
  <si>
    <t>04-2908-2228</t>
    <phoneticPr fontId="1"/>
  </si>
  <si>
    <t>ケアサポートしき</t>
    <phoneticPr fontId="1"/>
  </si>
  <si>
    <t>志木市上宗岡5-19-44</t>
    <phoneticPr fontId="1"/>
  </si>
  <si>
    <t>048-497-5550</t>
    <phoneticPr fontId="1"/>
  </si>
  <si>
    <t>048-497-5666</t>
    <phoneticPr fontId="1"/>
  </si>
  <si>
    <t>ケアサポートねりま</t>
    <phoneticPr fontId="1"/>
  </si>
  <si>
    <t>練馬区南大泉1-22-50</t>
    <phoneticPr fontId="1"/>
  </si>
  <si>
    <t>3-6865-1165</t>
    <phoneticPr fontId="1"/>
  </si>
  <si>
    <t>03-6865-1166</t>
    <phoneticPr fontId="1"/>
  </si>
  <si>
    <t>ケアサポートいたばし</t>
    <phoneticPr fontId="1"/>
  </si>
  <si>
    <t>板橋区高島平7-11-4</t>
    <phoneticPr fontId="1"/>
  </si>
  <si>
    <t>03-5968-1765</t>
    <phoneticPr fontId="1"/>
  </si>
  <si>
    <t>03-5968-1777</t>
    <phoneticPr fontId="1"/>
  </si>
  <si>
    <t>ケアサポートそうか</t>
    <phoneticPr fontId="1"/>
  </si>
  <si>
    <t>草加市瀬崎3-28-5</t>
    <phoneticPr fontId="1"/>
  </si>
  <si>
    <t>048-920-1165</t>
    <phoneticPr fontId="1"/>
  </si>
  <si>
    <t>048-920-1166</t>
    <phoneticPr fontId="1"/>
  </si>
  <si>
    <t>ケアサポートみさと</t>
    <phoneticPr fontId="1"/>
  </si>
  <si>
    <t>三郷市戸ケ崎3-153-4</t>
    <phoneticPr fontId="1"/>
  </si>
  <si>
    <t>048-948-1165</t>
    <phoneticPr fontId="1"/>
  </si>
  <si>
    <t>048-948-1167</t>
    <phoneticPr fontId="1"/>
  </si>
  <si>
    <t>ケアサポートわかば</t>
    <phoneticPr fontId="1"/>
  </si>
  <si>
    <t>千葉市若葉区若松町502-9</t>
    <phoneticPr fontId="1"/>
  </si>
  <si>
    <t>043-420-1165</t>
    <phoneticPr fontId="1"/>
  </si>
  <si>
    <t>043-420-1865</t>
    <phoneticPr fontId="1"/>
  </si>
  <si>
    <t>ケアサポートいちかわ</t>
    <phoneticPr fontId="1"/>
  </si>
  <si>
    <t>市川市南行徳1-4-21</t>
    <rPh sb="0" eb="3">
      <t>イチカワシ</t>
    </rPh>
    <rPh sb="3" eb="6">
      <t>ミナミギョウトク</t>
    </rPh>
    <phoneticPr fontId="1"/>
  </si>
  <si>
    <t>047-701-6030</t>
    <phoneticPr fontId="1"/>
  </si>
  <si>
    <t>047-701-6031</t>
    <phoneticPr fontId="1"/>
  </si>
  <si>
    <t>ケアサポートやちよ</t>
    <phoneticPr fontId="1"/>
  </si>
  <si>
    <t>八千代市大和田新田926-2</t>
    <phoneticPr fontId="1"/>
  </si>
  <si>
    <t>047-774-1765</t>
    <phoneticPr fontId="1"/>
  </si>
  <si>
    <t>047-774-1766</t>
    <phoneticPr fontId="1"/>
  </si>
  <si>
    <t>ケアサポートまつど</t>
    <phoneticPr fontId="1"/>
  </si>
  <si>
    <t>松戸市高塚新田512-4</t>
    <phoneticPr fontId="1"/>
  </si>
  <si>
    <t>047-709-4165</t>
    <phoneticPr fontId="1"/>
  </si>
  <si>
    <t>047-709-4166</t>
    <phoneticPr fontId="1"/>
  </si>
  <si>
    <t>ケアサポート寿クラブ</t>
    <rPh sb="6" eb="7">
      <t>コトブキ</t>
    </rPh>
    <phoneticPr fontId="1"/>
  </si>
  <si>
    <t>千葉市若葉区小倉町829-1</t>
    <phoneticPr fontId="1"/>
  </si>
  <si>
    <t>043-234-0177</t>
    <phoneticPr fontId="1"/>
  </si>
  <si>
    <t>043-234-0266</t>
    <phoneticPr fontId="1"/>
  </si>
  <si>
    <t>ケアサポートこしがや</t>
    <phoneticPr fontId="1"/>
  </si>
  <si>
    <t>越谷市東越谷6-15-11</t>
    <phoneticPr fontId="1"/>
  </si>
  <si>
    <t>048-969-1165</t>
    <phoneticPr fontId="1"/>
  </si>
  <si>
    <t>048-969-1177</t>
    <phoneticPr fontId="1"/>
  </si>
  <si>
    <t>ケアサポートつるみ</t>
    <phoneticPr fontId="1"/>
  </si>
  <si>
    <t>横浜市鶴見区駒岡2-14-20</t>
    <phoneticPr fontId="1"/>
  </si>
  <si>
    <t>045-580-0205</t>
    <phoneticPr fontId="1"/>
  </si>
  <si>
    <t>045-580-0206</t>
    <phoneticPr fontId="1"/>
  </si>
  <si>
    <t>ケアサポートよこすか</t>
    <phoneticPr fontId="1"/>
  </si>
  <si>
    <t>横須賀市佐原5-25-23</t>
    <phoneticPr fontId="1"/>
  </si>
  <si>
    <t>046-864-1765</t>
    <phoneticPr fontId="1"/>
  </si>
  <si>
    <t>046-864-4165</t>
    <phoneticPr fontId="1"/>
  </si>
  <si>
    <t>ケアサポートたかつ</t>
    <phoneticPr fontId="1"/>
  </si>
  <si>
    <t>川崎市高津区梶ケ谷6-14-1</t>
    <phoneticPr fontId="1"/>
  </si>
  <si>
    <t>0800-111-2165</t>
    <phoneticPr fontId="1"/>
  </si>
  <si>
    <t>044-382-6514</t>
    <phoneticPr fontId="1"/>
  </si>
  <si>
    <t>ケアサポートふじさわ</t>
    <phoneticPr fontId="1"/>
  </si>
  <si>
    <t>藤沢市大庭5321-2</t>
    <phoneticPr fontId="1"/>
  </si>
  <si>
    <t>0466-97-6767</t>
    <phoneticPr fontId="1"/>
  </si>
  <si>
    <t>0466-97-6770</t>
    <phoneticPr fontId="1"/>
  </si>
  <si>
    <t>ケアサポートやまと</t>
    <phoneticPr fontId="1"/>
  </si>
  <si>
    <t>大和市中央林間西6-6-28</t>
    <phoneticPr fontId="1"/>
  </si>
  <si>
    <t>046-278-1116</t>
    <phoneticPr fontId="1"/>
  </si>
  <si>
    <t>046-278-1125</t>
    <phoneticPr fontId="1"/>
  </si>
  <si>
    <t>ケアサポートかなざわ</t>
    <phoneticPr fontId="1"/>
  </si>
  <si>
    <t>横浜市金沢区大道1-12-31</t>
    <phoneticPr fontId="1"/>
  </si>
  <si>
    <t>045-788-1165</t>
    <phoneticPr fontId="1"/>
  </si>
  <si>
    <t>045-788-1170</t>
    <phoneticPr fontId="1"/>
  </si>
  <si>
    <t>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</si>
</sst>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&quot;年&quot;"/>
    <numFmt numFmtId="177" formatCode="m/d;@"/>
    <numFmt numFmtId="178" formatCode="0_);[Red]\(0\)"/>
    <numFmt numFmtId="179" formatCode="0&quot;時&quot;"/>
    <numFmt numFmtId="180" formatCode="0&quot;日&quot;"/>
    <numFmt numFmtId="181" formatCode="0&quot;人&quot;"/>
    <numFmt numFmtId="182" formatCode="0.0&quot;人&quot;"/>
    <numFmt numFmtId="183" formatCode="m/d\(aaa\)"/>
    <numFmt numFmtId="184" formatCode="\(m&quot;月&quot;d&quot;日&quot;&quot;現&quot;&quot;在&quot;\)"/>
    <numFmt numFmtId="185" formatCode="aaa"/>
  </numFmts>
  <fonts count="62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22"/>
      <color theme="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2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1"/>
      <color indexed="8"/>
      <name val="メイリオ"/>
      <family val="3"/>
      <charset val="128"/>
    </font>
    <font>
      <sz val="11"/>
      <name val="メイリオ"/>
      <family val="3"/>
      <charset val="128"/>
    </font>
    <font>
      <sz val="16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22"/>
      <color indexed="8"/>
      <name val="メイリオ"/>
      <family val="3"/>
      <charset val="128"/>
    </font>
    <font>
      <sz val="18"/>
      <color theme="1"/>
      <name val="メイリオ"/>
      <family val="2"/>
      <charset val="128"/>
    </font>
    <font>
      <sz val="26"/>
      <color indexed="12"/>
      <name val="メイリオ"/>
      <family val="3"/>
      <charset val="128"/>
    </font>
    <font>
      <sz val="26"/>
      <color indexed="10"/>
      <name val="メイリオ"/>
      <family val="3"/>
      <charset val="128"/>
    </font>
    <font>
      <b/>
      <sz val="22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sz val="18"/>
      <color theme="1"/>
      <name val="メイリオ"/>
      <family val="3"/>
      <charset val="128"/>
    </font>
    <font>
      <b/>
      <sz val="28"/>
      <color theme="1"/>
      <name val="メイリオ"/>
      <family val="3"/>
      <charset val="128"/>
    </font>
    <font>
      <sz val="28"/>
      <color theme="1"/>
      <name val="メイリオ"/>
      <family val="3"/>
      <charset val="128"/>
    </font>
    <font>
      <sz val="12"/>
      <color indexed="8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4"/>
      <color theme="1"/>
      <name val="メイリオ"/>
      <family val="3"/>
      <charset val="128"/>
    </font>
    <font>
      <sz val="22"/>
      <color rgb="FF0070C0"/>
      <name val="メイリオ"/>
      <family val="3"/>
      <charset val="128"/>
    </font>
    <font>
      <b/>
      <sz val="20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sz val="26"/>
      <color indexed="8"/>
      <name val="メイリオ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HGSｺﾞｼｯｸM"/>
      <family val="3"/>
      <charset val="128"/>
    </font>
    <font>
      <sz val="14"/>
      <color theme="1"/>
      <name val="HGSｺﾞｼｯｸM"/>
      <family val="3"/>
      <charset val="128"/>
    </font>
    <font>
      <sz val="14"/>
      <color theme="1"/>
      <name val="Segoe UI Symbol"/>
      <family val="3"/>
    </font>
    <font>
      <sz val="6"/>
      <name val="游ゴシック"/>
      <family val="2"/>
      <charset val="128"/>
      <scheme val="minor"/>
    </font>
    <font>
      <sz val="16"/>
      <color theme="1"/>
      <name val="HGSｺﾞｼｯｸM"/>
      <family val="3"/>
      <charset val="128"/>
    </font>
    <font>
      <sz val="12"/>
      <color theme="1"/>
      <name val="HGSｺﾞｼｯｸM"/>
      <family val="3"/>
      <charset val="128"/>
    </font>
    <font>
      <sz val="22"/>
      <color theme="1"/>
      <name val="HGSｺﾞｼｯｸM"/>
      <family val="3"/>
      <charset val="128"/>
    </font>
    <font>
      <b/>
      <sz val="16"/>
      <color theme="1"/>
      <name val="HGSｺﾞｼｯｸM"/>
      <family val="3"/>
      <charset val="128"/>
    </font>
    <font>
      <b/>
      <sz val="24"/>
      <color theme="1"/>
      <name val="メイリオ"/>
      <family val="3"/>
      <charset val="128"/>
    </font>
    <font>
      <b/>
      <sz val="26"/>
      <color theme="1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HGSｺﾞｼｯｸM"/>
      <family val="3"/>
      <charset val="128"/>
    </font>
    <font>
      <sz val="10"/>
      <color theme="1"/>
      <name val="メイリオ"/>
      <family val="2"/>
      <charset val="128"/>
    </font>
    <font>
      <b/>
      <sz val="11"/>
      <color theme="0"/>
      <name val="メイリオ"/>
      <family val="2"/>
      <charset val="128"/>
    </font>
    <font>
      <sz val="11"/>
      <color theme="1"/>
      <name val="メイリオ"/>
      <family val="2"/>
      <charset val="128"/>
    </font>
    <font>
      <sz val="9"/>
      <color theme="1"/>
      <name val="メイリオ"/>
      <family val="3"/>
      <charset val="128"/>
    </font>
    <font>
      <sz val="8"/>
      <color theme="1"/>
      <name val="メイリオ"/>
      <family val="2"/>
      <charset val="128"/>
    </font>
    <font>
      <sz val="16"/>
      <color indexed="8"/>
      <name val="メイリオ"/>
      <family val="3"/>
      <charset val="128"/>
    </font>
    <font>
      <sz val="16"/>
      <color indexed="12"/>
      <name val="メイリオ"/>
      <family val="3"/>
      <charset val="128"/>
    </font>
    <font>
      <sz val="20"/>
      <color indexed="12"/>
      <name val="メイリオ"/>
      <family val="3"/>
      <charset val="128"/>
    </font>
    <font>
      <sz val="22"/>
      <color indexed="12"/>
      <name val="メイリオ"/>
      <family val="3"/>
      <charset val="128"/>
    </font>
    <font>
      <sz val="18"/>
      <color indexed="8"/>
      <name val="メイリオ"/>
      <family val="3"/>
      <charset val="128"/>
    </font>
    <font>
      <sz val="18"/>
      <color indexed="12"/>
      <name val="メイリオ"/>
      <family val="3"/>
      <charset val="128"/>
    </font>
    <font>
      <sz val="20"/>
      <color indexed="8"/>
      <name val="メイリオ"/>
      <family val="3"/>
      <charset val="128"/>
    </font>
    <font>
      <sz val="7"/>
      <color theme="1"/>
      <name val="メイリオ"/>
      <family val="3"/>
      <charset val="128"/>
    </font>
    <font>
      <sz val="24"/>
      <color indexed="8"/>
      <name val="メイリオ"/>
      <family val="3"/>
      <charset val="128"/>
    </font>
    <font>
      <sz val="22"/>
      <color indexed="10"/>
      <name val="メイリオ"/>
      <family val="3"/>
      <charset val="128"/>
    </font>
    <font>
      <sz val="22"/>
      <color indexed="38"/>
      <name val="メイリオ"/>
      <family val="3"/>
      <charset val="128"/>
    </font>
    <font>
      <sz val="22"/>
      <color rgb="FF000000"/>
      <name val="メイリオ"/>
      <family val="3"/>
      <charset val="128"/>
    </font>
    <font>
      <sz val="22"/>
      <color rgb="FF000000"/>
      <name val="メイリオ"/>
      <family val="2"/>
      <charset val="128"/>
    </font>
    <font>
      <sz val="11"/>
      <color rgb="FF000000"/>
      <name val="メイリオ"/>
      <family val="2"/>
      <charset val="128"/>
    </font>
    <font>
      <sz val="14"/>
      <color rgb="FF000000"/>
      <name val="メイリオ"/>
      <family val="2"/>
      <charset val="128"/>
    </font>
  </fonts>
  <fills count="3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</fills>
  <borders count="11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 style="hair">
        <color indexed="64"/>
      </right>
      <top style="medium">
        <color indexed="64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indexed="64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29" fillId="0" borderId="0">
      <alignment vertical="center"/>
    </xf>
    <xf numFmtId="9" fontId="44" fillId="0" borderId="0" applyFont="0" applyFill="0" applyBorder="0" applyAlignment="0" applyProtection="0">
      <alignment vertical="center"/>
    </xf>
  </cellStyleXfs>
  <cellXfs count="585">
    <xf numFmtId="0" fontId="0" fillId="0" borderId="0" xfId="0">
      <alignment vertical="center"/>
    </xf>
    <xf numFmtId="0" fontId="5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178" fontId="6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 shrinkToFit="1"/>
    </xf>
    <xf numFmtId="0" fontId="12" fillId="2" borderId="23" xfId="0" applyFont="1" applyFill="1" applyBorder="1" applyAlignment="1">
      <alignment horizontal="center" vertical="center" shrinkToFit="1"/>
    </xf>
    <xf numFmtId="0" fontId="5" fillId="9" borderId="17" xfId="0" applyFont="1" applyFill="1" applyBorder="1" applyAlignment="1">
      <alignment horizontal="center" vertical="center" shrinkToFit="1"/>
    </xf>
    <xf numFmtId="0" fontId="12" fillId="10" borderId="22" xfId="0" applyFont="1" applyFill="1" applyBorder="1" applyAlignment="1">
      <alignment horizontal="center" vertical="center" shrinkToFit="1"/>
    </xf>
    <xf numFmtId="0" fontId="12" fillId="10" borderId="23" xfId="0" applyFont="1" applyFill="1" applyBorder="1" applyAlignment="1">
      <alignment horizontal="center" vertical="center" shrinkToFit="1"/>
    </xf>
    <xf numFmtId="0" fontId="12" fillId="13" borderId="22" xfId="0" applyFont="1" applyFill="1" applyBorder="1" applyAlignment="1">
      <alignment horizontal="center" vertical="center" shrinkToFit="1"/>
    </xf>
    <xf numFmtId="0" fontId="12" fillId="13" borderId="23" xfId="0" applyFont="1" applyFill="1" applyBorder="1" applyAlignment="1">
      <alignment horizontal="center" vertical="center" shrinkToFit="1"/>
    </xf>
    <xf numFmtId="0" fontId="6" fillId="12" borderId="17" xfId="0" applyFont="1" applyFill="1" applyBorder="1" applyAlignment="1">
      <alignment horizontal="center" vertical="center" textRotation="255" shrinkToFit="1"/>
    </xf>
    <xf numFmtId="176" fontId="25" fillId="0" borderId="25" xfId="0" applyNumberFormat="1" applyFont="1" applyBorder="1" applyAlignment="1">
      <alignment horizontal="center" vertical="center" shrinkToFit="1"/>
    </xf>
    <xf numFmtId="176" fontId="25" fillId="0" borderId="17" xfId="0" applyNumberFormat="1" applyFont="1" applyBorder="1" applyAlignment="1">
      <alignment horizontal="center" vertical="center" shrinkToFit="1"/>
    </xf>
    <xf numFmtId="0" fontId="12" fillId="18" borderId="22" xfId="0" applyFont="1" applyFill="1" applyBorder="1" applyAlignment="1">
      <alignment horizontal="center" vertical="center" shrinkToFit="1"/>
    </xf>
    <xf numFmtId="0" fontId="6" fillId="0" borderId="0" xfId="0" applyFont="1">
      <alignment vertical="center"/>
    </xf>
    <xf numFmtId="176" fontId="26" fillId="16" borderId="33" xfId="0" applyNumberFormat="1" applyFont="1" applyFill="1" applyBorder="1" applyAlignment="1">
      <alignment horizontal="center" vertical="center" shrinkToFit="1"/>
    </xf>
    <xf numFmtId="0" fontId="10" fillId="14" borderId="35" xfId="0" applyFont="1" applyFill="1" applyBorder="1" applyAlignment="1">
      <alignment horizontal="center" vertical="center" shrinkToFit="1"/>
    </xf>
    <xf numFmtId="176" fontId="2" fillId="11" borderId="27" xfId="0" applyNumberFormat="1" applyFont="1" applyFill="1" applyBorder="1" applyAlignment="1">
      <alignment horizontal="center" vertical="center" shrinkToFit="1"/>
    </xf>
    <xf numFmtId="176" fontId="2" fillId="12" borderId="17" xfId="0" applyNumberFormat="1" applyFont="1" applyFill="1" applyBorder="1" applyAlignment="1">
      <alignment horizontal="center" vertical="center" shrinkToFit="1"/>
    </xf>
    <xf numFmtId="176" fontId="2" fillId="17" borderId="40" xfId="0" applyNumberFormat="1" applyFont="1" applyFill="1" applyBorder="1" applyAlignment="1">
      <alignment horizontal="center" vertical="center" shrinkToFit="1"/>
    </xf>
    <xf numFmtId="0" fontId="6" fillId="11" borderId="27" xfId="0" applyFont="1" applyFill="1" applyBorder="1" applyAlignment="1">
      <alignment horizontal="center" vertical="center" textRotation="255" shrinkToFit="1"/>
    </xf>
    <xf numFmtId="0" fontId="6" fillId="17" borderId="40" xfId="0" applyFont="1" applyFill="1" applyBorder="1" applyAlignment="1">
      <alignment horizontal="center" vertical="center" textRotation="255" shrinkToFit="1"/>
    </xf>
    <xf numFmtId="176" fontId="26" fillId="16" borderId="24" xfId="0" applyNumberFormat="1" applyFont="1" applyFill="1" applyBorder="1" applyAlignment="1">
      <alignment horizontal="center" vertical="center" shrinkToFit="1"/>
    </xf>
    <xf numFmtId="176" fontId="18" fillId="16" borderId="22" xfId="0" applyNumberFormat="1" applyFont="1" applyFill="1" applyBorder="1" applyAlignment="1">
      <alignment horizontal="center" vertical="center" shrinkToFit="1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12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 applyProtection="1">
      <alignment horizontal="center" vertical="center"/>
      <protection locked="0"/>
    </xf>
    <xf numFmtId="0" fontId="0" fillId="13" borderId="14" xfId="0" applyFill="1" applyBorder="1" applyAlignment="1" applyProtection="1">
      <alignment horizontal="center" vertical="center"/>
      <protection locked="0"/>
    </xf>
    <xf numFmtId="0" fontId="0" fillId="13" borderId="13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  <protection locked="0"/>
    </xf>
    <xf numFmtId="0" fontId="0" fillId="13" borderId="16" xfId="0" applyFill="1" applyBorder="1" applyAlignment="1" applyProtection="1">
      <alignment horizontal="center" vertical="center"/>
      <protection locked="0"/>
    </xf>
    <xf numFmtId="0" fontId="0" fillId="13" borderId="15" xfId="0" applyFill="1" applyBorder="1" applyAlignment="1" applyProtection="1">
      <alignment horizontal="center" vertical="center"/>
      <protection locked="0"/>
    </xf>
    <xf numFmtId="179" fontId="17" fillId="19" borderId="5" xfId="0" applyNumberFormat="1" applyFont="1" applyFill="1" applyBorder="1" applyAlignment="1" applyProtection="1">
      <alignment horizontal="center" vertical="center"/>
      <protection locked="0"/>
    </xf>
    <xf numFmtId="0" fontId="11" fillId="19" borderId="10" xfId="0" applyFont="1" applyFill="1" applyBorder="1" applyAlignment="1" applyProtection="1">
      <alignment horizontal="center" vertical="center"/>
      <protection locked="0"/>
    </xf>
    <xf numFmtId="0" fontId="11" fillId="19" borderId="21" xfId="0" applyFont="1" applyFill="1" applyBorder="1" applyAlignment="1" applyProtection="1">
      <alignment horizontal="center" vertical="center"/>
      <protection locked="0"/>
    </xf>
    <xf numFmtId="0" fontId="29" fillId="0" borderId="0" xfId="1">
      <alignment vertical="center"/>
    </xf>
    <xf numFmtId="0" fontId="30" fillId="0" borderId="0" xfId="1" applyFont="1">
      <alignment vertical="center"/>
    </xf>
    <xf numFmtId="0" fontId="30" fillId="0" borderId="0" xfId="1" applyFont="1" applyAlignment="1" applyProtection="1">
      <alignment vertical="center" wrapText="1"/>
      <protection locked="0"/>
    </xf>
    <xf numFmtId="0" fontId="35" fillId="0" borderId="0" xfId="1" applyFont="1" applyAlignment="1" applyProtection="1">
      <alignment horizontal="center" vertical="center" wrapText="1"/>
      <protection locked="0"/>
    </xf>
    <xf numFmtId="0" fontId="30" fillId="0" borderId="0" xfId="1" applyFont="1" applyAlignment="1">
      <alignment horizontal="center" vertical="center"/>
    </xf>
    <xf numFmtId="183" fontId="6" fillId="17" borderId="13" xfId="1" applyNumberFormat="1" applyFont="1" applyFill="1" applyBorder="1" applyAlignment="1">
      <alignment horizontal="left" vertical="center" shrinkToFit="1"/>
    </xf>
    <xf numFmtId="177" fontId="6" fillId="17" borderId="16" xfId="1" applyNumberFormat="1" applyFont="1" applyFill="1" applyBorder="1" applyAlignment="1">
      <alignment horizontal="right" vertical="center" shrinkToFit="1"/>
    </xf>
    <xf numFmtId="0" fontId="6" fillId="0" borderId="0" xfId="1" applyFont="1" applyAlignment="1">
      <alignment horizontal="left" vertical="center"/>
    </xf>
    <xf numFmtId="0" fontId="6" fillId="20" borderId="0" xfId="1" applyFont="1" applyFill="1" applyAlignment="1">
      <alignment horizontal="right" vertical="center"/>
    </xf>
    <xf numFmtId="177" fontId="6" fillId="0" borderId="0" xfId="1" applyNumberFormat="1" applyFont="1" applyAlignment="1">
      <alignment horizontal="left" vertical="center"/>
    </xf>
    <xf numFmtId="177" fontId="6" fillId="20" borderId="0" xfId="1" applyNumberFormat="1" applyFont="1" applyFill="1" applyAlignment="1">
      <alignment horizontal="right" vertical="center"/>
    </xf>
    <xf numFmtId="0" fontId="35" fillId="0" borderId="0" xfId="1" applyFont="1">
      <alignment vertical="center"/>
    </xf>
    <xf numFmtId="0" fontId="35" fillId="0" borderId="0" xfId="1" applyFont="1" applyAlignment="1">
      <alignment horizontal="center" vertical="center"/>
    </xf>
    <xf numFmtId="0" fontId="27" fillId="19" borderId="21" xfId="0" applyFont="1" applyFill="1" applyBorder="1" applyAlignment="1" applyProtection="1">
      <alignment horizontal="center" vertical="center"/>
      <protection locked="0"/>
    </xf>
    <xf numFmtId="0" fontId="27" fillId="19" borderId="10" xfId="0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right" vertical="center"/>
    </xf>
    <xf numFmtId="0" fontId="37" fillId="0" borderId="0" xfId="1" applyFont="1" applyAlignment="1">
      <alignment horizontal="center" vertical="center" shrinkToFit="1"/>
    </xf>
    <xf numFmtId="0" fontId="31" fillId="0" borderId="0" xfId="1" applyFont="1" applyAlignment="1">
      <alignment vertical="center" shrinkToFit="1"/>
    </xf>
    <xf numFmtId="177" fontId="6" fillId="17" borderId="9" xfId="1" applyNumberFormat="1" applyFont="1" applyFill="1" applyBorder="1" applyAlignment="1">
      <alignment horizontal="right" vertical="center" shrinkToFit="1"/>
    </xf>
    <xf numFmtId="183" fontId="6" fillId="17" borderId="12" xfId="1" applyNumberFormat="1" applyFont="1" applyFill="1" applyBorder="1" applyAlignment="1">
      <alignment horizontal="left" vertical="center" shrinkToFit="1"/>
    </xf>
    <xf numFmtId="0" fontId="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8" fillId="2" borderId="27" xfId="0" applyFont="1" applyFill="1" applyBorder="1" applyAlignment="1">
      <alignment horizontal="center" vertical="center" textRotation="255" shrinkToFit="1"/>
    </xf>
    <xf numFmtId="0" fontId="8" fillId="9" borderId="24" xfId="0" applyFont="1" applyFill="1" applyBorder="1" applyAlignment="1">
      <alignment horizontal="center" vertical="center" textRotation="255" shrinkToFit="1"/>
    </xf>
    <xf numFmtId="0" fontId="8" fillId="10" borderId="27" xfId="0" applyFont="1" applyFill="1" applyBorder="1" applyAlignment="1">
      <alignment horizontal="center" vertical="center" textRotation="255" shrinkToFit="1"/>
    </xf>
    <xf numFmtId="0" fontId="8" fillId="13" borderId="27" xfId="0" applyFont="1" applyFill="1" applyBorder="1" applyAlignment="1">
      <alignment horizontal="center" vertical="center" textRotation="255" shrinkToFit="1"/>
    </xf>
    <xf numFmtId="0" fontId="13" fillId="0" borderId="0" xfId="0" applyFont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8" xfId="0" applyBorder="1" applyAlignment="1">
      <alignment vertical="center" shrinkToFit="1"/>
    </xf>
    <xf numFmtId="0" fontId="0" fillId="0" borderId="27" xfId="0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29" xfId="0" applyBorder="1" applyAlignment="1">
      <alignment vertical="center" shrinkToFit="1"/>
    </xf>
    <xf numFmtId="0" fontId="0" fillId="0" borderId="31" xfId="0" applyBorder="1" applyAlignment="1">
      <alignment vertical="center" shrinkToFit="1"/>
    </xf>
    <xf numFmtId="0" fontId="30" fillId="0" borderId="5" xfId="1" applyFont="1" applyBorder="1" applyAlignment="1">
      <alignment horizontal="center" vertical="center"/>
    </xf>
    <xf numFmtId="0" fontId="22" fillId="21" borderId="0" xfId="0" applyFont="1" applyFill="1" applyAlignment="1">
      <alignment horizontal="center" vertical="center"/>
    </xf>
    <xf numFmtId="0" fontId="22" fillId="21" borderId="52" xfId="0" applyFont="1" applyFill="1" applyBorder="1" applyAlignment="1">
      <alignment horizontal="center" vertical="center"/>
    </xf>
    <xf numFmtId="0" fontId="22" fillId="21" borderId="52" xfId="0" applyFont="1" applyFill="1" applyBorder="1" applyAlignment="1">
      <alignment horizontal="center" vertical="center" wrapText="1"/>
    </xf>
    <xf numFmtId="0" fontId="22" fillId="21" borderId="53" xfId="0" applyFont="1" applyFill="1" applyBorder="1" applyAlignment="1">
      <alignment horizontal="center" vertical="center"/>
    </xf>
    <xf numFmtId="177" fontId="6" fillId="22" borderId="54" xfId="0" applyNumberFormat="1" applyFont="1" applyFill="1" applyBorder="1" applyAlignment="1">
      <alignment horizontal="center" vertical="center"/>
    </xf>
    <xf numFmtId="0" fontId="6" fillId="22" borderId="55" xfId="0" applyFont="1" applyFill="1" applyBorder="1" applyAlignment="1">
      <alignment horizontal="center" vertical="center"/>
    </xf>
    <xf numFmtId="0" fontId="6" fillId="22" borderId="55" xfId="0" applyFont="1" applyFill="1" applyBorder="1">
      <alignment vertical="center"/>
    </xf>
    <xf numFmtId="0" fontId="6" fillId="22" borderId="56" xfId="0" applyFont="1" applyFill="1" applyBorder="1" applyAlignment="1">
      <alignment horizontal="center" vertical="center"/>
    </xf>
    <xf numFmtId="177" fontId="6" fillId="23" borderId="58" xfId="0" applyNumberFormat="1" applyFont="1" applyFill="1" applyBorder="1" applyAlignment="1">
      <alignment horizontal="center" vertical="center"/>
    </xf>
    <xf numFmtId="0" fontId="6" fillId="23" borderId="49" xfId="0" applyFont="1" applyFill="1" applyBorder="1" applyAlignment="1">
      <alignment horizontal="center" vertical="center"/>
    </xf>
    <xf numFmtId="0" fontId="6" fillId="23" borderId="49" xfId="0" applyFont="1" applyFill="1" applyBorder="1">
      <alignment vertical="center"/>
    </xf>
    <xf numFmtId="0" fontId="6" fillId="23" borderId="48" xfId="0" applyFont="1" applyFill="1" applyBorder="1" applyAlignment="1">
      <alignment horizontal="center" vertical="center"/>
    </xf>
    <xf numFmtId="177" fontId="6" fillId="22" borderId="58" xfId="0" applyNumberFormat="1" applyFont="1" applyFill="1" applyBorder="1" applyAlignment="1">
      <alignment horizontal="center" vertical="center"/>
    </xf>
    <xf numFmtId="0" fontId="6" fillId="22" borderId="49" xfId="0" applyFont="1" applyFill="1" applyBorder="1" applyAlignment="1">
      <alignment horizontal="center" vertical="center"/>
    </xf>
    <xf numFmtId="0" fontId="6" fillId="22" borderId="49" xfId="0" applyFont="1" applyFill="1" applyBorder="1">
      <alignment vertical="center"/>
    </xf>
    <xf numFmtId="0" fontId="6" fillId="22" borderId="48" xfId="0" applyFont="1" applyFill="1" applyBorder="1" applyAlignment="1">
      <alignment horizontal="center" vertical="center"/>
    </xf>
    <xf numFmtId="177" fontId="6" fillId="22" borderId="57" xfId="0" applyNumberFormat="1" applyFont="1" applyFill="1" applyBorder="1" applyAlignment="1">
      <alignment horizontal="center" vertical="center"/>
    </xf>
    <xf numFmtId="0" fontId="6" fillId="22" borderId="51" xfId="0" applyFont="1" applyFill="1" applyBorder="1" applyAlignment="1">
      <alignment horizontal="center" vertical="center"/>
    </xf>
    <xf numFmtId="0" fontId="6" fillId="22" borderId="51" xfId="0" applyFont="1" applyFill="1" applyBorder="1">
      <alignment vertical="center"/>
    </xf>
    <xf numFmtId="0" fontId="6" fillId="22" borderId="50" xfId="0" applyFont="1" applyFill="1" applyBorder="1" applyAlignment="1">
      <alignment horizontal="center" vertical="center"/>
    </xf>
    <xf numFmtId="0" fontId="43" fillId="24" borderId="0" xfId="0" applyFont="1" applyFill="1" applyAlignment="1">
      <alignment horizontal="center" vertical="center"/>
    </xf>
    <xf numFmtId="0" fontId="43" fillId="24" borderId="52" xfId="0" applyFont="1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55" xfId="0" applyFill="1" applyBorder="1" applyAlignment="1">
      <alignment horizontal="center" vertical="center" wrapText="1"/>
    </xf>
    <xf numFmtId="0" fontId="0" fillId="26" borderId="58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 wrapText="1"/>
    </xf>
    <xf numFmtId="0" fontId="0" fillId="25" borderId="58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 wrapText="1"/>
    </xf>
    <xf numFmtId="0" fontId="0" fillId="0" borderId="59" xfId="0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43" fillId="27" borderId="62" xfId="0" applyFont="1" applyFill="1" applyBorder="1">
      <alignment vertical="center"/>
    </xf>
    <xf numFmtId="0" fontId="43" fillId="27" borderId="63" xfId="0" applyFont="1" applyFill="1" applyBorder="1">
      <alignment vertical="center"/>
    </xf>
    <xf numFmtId="0" fontId="43" fillId="27" borderId="64" xfId="0" applyFont="1" applyFill="1" applyBorder="1">
      <alignment vertical="center"/>
    </xf>
    <xf numFmtId="0" fontId="0" fillId="28" borderId="62" xfId="0" applyFill="1" applyBorder="1">
      <alignment vertical="center"/>
    </xf>
    <xf numFmtId="0" fontId="0" fillId="28" borderId="63" xfId="0" applyFill="1" applyBorder="1">
      <alignment vertical="center"/>
    </xf>
    <xf numFmtId="0" fontId="0" fillId="28" borderId="64" xfId="0" applyFill="1" applyBorder="1">
      <alignment vertical="center"/>
    </xf>
    <xf numFmtId="0" fontId="0" fillId="0" borderId="62" xfId="0" applyBorder="1">
      <alignment vertical="center"/>
    </xf>
    <xf numFmtId="0" fontId="0" fillId="0" borderId="63" xfId="0" applyBorder="1">
      <alignment vertical="center"/>
    </xf>
    <xf numFmtId="0" fontId="0" fillId="0" borderId="64" xfId="0" applyBorder="1">
      <alignment vertical="center"/>
    </xf>
    <xf numFmtId="0" fontId="41" fillId="0" borderId="5" xfId="1" applyFont="1" applyBorder="1" applyAlignment="1" applyProtection="1">
      <alignment horizontal="center" vertical="center"/>
      <protection locked="0"/>
    </xf>
    <xf numFmtId="0" fontId="10" fillId="14" borderId="41" xfId="0" applyFont="1" applyFill="1" applyBorder="1" applyAlignment="1">
      <alignment horizontal="center" vertical="center" shrinkToFit="1"/>
    </xf>
    <xf numFmtId="0" fontId="10" fillId="14" borderId="42" xfId="0" applyFont="1" applyFill="1" applyBorder="1" applyAlignment="1">
      <alignment horizontal="center" vertical="center" shrinkToFit="1"/>
    </xf>
    <xf numFmtId="176" fontId="26" fillId="16" borderId="66" xfId="0" applyNumberFormat="1" applyFont="1" applyFill="1" applyBorder="1" applyAlignment="1">
      <alignment horizontal="center" vertical="center" shrinkToFit="1"/>
    </xf>
    <xf numFmtId="176" fontId="18" fillId="16" borderId="67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0" fontId="46" fillId="0" borderId="0" xfId="0" applyFont="1">
      <alignment vertical="center"/>
    </xf>
    <xf numFmtId="22" fontId="0" fillId="0" borderId="0" xfId="0" applyNumberFormat="1">
      <alignment vertical="center"/>
    </xf>
    <xf numFmtId="0" fontId="45" fillId="6" borderId="69" xfId="0" applyFont="1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45" fillId="6" borderId="19" xfId="0" applyFont="1" applyFill="1" applyBorder="1" applyAlignment="1">
      <alignment horizontal="center" vertical="center"/>
    </xf>
    <xf numFmtId="185" fontId="42" fillId="6" borderId="19" xfId="0" applyNumberFormat="1" applyFont="1" applyFill="1" applyBorder="1" applyAlignment="1">
      <alignment horizontal="center" vertical="center"/>
    </xf>
    <xf numFmtId="0" fontId="23" fillId="31" borderId="69" xfId="0" applyFont="1" applyFill="1" applyBorder="1" applyAlignment="1">
      <alignment horizontal="center" vertical="center"/>
    </xf>
    <xf numFmtId="0" fontId="23" fillId="31" borderId="19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5" xfId="0" applyBorder="1">
      <alignment vertical="center"/>
    </xf>
    <xf numFmtId="9" fontId="3" fillId="19" borderId="21" xfId="2" applyFont="1" applyFill="1" applyBorder="1" applyAlignment="1" applyProtection="1">
      <alignment horizontal="center" vertical="center"/>
      <protection locked="0"/>
    </xf>
    <xf numFmtId="9" fontId="3" fillId="19" borderId="10" xfId="2" applyFont="1" applyFill="1" applyBorder="1" applyAlignment="1" applyProtection="1">
      <alignment horizontal="center" vertical="center"/>
      <protection locked="0"/>
    </xf>
    <xf numFmtId="0" fontId="6" fillId="23" borderId="49" xfId="0" applyFont="1" applyFill="1" applyBorder="1" applyAlignment="1">
      <alignment vertical="center" wrapText="1"/>
    </xf>
    <xf numFmtId="0" fontId="54" fillId="22" borderId="49" xfId="0" applyFont="1" applyFill="1" applyBorder="1">
      <alignment vertical="center"/>
    </xf>
    <xf numFmtId="0" fontId="7" fillId="22" borderId="49" xfId="0" applyFont="1" applyFill="1" applyBorder="1">
      <alignment vertical="center"/>
    </xf>
    <xf numFmtId="56" fontId="6" fillId="22" borderId="49" xfId="0" applyNumberFormat="1" applyFont="1" applyFill="1" applyBorder="1">
      <alignment vertical="center"/>
    </xf>
    <xf numFmtId="0" fontId="6" fillId="22" borderId="49" xfId="0" applyFont="1" applyFill="1" applyBorder="1" applyAlignment="1">
      <alignment vertical="top" wrapText="1"/>
    </xf>
    <xf numFmtId="56" fontId="6" fillId="23" borderId="49" xfId="0" applyNumberFormat="1" applyFont="1" applyFill="1" applyBorder="1">
      <alignment vertical="center"/>
    </xf>
    <xf numFmtId="0" fontId="8" fillId="18" borderId="27" xfId="0" applyFont="1" applyFill="1" applyBorder="1" applyAlignment="1">
      <alignment horizontal="center" vertical="center" textRotation="255" shrinkToFit="1"/>
    </xf>
    <xf numFmtId="176" fontId="18" fillId="16" borderId="78" xfId="0" applyNumberFormat="1" applyFont="1" applyFill="1" applyBorder="1" applyAlignment="1">
      <alignment horizontal="center" vertical="center" shrinkToFit="1"/>
    </xf>
    <xf numFmtId="0" fontId="10" fillId="14" borderId="75" xfId="0" applyFont="1" applyFill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2" fillId="18" borderId="2" xfId="0" applyNumberFormat="1" applyFont="1" applyFill="1" applyBorder="1" applyAlignment="1">
      <alignment horizontal="center" vertical="center" shrinkToFit="1"/>
    </xf>
    <xf numFmtId="176" fontId="2" fillId="18" borderId="1" xfId="0" applyNumberFormat="1" applyFont="1" applyFill="1" applyBorder="1" applyAlignment="1">
      <alignment horizontal="center" vertical="center" shrinkToFit="1"/>
    </xf>
    <xf numFmtId="176" fontId="2" fillId="18" borderId="3" xfId="0" applyNumberFormat="1" applyFont="1" applyFill="1" applyBorder="1" applyAlignment="1">
      <alignment horizontal="center" vertical="center" shrinkToFit="1"/>
    </xf>
    <xf numFmtId="177" fontId="40" fillId="3" borderId="73" xfId="0" applyNumberFormat="1" applyFont="1" applyFill="1" applyBorder="1" applyAlignment="1">
      <alignment horizontal="center" vertical="center" shrinkToFit="1"/>
    </xf>
    <xf numFmtId="177" fontId="40" fillId="3" borderId="70" xfId="0" applyNumberFormat="1" applyFont="1" applyFill="1" applyBorder="1" applyAlignment="1">
      <alignment horizontal="center" vertical="center" shrinkToFit="1"/>
    </xf>
    <xf numFmtId="0" fontId="28" fillId="3" borderId="74" xfId="0" applyFont="1" applyFill="1" applyBorder="1" applyAlignment="1">
      <alignment horizontal="center" vertical="center" shrinkToFit="1"/>
    </xf>
    <xf numFmtId="0" fontId="28" fillId="3" borderId="71" xfId="0" applyFont="1" applyFill="1" applyBorder="1" applyAlignment="1">
      <alignment horizontal="center" vertical="center" shrinkToFit="1"/>
    </xf>
    <xf numFmtId="177" fontId="40" fillId="3" borderId="76" xfId="0" applyNumberFormat="1" applyFont="1" applyFill="1" applyBorder="1" applyAlignment="1">
      <alignment horizontal="center" vertical="center" shrinkToFit="1"/>
    </xf>
    <xf numFmtId="0" fontId="28" fillId="3" borderId="77" xfId="0" applyFont="1" applyFill="1" applyBorder="1" applyAlignment="1">
      <alignment horizontal="center" vertical="center" shrinkToFit="1"/>
    </xf>
    <xf numFmtId="0" fontId="15" fillId="3" borderId="77" xfId="0" applyFont="1" applyFill="1" applyBorder="1" applyAlignment="1">
      <alignment horizontal="center" vertical="center" shrinkToFit="1"/>
    </xf>
    <xf numFmtId="0" fontId="14" fillId="3" borderId="74" xfId="0" applyFont="1" applyFill="1" applyBorder="1" applyAlignment="1">
      <alignment horizontal="center" vertical="center" shrinkToFit="1"/>
    </xf>
    <xf numFmtId="0" fontId="15" fillId="3" borderId="74" xfId="0" applyFont="1" applyFill="1" applyBorder="1" applyAlignment="1">
      <alignment horizontal="center" vertical="center" shrinkToFit="1"/>
    </xf>
    <xf numFmtId="0" fontId="14" fillId="3" borderId="77" xfId="0" applyFont="1" applyFill="1" applyBorder="1" applyAlignment="1">
      <alignment horizontal="center" vertical="center" shrinkToFit="1"/>
    </xf>
    <xf numFmtId="176" fontId="16" fillId="0" borderId="0" xfId="0" applyNumberFormat="1" applyFont="1" applyAlignment="1">
      <alignment horizontal="center" vertical="center" shrinkToFit="1"/>
    </xf>
    <xf numFmtId="180" fontId="20" fillId="0" borderId="41" xfId="0" applyNumberFormat="1" applyFont="1" applyBorder="1" applyAlignment="1">
      <alignment horizontal="center" vertical="center" shrinkToFit="1"/>
    </xf>
    <xf numFmtId="180" fontId="20" fillId="0" borderId="34" xfId="0" applyNumberFormat="1" applyFont="1" applyBorder="1" applyAlignment="1">
      <alignment horizontal="center" vertical="center" shrinkToFit="1"/>
    </xf>
    <xf numFmtId="9" fontId="19" fillId="13" borderId="42" xfId="2" applyFont="1" applyFill="1" applyBorder="1" applyAlignment="1" applyProtection="1">
      <alignment horizontal="center" vertical="center" shrinkToFit="1"/>
    </xf>
    <xf numFmtId="9" fontId="19" fillId="13" borderId="72" xfId="2" applyFont="1" applyFill="1" applyBorder="1" applyAlignment="1" applyProtection="1">
      <alignment horizontal="center" vertical="center" shrinkToFit="1"/>
    </xf>
    <xf numFmtId="181" fontId="19" fillId="0" borderId="34" xfId="0" applyNumberFormat="1" applyFont="1" applyBorder="1" applyAlignment="1">
      <alignment horizontal="center" vertical="center" shrinkToFit="1"/>
    </xf>
    <xf numFmtId="181" fontId="19" fillId="0" borderId="65" xfId="0" applyNumberFormat="1" applyFont="1" applyBorder="1" applyAlignment="1">
      <alignment horizontal="center" vertical="center" shrinkToFit="1"/>
    </xf>
    <xf numFmtId="181" fontId="19" fillId="0" borderId="72" xfId="0" applyNumberFormat="1" applyFont="1" applyBorder="1" applyAlignment="1">
      <alignment horizontal="center" vertical="center" shrinkToFit="1"/>
    </xf>
    <xf numFmtId="181" fontId="19" fillId="0" borderId="36" xfId="0" applyNumberFormat="1" applyFont="1" applyBorder="1" applyAlignment="1">
      <alignment horizontal="center" vertical="center" shrinkToFit="1"/>
    </xf>
    <xf numFmtId="182" fontId="19" fillId="15" borderId="34" xfId="0" applyNumberFormat="1" applyFont="1" applyFill="1" applyBorder="1" applyAlignment="1">
      <alignment horizontal="center" vertical="center" shrinkToFit="1"/>
    </xf>
    <xf numFmtId="182" fontId="19" fillId="15" borderId="37" xfId="0" applyNumberFormat="1" applyFont="1" applyFill="1" applyBorder="1" applyAlignment="1">
      <alignment horizontal="center" vertical="center" shrinkToFit="1"/>
    </xf>
    <xf numFmtId="182" fontId="19" fillId="15" borderId="42" xfId="0" applyNumberFormat="1" applyFont="1" applyFill="1" applyBorder="1" applyAlignment="1">
      <alignment horizontal="center" vertical="center" shrinkToFit="1"/>
    </xf>
    <xf numFmtId="182" fontId="19" fillId="15" borderId="32" xfId="0" applyNumberFormat="1" applyFont="1" applyFill="1" applyBorder="1" applyAlignment="1">
      <alignment horizontal="center" vertical="center" shrinkToFit="1"/>
    </xf>
    <xf numFmtId="0" fontId="3" fillId="13" borderId="2" xfId="0" applyFont="1" applyFill="1" applyBorder="1" applyAlignment="1">
      <alignment horizontal="center" vertical="center" shrinkToFit="1"/>
    </xf>
    <xf numFmtId="0" fontId="3" fillId="13" borderId="1" xfId="0" applyFont="1" applyFill="1" applyBorder="1" applyAlignment="1">
      <alignment horizontal="center" vertical="center" shrinkToFit="1"/>
    </xf>
    <xf numFmtId="0" fontId="3" fillId="13" borderId="3" xfId="0" applyFont="1" applyFill="1" applyBorder="1" applyAlignment="1">
      <alignment horizontal="center" vertical="center" shrinkToFit="1"/>
    </xf>
    <xf numFmtId="176" fontId="38" fillId="0" borderId="8" xfId="0" applyNumberFormat="1" applyFont="1" applyBorder="1" applyAlignment="1">
      <alignment horizontal="center" vertical="center" shrinkToFit="1"/>
    </xf>
    <xf numFmtId="176" fontId="38" fillId="0" borderId="0" xfId="0" applyNumberFormat="1" applyFont="1" applyAlignment="1">
      <alignment horizontal="center" vertical="center" shrinkToFit="1"/>
    </xf>
    <xf numFmtId="0" fontId="3" fillId="10" borderId="2" xfId="0" applyFont="1" applyFill="1" applyBorder="1" applyAlignment="1">
      <alignment horizontal="center" vertical="center" shrinkToFit="1"/>
    </xf>
    <xf numFmtId="0" fontId="3" fillId="10" borderId="1" xfId="0" applyFont="1" applyFill="1" applyBorder="1" applyAlignment="1">
      <alignment horizontal="center" vertical="center" shrinkToFit="1"/>
    </xf>
    <xf numFmtId="0" fontId="3" fillId="10" borderId="3" xfId="0" applyFont="1" applyFill="1" applyBorder="1" applyAlignment="1">
      <alignment horizontal="center" vertical="center" shrinkToFit="1"/>
    </xf>
    <xf numFmtId="182" fontId="19" fillId="15" borderId="41" xfId="0" applyNumberFormat="1" applyFont="1" applyFill="1" applyBorder="1" applyAlignment="1">
      <alignment horizontal="center" vertical="center" shrinkToFit="1"/>
    </xf>
    <xf numFmtId="182" fontId="19" fillId="15" borderId="38" xfId="0" applyNumberFormat="1" applyFont="1" applyFill="1" applyBorder="1" applyAlignment="1">
      <alignment horizontal="center" vertical="center" shrinkToFit="1"/>
    </xf>
    <xf numFmtId="181" fontId="19" fillId="0" borderId="28" xfId="0" applyNumberFormat="1" applyFont="1" applyBorder="1" applyAlignment="1">
      <alignment horizontal="center" vertical="center" shrinkToFit="1"/>
    </xf>
    <xf numFmtId="176" fontId="39" fillId="0" borderId="0" xfId="0" applyNumberFormat="1" applyFont="1" applyAlignment="1">
      <alignment horizontal="center" vertical="center" shrinkToFit="1"/>
    </xf>
    <xf numFmtId="176" fontId="39" fillId="0" borderId="11" xfId="0" applyNumberFormat="1" applyFont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shrinkToFit="1"/>
    </xf>
    <xf numFmtId="176" fontId="2" fillId="15" borderId="2" xfId="0" applyNumberFormat="1" applyFont="1" applyFill="1" applyBorder="1" applyAlignment="1">
      <alignment horizontal="center" vertical="center" shrinkToFit="1"/>
    </xf>
    <xf numFmtId="176" fontId="2" fillId="15" borderId="1" xfId="0" applyNumberFormat="1" applyFont="1" applyFill="1" applyBorder="1" applyAlignment="1">
      <alignment horizontal="center" vertical="center" shrinkToFit="1"/>
    </xf>
    <xf numFmtId="176" fontId="2" fillId="15" borderId="3" xfId="0" applyNumberFormat="1" applyFont="1" applyFill="1" applyBorder="1" applyAlignment="1">
      <alignment horizontal="center" vertical="center" shrinkToFit="1"/>
    </xf>
    <xf numFmtId="180" fontId="20" fillId="0" borderId="43" xfId="0" applyNumberFormat="1" applyFont="1" applyBorder="1" applyAlignment="1">
      <alignment horizontal="center" vertical="center" shrinkToFit="1"/>
    </xf>
    <xf numFmtId="180" fontId="20" fillId="0" borderId="26" xfId="0" applyNumberFormat="1" applyFont="1" applyBorder="1" applyAlignment="1">
      <alignment horizontal="center" vertical="center" shrinkToFit="1"/>
    </xf>
    <xf numFmtId="0" fontId="30" fillId="0" borderId="5" xfId="1" applyFont="1" applyBorder="1" applyAlignment="1" applyProtection="1">
      <alignment horizontal="center" vertical="center"/>
      <protection locked="0"/>
    </xf>
    <xf numFmtId="0" fontId="31" fillId="0" borderId="0" xfId="1" applyFont="1" applyAlignment="1">
      <alignment horizontal="center" vertical="center"/>
    </xf>
    <xf numFmtId="0" fontId="35" fillId="0" borderId="0" xfId="1" applyFont="1" applyAlignment="1" applyProtection="1">
      <alignment horizontal="left" vertical="center" wrapText="1"/>
      <protection locked="0"/>
    </xf>
    <xf numFmtId="0" fontId="36" fillId="0" borderId="0" xfId="1" applyFont="1" applyAlignment="1">
      <alignment horizontal="center" vertical="center"/>
    </xf>
    <xf numFmtId="184" fontId="34" fillId="0" borderId="0" xfId="1" applyNumberFormat="1" applyFont="1" applyAlignment="1">
      <alignment horizontal="center" vertical="center"/>
    </xf>
    <xf numFmtId="0" fontId="31" fillId="0" borderId="0" xfId="1" applyFont="1" applyAlignment="1" applyProtection="1">
      <alignment horizontal="center" vertical="center" wrapText="1"/>
      <protection locked="0"/>
    </xf>
    <xf numFmtId="0" fontId="31" fillId="0" borderId="0" xfId="1" applyFont="1" applyAlignment="1">
      <alignment horizontal="left" vertical="center"/>
    </xf>
    <xf numFmtId="0" fontId="30" fillId="0" borderId="0" xfId="1" applyFont="1" applyAlignment="1" applyProtection="1">
      <alignment horizontal="left" vertical="center" wrapText="1"/>
      <protection locked="0"/>
    </xf>
    <xf numFmtId="0" fontId="31" fillId="0" borderId="0" xfId="1" applyFont="1" applyAlignment="1">
      <alignment horizontal="center" vertical="center" wrapText="1"/>
    </xf>
    <xf numFmtId="0" fontId="34" fillId="0" borderId="0" xfId="1" applyFont="1" applyAlignment="1">
      <alignment horizontal="center" vertical="center" shrinkToFit="1"/>
    </xf>
    <xf numFmtId="0" fontId="31" fillId="0" borderId="0" xfId="1" applyFont="1" applyAlignment="1">
      <alignment horizontal="center" vertical="center" shrinkToFit="1"/>
    </xf>
    <xf numFmtId="0" fontId="31" fillId="0" borderId="0" xfId="1" applyFont="1" applyAlignment="1">
      <alignment horizontal="left" vertical="center" shrinkToFit="1"/>
    </xf>
    <xf numFmtId="0" fontId="46" fillId="29" borderId="5" xfId="0" applyFont="1" applyFill="1" applyBorder="1" applyAlignment="1">
      <alignment horizontal="center" vertical="center"/>
    </xf>
    <xf numFmtId="0" fontId="0" fillId="0" borderId="68" xfId="0" applyBorder="1" applyAlignment="1" applyProtection="1">
      <alignment horizontal="center" vertical="center" shrinkToFit="1"/>
      <protection locked="0"/>
    </xf>
    <xf numFmtId="0" fontId="0" fillId="0" borderId="19" xfId="0" applyBorder="1" applyAlignment="1" applyProtection="1">
      <alignment horizontal="center" vertical="center" shrinkToFit="1"/>
      <protection locked="0"/>
    </xf>
    <xf numFmtId="22" fontId="0" fillId="0" borderId="7" xfId="0" applyNumberFormat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>
      <alignment horizontal="right"/>
    </xf>
    <xf numFmtId="0" fontId="0" fillId="6" borderId="5" xfId="0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0" borderId="16" xfId="0" applyBorder="1" applyAlignment="1">
      <alignment horizontal="right" vertical="center"/>
    </xf>
    <xf numFmtId="0" fontId="0" fillId="0" borderId="45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19" borderId="27" xfId="0" applyFont="1" applyFill="1" applyBorder="1" applyAlignment="1" applyProtection="1">
      <alignment horizontal="center" vertical="center" shrinkToFit="1"/>
      <protection locked="0"/>
    </xf>
    <xf numFmtId="0" fontId="17" fillId="19" borderId="30" xfId="0" applyFont="1" applyFill="1" applyBorder="1" applyAlignment="1" applyProtection="1">
      <alignment horizontal="center" vertical="center" shrinkToFit="1"/>
      <protection locked="0"/>
    </xf>
    <xf numFmtId="0" fontId="17" fillId="19" borderId="17" xfId="0" applyFont="1" applyFill="1" applyBorder="1" applyAlignment="1" applyProtection="1">
      <alignment horizontal="center" vertical="center" shrinkToFit="1"/>
      <protection locked="0"/>
    </xf>
    <xf numFmtId="0" fontId="17" fillId="19" borderId="29" xfId="0" applyFont="1" applyFill="1" applyBorder="1" applyAlignment="1" applyProtection="1">
      <alignment horizontal="center" vertical="center" shrinkToFit="1"/>
      <protection locked="0"/>
    </xf>
    <xf numFmtId="0" fontId="17" fillId="19" borderId="31" xfId="0" applyFont="1" applyFill="1" applyBorder="1" applyAlignment="1" applyProtection="1">
      <alignment horizontal="center" vertical="center" shrinkToFit="1"/>
      <protection locked="0"/>
    </xf>
    <xf numFmtId="0" fontId="17" fillId="19" borderId="18" xfId="0" applyFont="1" applyFill="1" applyBorder="1" applyAlignment="1" applyProtection="1">
      <alignment horizontal="center" vertical="center" shrinkToFit="1"/>
      <protection locked="0"/>
    </xf>
    <xf numFmtId="0" fontId="10" fillId="0" borderId="0" xfId="0" applyFont="1" applyAlignment="1">
      <alignment horizontal="center" vertical="center"/>
    </xf>
    <xf numFmtId="0" fontId="23" fillId="4" borderId="16" xfId="0" applyFont="1" applyFill="1" applyBorder="1" applyAlignment="1">
      <alignment horizontal="right" vertical="center"/>
    </xf>
    <xf numFmtId="0" fontId="23" fillId="4" borderId="45" xfId="0" applyFont="1" applyFill="1" applyBorder="1" applyAlignment="1">
      <alignment horizontal="right" vertical="center"/>
    </xf>
    <xf numFmtId="0" fontId="22" fillId="7" borderId="16" xfId="0" applyFont="1" applyFill="1" applyBorder="1" applyAlignment="1">
      <alignment horizontal="right" vertical="center"/>
    </xf>
    <xf numFmtId="0" fontId="22" fillId="7" borderId="45" xfId="0" applyFont="1" applyFill="1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16" fillId="19" borderId="27" xfId="0" applyFont="1" applyFill="1" applyBorder="1" applyAlignment="1" applyProtection="1">
      <alignment horizontal="center" vertical="center"/>
      <protection locked="0"/>
    </xf>
    <xf numFmtId="0" fontId="16" fillId="19" borderId="17" xfId="0" applyFont="1" applyFill="1" applyBorder="1" applyAlignment="1" applyProtection="1">
      <alignment horizontal="center" vertical="center"/>
      <protection locked="0"/>
    </xf>
    <xf numFmtId="0" fontId="16" fillId="19" borderId="29" xfId="0" applyFont="1" applyFill="1" applyBorder="1" applyAlignment="1" applyProtection="1">
      <alignment horizontal="center" vertical="center"/>
      <protection locked="0"/>
    </xf>
    <xf numFmtId="0" fontId="16" fillId="19" borderId="18" xfId="0" applyFont="1" applyFill="1" applyBorder="1" applyAlignment="1" applyProtection="1">
      <alignment horizontal="center" vertical="center"/>
      <protection locked="0"/>
    </xf>
    <xf numFmtId="0" fontId="11" fillId="19" borderId="20" xfId="0" applyFont="1" applyFill="1" applyBorder="1" applyAlignment="1" applyProtection="1">
      <alignment horizontal="center" vertical="center"/>
      <protection locked="0"/>
    </xf>
    <xf numFmtId="0" fontId="11" fillId="19" borderId="1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22" fillId="7" borderId="44" xfId="0" applyFont="1" applyFill="1" applyBorder="1" applyAlignment="1">
      <alignment horizontal="right" vertical="center"/>
    </xf>
    <xf numFmtId="0" fontId="22" fillId="7" borderId="46" xfId="0" applyFont="1" applyFill="1" applyBorder="1" applyAlignment="1">
      <alignment horizontal="right" vertical="center"/>
    </xf>
    <xf numFmtId="0" fontId="22" fillId="7" borderId="9" xfId="0" applyFont="1" applyFill="1" applyBorder="1" applyAlignment="1">
      <alignment horizontal="right" vertical="center"/>
    </xf>
    <xf numFmtId="0" fontId="22" fillId="7" borderId="47" xfId="0" applyFont="1" applyFill="1" applyBorder="1" applyAlignment="1">
      <alignment horizontal="right" vertical="center"/>
    </xf>
    <xf numFmtId="177" fontId="40" fillId="3" borderId="79" xfId="0" applyNumberFormat="1" applyFont="1" applyFill="1" applyBorder="1" applyAlignment="1">
      <alignment horizontal="center" vertical="center" shrinkToFit="1"/>
    </xf>
    <xf numFmtId="0" fontId="14" fillId="3" borderId="80" xfId="0" applyFont="1" applyFill="1" applyBorder="1" applyAlignment="1">
      <alignment horizontal="center" vertical="center" shrinkToFit="1"/>
    </xf>
    <xf numFmtId="0" fontId="10" fillId="3" borderId="81" xfId="0" applyFont="1" applyFill="1" applyBorder="1" applyAlignment="1">
      <alignment horizontal="center" vertical="center" shrinkToFit="1"/>
    </xf>
    <xf numFmtId="178" fontId="10" fillId="0" borderId="79" xfId="0" applyNumberFormat="1" applyFont="1" applyBorder="1" applyAlignment="1" applyProtection="1">
      <alignment horizontal="center" vertical="center" shrinkToFit="1"/>
      <protection locked="0"/>
    </xf>
    <xf numFmtId="49" fontId="2" fillId="0" borderId="82" xfId="0" applyNumberFormat="1" applyFont="1" applyBorder="1" applyAlignment="1" applyProtection="1">
      <alignment horizontal="center" vertical="center" shrinkToFit="1"/>
      <protection locked="0"/>
    </xf>
    <xf numFmtId="178" fontId="2" fillId="0" borderId="80" xfId="0" applyNumberFormat="1" applyFont="1" applyBorder="1" applyAlignment="1" applyProtection="1">
      <alignment horizontal="center" vertical="center" shrinkToFit="1"/>
      <protection locked="0"/>
    </xf>
    <xf numFmtId="49" fontId="2" fillId="32" borderId="82" xfId="0" applyNumberFormat="1" applyFont="1" applyFill="1" applyBorder="1" applyAlignment="1" applyProtection="1">
      <alignment horizontal="center" vertical="center" shrinkToFit="1"/>
      <protection locked="0"/>
    </xf>
    <xf numFmtId="49" fontId="50" fillId="0" borderId="82" xfId="0" applyNumberFormat="1" applyFont="1" applyBorder="1" applyAlignment="1" applyProtection="1">
      <alignment horizontal="center" vertical="center" shrinkToFit="1"/>
      <protection locked="0"/>
    </xf>
    <xf numFmtId="178" fontId="21" fillId="0" borderId="80" xfId="0" applyNumberFormat="1" applyFont="1" applyBorder="1" applyAlignment="1" applyProtection="1">
      <alignment horizontal="center" vertical="center" shrinkToFit="1"/>
      <protection locked="0"/>
    </xf>
    <xf numFmtId="49" fontId="21" fillId="32" borderId="82" xfId="0" applyNumberFormat="1" applyFont="1" applyFill="1" applyBorder="1" applyAlignment="1" applyProtection="1">
      <alignment horizontal="center" vertical="center" shrinkToFit="1"/>
      <protection locked="0"/>
    </xf>
    <xf numFmtId="49" fontId="2" fillId="33" borderId="82" xfId="0" applyNumberFormat="1" applyFont="1" applyFill="1" applyBorder="1" applyAlignment="1" applyProtection="1">
      <alignment horizontal="center" vertical="center" shrinkToFit="1"/>
      <protection locked="0"/>
    </xf>
    <xf numFmtId="178" fontId="12" fillId="0" borderId="80" xfId="0" applyNumberFormat="1" applyFont="1" applyBorder="1" applyAlignment="1" applyProtection="1">
      <alignment horizontal="center" vertical="center" shrinkToFit="1"/>
      <protection locked="0"/>
    </xf>
    <xf numFmtId="49" fontId="50" fillId="32" borderId="82" xfId="0" applyNumberFormat="1" applyFont="1" applyFill="1" applyBorder="1" applyAlignment="1" applyProtection="1">
      <alignment horizontal="center" vertical="center" shrinkToFit="1"/>
      <protection locked="0"/>
    </xf>
    <xf numFmtId="49" fontId="49" fillId="32" borderId="82" xfId="0" applyNumberFormat="1" applyFont="1" applyFill="1" applyBorder="1" applyAlignment="1" applyProtection="1">
      <alignment horizontal="center" vertical="center" shrinkToFit="1"/>
      <protection locked="0"/>
    </xf>
    <xf numFmtId="49" fontId="49" fillId="33" borderId="82" xfId="0" applyNumberFormat="1" applyFont="1" applyFill="1" applyBorder="1" applyAlignment="1" applyProtection="1">
      <alignment horizontal="center" vertical="center" shrinkToFit="1"/>
      <protection locked="0"/>
    </xf>
    <xf numFmtId="49" fontId="10" fillId="0" borderId="80" xfId="0" applyNumberFormat="1" applyFont="1" applyBorder="1" applyAlignment="1" applyProtection="1">
      <alignment horizontal="center" vertical="center" shrinkToFit="1"/>
      <protection locked="0"/>
    </xf>
    <xf numFmtId="0" fontId="10" fillId="0" borderId="82" xfId="0" applyFont="1" applyBorder="1" applyAlignment="1" applyProtection="1">
      <alignment horizontal="center" vertical="center" shrinkToFit="1"/>
      <protection locked="0"/>
    </xf>
    <xf numFmtId="0" fontId="24" fillId="11" borderId="80" xfId="0" applyFont="1" applyFill="1" applyBorder="1" applyAlignment="1">
      <alignment horizontal="center" vertical="center" shrinkToFit="1"/>
    </xf>
    <xf numFmtId="0" fontId="24" fillId="8" borderId="83" xfId="0" applyFont="1" applyFill="1" applyBorder="1" applyAlignment="1">
      <alignment horizontal="center" vertical="center" shrinkToFit="1"/>
    </xf>
    <xf numFmtId="0" fontId="24" fillId="6" borderId="80" xfId="0" applyFont="1" applyFill="1" applyBorder="1" applyAlignment="1">
      <alignment horizontal="center" vertical="center" shrinkToFit="1"/>
    </xf>
    <xf numFmtId="177" fontId="40" fillId="3" borderId="84" xfId="0" applyNumberFormat="1" applyFont="1" applyFill="1" applyBorder="1" applyAlignment="1">
      <alignment horizontal="center" vertical="center" shrinkToFit="1"/>
    </xf>
    <xf numFmtId="0" fontId="14" fillId="3" borderId="85" xfId="0" applyFont="1" applyFill="1" applyBorder="1" applyAlignment="1">
      <alignment horizontal="center" vertical="center" shrinkToFit="1"/>
    </xf>
    <xf numFmtId="49" fontId="21" fillId="0" borderId="82" xfId="0" applyNumberFormat="1" applyFont="1" applyBorder="1" applyAlignment="1" applyProtection="1">
      <alignment horizontal="center" vertical="center" shrinkToFit="1"/>
      <protection locked="0"/>
    </xf>
    <xf numFmtId="49" fontId="12" fillId="32" borderId="82" xfId="0" applyNumberFormat="1" applyFont="1" applyFill="1" applyBorder="1" applyAlignment="1" applyProtection="1">
      <alignment horizontal="center" vertical="center" shrinkToFit="1"/>
      <protection locked="0"/>
    </xf>
    <xf numFmtId="49" fontId="12" fillId="0" borderId="82" xfId="0" applyNumberFormat="1" applyFont="1" applyBorder="1" applyAlignment="1" applyProtection="1">
      <alignment horizontal="center" vertical="center" shrinkToFit="1"/>
      <protection locked="0"/>
    </xf>
    <xf numFmtId="49" fontId="10" fillId="0" borderId="82" xfId="0" applyNumberFormat="1" applyFont="1" applyBorder="1" applyAlignment="1" applyProtection="1">
      <alignment horizontal="center" vertical="center" shrinkToFit="1"/>
      <protection locked="0"/>
    </xf>
    <xf numFmtId="178" fontId="10" fillId="0" borderId="80" xfId="0" applyNumberFormat="1" applyFont="1" applyBorder="1" applyAlignment="1" applyProtection="1">
      <alignment horizontal="center" vertical="center" shrinkToFit="1"/>
      <protection locked="0"/>
    </xf>
    <xf numFmtId="0" fontId="18" fillId="11" borderId="79" xfId="0" applyFont="1" applyFill="1" applyBorder="1" applyAlignment="1">
      <alignment horizontal="center" vertical="center" shrinkToFit="1"/>
    </xf>
    <xf numFmtId="0" fontId="18" fillId="17" borderId="83" xfId="0" applyFont="1" applyFill="1" applyBorder="1" applyAlignment="1">
      <alignment horizontal="center" vertical="center" shrinkToFit="1"/>
    </xf>
    <xf numFmtId="0" fontId="18" fillId="12" borderId="80" xfId="0" applyFont="1" applyFill="1" applyBorder="1" applyAlignment="1">
      <alignment horizontal="center" vertical="center" shrinkToFit="1"/>
    </xf>
    <xf numFmtId="0" fontId="18" fillId="0" borderId="86" xfId="0" applyFont="1" applyBorder="1" applyAlignment="1">
      <alignment horizontal="center" vertical="center" shrinkToFit="1"/>
    </xf>
    <xf numFmtId="0" fontId="18" fillId="0" borderId="81" xfId="0" applyFont="1" applyBorder="1" applyAlignment="1">
      <alignment horizontal="center" vertical="center" shrinkToFit="1"/>
    </xf>
    <xf numFmtId="177" fontId="40" fillId="3" borderId="87" xfId="0" applyNumberFormat="1" applyFont="1" applyFill="1" applyBorder="1" applyAlignment="1">
      <alignment horizontal="center" vertical="center" shrinkToFit="1"/>
    </xf>
    <xf numFmtId="0" fontId="28" fillId="3" borderId="88" xfId="0" applyFont="1" applyFill="1" applyBorder="1" applyAlignment="1">
      <alignment horizontal="center" vertical="center" shrinkToFit="1"/>
    </xf>
    <xf numFmtId="0" fontId="10" fillId="3" borderId="89" xfId="0" applyFont="1" applyFill="1" applyBorder="1" applyAlignment="1">
      <alignment horizontal="center" vertical="center" shrinkToFit="1"/>
    </xf>
    <xf numFmtId="178" fontId="47" fillId="0" borderId="87" xfId="0" applyNumberFormat="1" applyFont="1" applyBorder="1" applyAlignment="1" applyProtection="1">
      <alignment horizontal="center" vertical="center" shrinkToFit="1"/>
      <protection locked="0"/>
    </xf>
    <xf numFmtId="49" fontId="47" fillId="32" borderId="90" xfId="0" applyNumberFormat="1" applyFont="1" applyFill="1" applyBorder="1" applyAlignment="1" applyProtection="1">
      <alignment horizontal="center" vertical="center" shrinkToFit="1"/>
      <protection locked="0"/>
    </xf>
    <xf numFmtId="178" fontId="47" fillId="0" borderId="88" xfId="0" applyNumberFormat="1" applyFont="1" applyBorder="1" applyAlignment="1" applyProtection="1">
      <alignment horizontal="center" vertical="center" shrinkToFit="1"/>
      <protection locked="0"/>
    </xf>
    <xf numFmtId="178" fontId="47" fillId="34" borderId="88" xfId="0" applyNumberFormat="1" applyFont="1" applyFill="1" applyBorder="1" applyAlignment="1" applyProtection="1">
      <alignment horizontal="center" vertical="center" shrinkToFit="1"/>
      <protection locked="0"/>
    </xf>
    <xf numFmtId="49" fontId="47" fillId="0" borderId="90" xfId="0" applyNumberFormat="1" applyFont="1" applyBorder="1" applyAlignment="1" applyProtection="1">
      <alignment horizontal="center" vertical="center" shrinkToFit="1"/>
      <protection locked="0"/>
    </xf>
    <xf numFmtId="49" fontId="47" fillId="0" borderId="87" xfId="0" applyNumberFormat="1" applyFont="1" applyBorder="1" applyAlignment="1" applyProtection="1">
      <alignment horizontal="center" vertical="center" shrinkToFit="1"/>
      <protection locked="0"/>
    </xf>
    <xf numFmtId="0" fontId="47" fillId="0" borderId="90" xfId="0" applyFont="1" applyBorder="1" applyAlignment="1" applyProtection="1">
      <alignment horizontal="center" vertical="center" shrinkToFit="1"/>
      <protection locked="0"/>
    </xf>
    <xf numFmtId="0" fontId="24" fillId="11" borderId="88" xfId="0" applyFont="1" applyFill="1" applyBorder="1" applyAlignment="1">
      <alignment horizontal="center" vertical="center" shrinkToFit="1"/>
    </xf>
    <xf numFmtId="0" fontId="24" fillId="8" borderId="91" xfId="0" applyFont="1" applyFill="1" applyBorder="1" applyAlignment="1">
      <alignment horizontal="center" vertical="center" shrinkToFit="1"/>
    </xf>
    <xf numFmtId="0" fontId="24" fillId="6" borderId="88" xfId="0" applyFont="1" applyFill="1" applyBorder="1" applyAlignment="1">
      <alignment horizontal="center" vertical="center" shrinkToFit="1"/>
    </xf>
    <xf numFmtId="177" fontId="40" fillId="3" borderId="92" xfId="0" applyNumberFormat="1" applyFont="1" applyFill="1" applyBorder="1" applyAlignment="1">
      <alignment horizontal="center" vertical="center" shrinkToFit="1"/>
    </xf>
    <xf numFmtId="0" fontId="28" fillId="3" borderId="93" xfId="0" applyFont="1" applyFill="1" applyBorder="1" applyAlignment="1">
      <alignment horizontal="center" vertical="center" shrinkToFit="1"/>
    </xf>
    <xf numFmtId="178" fontId="21" fillId="0" borderId="88" xfId="0" applyNumberFormat="1" applyFont="1" applyBorder="1" applyAlignment="1" applyProtection="1">
      <alignment horizontal="center" vertical="center" shrinkToFit="1"/>
      <protection locked="0"/>
    </xf>
    <xf numFmtId="49" fontId="21" fillId="0" borderId="90" xfId="0" applyNumberFormat="1" applyFont="1" applyBorder="1" applyAlignment="1" applyProtection="1">
      <alignment horizontal="center" vertical="center" shrinkToFit="1"/>
      <protection locked="0"/>
    </xf>
    <xf numFmtId="178" fontId="10" fillId="0" borderId="88" xfId="0" applyNumberFormat="1" applyFont="1" applyBorder="1" applyAlignment="1" applyProtection="1">
      <alignment horizontal="center" vertical="center" shrinkToFit="1"/>
      <protection locked="0"/>
    </xf>
    <xf numFmtId="49" fontId="10" fillId="0" borderId="90" xfId="0" applyNumberFormat="1" applyFont="1" applyBorder="1" applyAlignment="1" applyProtection="1">
      <alignment horizontal="center" vertical="center" shrinkToFit="1"/>
      <protection locked="0"/>
    </xf>
    <xf numFmtId="49" fontId="10" fillId="0" borderId="88" xfId="0" applyNumberFormat="1" applyFont="1" applyBorder="1" applyAlignment="1" applyProtection="1">
      <alignment horizontal="center" vertical="center" shrinkToFit="1"/>
      <protection locked="0"/>
    </xf>
    <xf numFmtId="0" fontId="10" fillId="0" borderId="90" xfId="0" applyFont="1" applyBorder="1" applyAlignment="1" applyProtection="1">
      <alignment horizontal="center" vertical="center" shrinkToFit="1"/>
      <protection locked="0"/>
    </xf>
    <xf numFmtId="178" fontId="10" fillId="0" borderId="87" xfId="0" applyNumberFormat="1" applyFont="1" applyBorder="1" applyAlignment="1" applyProtection="1">
      <alignment horizontal="center" vertical="center" shrinkToFit="1"/>
      <protection locked="0"/>
    </xf>
    <xf numFmtId="49" fontId="10" fillId="0" borderId="87" xfId="0" applyNumberFormat="1" applyFont="1" applyBorder="1" applyAlignment="1" applyProtection="1">
      <alignment horizontal="center" vertical="center" shrinkToFit="1"/>
      <protection locked="0"/>
    </xf>
    <xf numFmtId="0" fontId="18" fillId="11" borderId="87" xfId="0" applyFont="1" applyFill="1" applyBorder="1" applyAlignment="1">
      <alignment horizontal="center" vertical="center" shrinkToFit="1"/>
    </xf>
    <xf numFmtId="0" fontId="18" fillId="17" borderId="91" xfId="0" applyFont="1" applyFill="1" applyBorder="1" applyAlignment="1">
      <alignment horizontal="center" vertical="center" shrinkToFit="1"/>
    </xf>
    <xf numFmtId="0" fontId="18" fillId="12" borderId="88" xfId="0" applyFont="1" applyFill="1" applyBorder="1" applyAlignment="1">
      <alignment horizontal="center" vertical="center" shrinkToFit="1"/>
    </xf>
    <xf numFmtId="0" fontId="18" fillId="0" borderId="94" xfId="0" applyFont="1" applyBorder="1" applyAlignment="1">
      <alignment horizontal="center" vertical="center" shrinkToFit="1"/>
    </xf>
    <xf numFmtId="0" fontId="18" fillId="0" borderId="89" xfId="0" applyFont="1" applyBorder="1" applyAlignment="1">
      <alignment horizontal="center" vertical="center" shrinkToFit="1"/>
    </xf>
    <xf numFmtId="178" fontId="5" fillId="0" borderId="84" xfId="0" applyNumberFormat="1" applyFont="1" applyBorder="1" applyAlignment="1" applyProtection="1">
      <alignment horizontal="center" vertical="center" shrinkToFit="1"/>
      <protection locked="0"/>
    </xf>
    <xf numFmtId="49" fontId="5" fillId="0" borderId="82" xfId="0" applyNumberFormat="1" applyFont="1" applyBorder="1" applyAlignment="1" applyProtection="1">
      <alignment horizontal="center" vertical="center" shrinkToFit="1"/>
      <protection locked="0"/>
    </xf>
    <xf numFmtId="178" fontId="5" fillId="0" borderId="80" xfId="0" applyNumberFormat="1" applyFont="1" applyBorder="1" applyAlignment="1" applyProtection="1">
      <alignment horizontal="center" vertical="center" shrinkToFit="1"/>
      <protection locked="0"/>
    </xf>
    <xf numFmtId="178" fontId="5" fillId="0" borderId="92" xfId="0" applyNumberFormat="1" applyFont="1" applyBorder="1" applyAlignment="1" applyProtection="1">
      <alignment horizontal="center" vertical="center" shrinkToFit="1"/>
      <protection locked="0"/>
    </xf>
    <xf numFmtId="49" fontId="5" fillId="0" borderId="90" xfId="0" applyNumberFormat="1" applyFont="1" applyBorder="1" applyAlignment="1" applyProtection="1">
      <alignment horizontal="center" vertical="center" shrinkToFit="1"/>
      <protection locked="0"/>
    </xf>
    <xf numFmtId="178" fontId="5" fillId="0" borderId="88" xfId="0" applyNumberFormat="1" applyFont="1" applyBorder="1" applyAlignment="1" applyProtection="1">
      <alignment horizontal="center" vertical="center" shrinkToFit="1"/>
      <protection locked="0"/>
    </xf>
    <xf numFmtId="49" fontId="2" fillId="32" borderId="90" xfId="0" applyNumberFormat="1" applyFont="1" applyFill="1" applyBorder="1" applyAlignment="1" applyProtection="1">
      <alignment horizontal="center" vertical="center" shrinkToFit="1"/>
      <protection locked="0"/>
    </xf>
    <xf numFmtId="178" fontId="2" fillId="0" borderId="88" xfId="0" applyNumberFormat="1" applyFont="1" applyBorder="1" applyAlignment="1" applyProtection="1">
      <alignment horizontal="center" vertical="center" shrinkToFit="1"/>
      <protection locked="0"/>
    </xf>
    <xf numFmtId="178" fontId="12" fillId="0" borderId="88" xfId="0" applyNumberFormat="1" applyFont="1" applyBorder="1" applyAlignment="1" applyProtection="1">
      <alignment horizontal="center" vertical="center" shrinkToFit="1"/>
      <protection locked="0"/>
    </xf>
    <xf numFmtId="49" fontId="12" fillId="0" borderId="90" xfId="0" applyNumberFormat="1" applyFont="1" applyBorder="1" applyAlignment="1" applyProtection="1">
      <alignment horizontal="center" vertical="center" shrinkToFit="1"/>
      <protection locked="0"/>
    </xf>
    <xf numFmtId="49" fontId="21" fillId="32" borderId="90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90" xfId="0" applyNumberFormat="1" applyFont="1" applyBorder="1" applyAlignment="1" applyProtection="1">
      <alignment horizontal="center" vertical="center" shrinkToFit="1"/>
      <protection locked="0"/>
    </xf>
    <xf numFmtId="49" fontId="12" fillId="32" borderId="90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88" xfId="0" applyNumberFormat="1" applyFont="1" applyBorder="1" applyAlignment="1" applyProtection="1">
      <alignment horizontal="center" vertical="center" shrinkToFit="1"/>
      <protection locked="0"/>
    </xf>
    <xf numFmtId="0" fontId="2" fillId="0" borderId="90" xfId="0" applyFont="1" applyBorder="1" applyAlignment="1" applyProtection="1">
      <alignment horizontal="center" vertical="center" shrinkToFit="1"/>
      <protection locked="0"/>
    </xf>
    <xf numFmtId="177" fontId="40" fillId="3" borderId="95" xfId="0" applyNumberFormat="1" applyFont="1" applyFill="1" applyBorder="1" applyAlignment="1">
      <alignment horizontal="center" vertical="center" shrinkToFit="1"/>
    </xf>
    <xf numFmtId="0" fontId="15" fillId="3" borderId="96" xfId="0" applyFont="1" applyFill="1" applyBorder="1" applyAlignment="1">
      <alignment horizontal="center" vertical="center" shrinkToFit="1"/>
    </xf>
    <xf numFmtId="0" fontId="10" fillId="3" borderId="97" xfId="0" applyFont="1" applyFill="1" applyBorder="1" applyAlignment="1">
      <alignment horizontal="center" vertical="center" shrinkToFit="1"/>
    </xf>
    <xf numFmtId="178" fontId="10" fillId="0" borderId="96" xfId="0" applyNumberFormat="1" applyFont="1" applyBorder="1" applyAlignment="1" applyProtection="1">
      <alignment horizontal="center" vertical="center" shrinkToFit="1"/>
      <protection locked="0"/>
    </xf>
    <xf numFmtId="49" fontId="50" fillId="32" borderId="98" xfId="0" applyNumberFormat="1" applyFont="1" applyFill="1" applyBorder="1" applyAlignment="1" applyProtection="1">
      <alignment horizontal="center" vertical="center" shrinkToFit="1"/>
      <protection locked="0"/>
    </xf>
    <xf numFmtId="178" fontId="2" fillId="0" borderId="96" xfId="0" applyNumberFormat="1" applyFont="1" applyBorder="1" applyAlignment="1" applyProtection="1">
      <alignment horizontal="center" vertical="center" shrinkToFit="1"/>
      <protection locked="0"/>
    </xf>
    <xf numFmtId="178" fontId="12" fillId="0" borderId="96" xfId="0" applyNumberFormat="1" applyFont="1" applyBorder="1" applyAlignment="1" applyProtection="1">
      <alignment horizontal="center" vertical="center" shrinkToFit="1"/>
      <protection locked="0"/>
    </xf>
    <xf numFmtId="49" fontId="50" fillId="0" borderId="98" xfId="0" applyNumberFormat="1" applyFont="1" applyBorder="1" applyAlignment="1" applyProtection="1">
      <alignment horizontal="center" vertical="center" shrinkToFit="1"/>
      <protection locked="0"/>
    </xf>
    <xf numFmtId="178" fontId="21" fillId="0" borderId="96" xfId="0" applyNumberFormat="1" applyFont="1" applyBorder="1" applyAlignment="1" applyProtection="1">
      <alignment horizontal="center" vertical="center" shrinkToFit="1"/>
      <protection locked="0"/>
    </xf>
    <xf numFmtId="49" fontId="49" fillId="32" borderId="98" xfId="0" applyNumberFormat="1" applyFont="1" applyFill="1" applyBorder="1" applyAlignment="1" applyProtection="1">
      <alignment horizontal="center" vertical="center" shrinkToFit="1"/>
      <protection locked="0"/>
    </xf>
    <xf numFmtId="49" fontId="12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2" fillId="32" borderId="98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98" xfId="0" applyNumberFormat="1" applyFont="1" applyBorder="1" applyAlignment="1" applyProtection="1">
      <alignment horizontal="center" vertical="center" shrinkToFit="1"/>
      <protection locked="0"/>
    </xf>
    <xf numFmtId="49" fontId="10" fillId="0" borderId="96" xfId="0" applyNumberFormat="1" applyFont="1" applyBorder="1" applyAlignment="1" applyProtection="1">
      <alignment horizontal="center" vertical="center" shrinkToFit="1"/>
      <protection locked="0"/>
    </xf>
    <xf numFmtId="0" fontId="10" fillId="0" borderId="98" xfId="0" applyFont="1" applyBorder="1" applyAlignment="1" applyProtection="1">
      <alignment horizontal="center" vertical="center" shrinkToFit="1"/>
      <protection locked="0"/>
    </xf>
    <xf numFmtId="0" fontId="24" fillId="11" borderId="96" xfId="0" applyFont="1" applyFill="1" applyBorder="1" applyAlignment="1">
      <alignment horizontal="center" vertical="center" shrinkToFit="1"/>
    </xf>
    <xf numFmtId="0" fontId="24" fillId="8" borderId="99" xfId="0" applyFont="1" applyFill="1" applyBorder="1" applyAlignment="1">
      <alignment horizontal="center" vertical="center" shrinkToFit="1"/>
    </xf>
    <xf numFmtId="0" fontId="24" fillId="6" borderId="96" xfId="0" applyFont="1" applyFill="1" applyBorder="1" applyAlignment="1">
      <alignment horizontal="center" vertical="center" shrinkToFit="1"/>
    </xf>
    <xf numFmtId="177" fontId="40" fillId="3" borderId="100" xfId="0" applyNumberFormat="1" applyFont="1" applyFill="1" applyBorder="1" applyAlignment="1">
      <alignment horizontal="center" vertical="center" shrinkToFit="1"/>
    </xf>
    <xf numFmtId="0" fontId="15" fillId="3" borderId="101" xfId="0" applyFont="1" applyFill="1" applyBorder="1" applyAlignment="1">
      <alignment horizontal="center" vertical="center" shrinkToFit="1"/>
    </xf>
    <xf numFmtId="49" fontId="21" fillId="0" borderId="98" xfId="0" applyNumberFormat="1" applyFont="1" applyBorder="1" applyAlignment="1" applyProtection="1">
      <alignment horizontal="center" vertical="center" shrinkToFit="1"/>
      <protection locked="0"/>
    </xf>
    <xf numFmtId="49" fontId="2" fillId="0" borderId="96" xfId="0" applyNumberFormat="1" applyFont="1" applyBorder="1" applyAlignment="1" applyProtection="1">
      <alignment horizontal="center" vertical="center" shrinkToFit="1"/>
      <protection locked="0"/>
    </xf>
    <xf numFmtId="0" fontId="2" fillId="0" borderId="98" xfId="0" applyFont="1" applyBorder="1" applyAlignment="1" applyProtection="1">
      <alignment horizontal="center" vertical="center" shrinkToFit="1"/>
      <protection locked="0"/>
    </xf>
    <xf numFmtId="178" fontId="10" fillId="0" borderId="95" xfId="0" applyNumberFormat="1" applyFont="1" applyBorder="1" applyAlignment="1" applyProtection="1">
      <alignment horizontal="center" vertical="center" shrinkToFit="1"/>
      <protection locked="0"/>
    </xf>
    <xf numFmtId="49" fontId="10" fillId="0" borderId="98" xfId="0" applyNumberFormat="1" applyFont="1" applyBorder="1" applyAlignment="1" applyProtection="1">
      <alignment horizontal="center" vertical="center" shrinkToFit="1"/>
      <protection locked="0"/>
    </xf>
    <xf numFmtId="0" fontId="18" fillId="11" borderId="95" xfId="0" applyFont="1" applyFill="1" applyBorder="1" applyAlignment="1">
      <alignment horizontal="center" vertical="center" shrinkToFit="1"/>
    </xf>
    <xf numFmtId="0" fontId="18" fillId="17" borderId="99" xfId="0" applyFont="1" applyFill="1" applyBorder="1" applyAlignment="1">
      <alignment horizontal="center" vertical="center" shrinkToFit="1"/>
    </xf>
    <xf numFmtId="0" fontId="18" fillId="12" borderId="96" xfId="0" applyFont="1" applyFill="1" applyBorder="1" applyAlignment="1">
      <alignment horizontal="center" vertical="center" shrinkToFit="1"/>
    </xf>
    <xf numFmtId="0" fontId="18" fillId="0" borderId="102" xfId="0" applyFont="1" applyBorder="1" applyAlignment="1">
      <alignment horizontal="center" vertical="center" shrinkToFit="1"/>
    </xf>
    <xf numFmtId="0" fontId="18" fillId="0" borderId="97" xfId="0" applyFont="1" applyBorder="1" applyAlignment="1">
      <alignment horizontal="center" vertical="center" shrinkToFit="1"/>
    </xf>
    <xf numFmtId="178" fontId="5" fillId="0" borderId="100" xfId="0" applyNumberFormat="1" applyFont="1" applyBorder="1" applyAlignment="1" applyProtection="1">
      <alignment horizontal="center" vertical="center" shrinkToFit="1"/>
      <protection locked="0"/>
    </xf>
    <xf numFmtId="49" fontId="5" fillId="0" borderId="98" xfId="0" applyNumberFormat="1" applyFont="1" applyBorder="1" applyAlignment="1" applyProtection="1">
      <alignment horizontal="center" vertical="center" shrinkToFit="1"/>
      <protection locked="0"/>
    </xf>
    <xf numFmtId="178" fontId="5" fillId="0" borderId="96" xfId="0" applyNumberFormat="1" applyFont="1" applyBorder="1" applyAlignment="1" applyProtection="1">
      <alignment horizontal="center" vertical="center" shrinkToFit="1"/>
      <protection locked="0"/>
    </xf>
    <xf numFmtId="178" fontId="12" fillId="34" borderId="88" xfId="0" applyNumberFormat="1" applyFont="1" applyFill="1" applyBorder="1" applyAlignment="1" applyProtection="1">
      <alignment horizontal="center" vertical="center" shrinkToFit="1"/>
      <protection locked="0"/>
    </xf>
    <xf numFmtId="178" fontId="2" fillId="0" borderId="87" xfId="0" applyNumberFormat="1" applyFont="1" applyBorder="1" applyAlignment="1" applyProtection="1">
      <alignment horizontal="center" vertical="center" shrinkToFit="1"/>
      <protection locked="0"/>
    </xf>
    <xf numFmtId="178" fontId="21" fillId="0" borderId="87" xfId="0" applyNumberFormat="1" applyFont="1" applyBorder="1" applyAlignment="1" applyProtection="1">
      <alignment horizontal="center" vertical="center" shrinkToFit="1"/>
      <protection locked="0"/>
    </xf>
    <xf numFmtId="49" fontId="21" fillId="34" borderId="88" xfId="0" applyNumberFormat="1" applyFont="1" applyFill="1" applyBorder="1" applyAlignment="1" applyProtection="1">
      <alignment horizontal="center" vertical="center" shrinkToFit="1"/>
      <protection locked="0"/>
    </xf>
    <xf numFmtId="0" fontId="21" fillId="32" borderId="90" xfId="0" applyFont="1" applyFill="1" applyBorder="1" applyAlignment="1" applyProtection="1">
      <alignment horizontal="center" vertical="center" shrinkToFit="1"/>
      <protection locked="0"/>
    </xf>
    <xf numFmtId="0" fontId="28" fillId="3" borderId="96" xfId="0" applyFont="1" applyFill="1" applyBorder="1" applyAlignment="1">
      <alignment horizontal="center" vertical="center" shrinkToFit="1"/>
    </xf>
    <xf numFmtId="49" fontId="2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21" fillId="33" borderId="98" xfId="0" applyNumberFormat="1" applyFont="1" applyFill="1" applyBorder="1" applyAlignment="1" applyProtection="1">
      <alignment horizontal="center" vertical="center" shrinkToFit="1"/>
      <protection locked="0"/>
    </xf>
    <xf numFmtId="178" fontId="12" fillId="34" borderId="96" xfId="0" applyNumberFormat="1" applyFont="1" applyFill="1" applyBorder="1" applyAlignment="1" applyProtection="1">
      <alignment horizontal="center" vertical="center" shrinkToFit="1"/>
      <protection locked="0"/>
    </xf>
    <xf numFmtId="178" fontId="2" fillId="0" borderId="95" xfId="0" applyNumberFormat="1" applyFont="1" applyBorder="1" applyAlignment="1" applyProtection="1">
      <alignment horizontal="center" vertical="center" shrinkToFit="1"/>
      <protection locked="0"/>
    </xf>
    <xf numFmtId="178" fontId="21" fillId="0" borderId="95" xfId="0" applyNumberFormat="1" applyFont="1" applyBorder="1" applyAlignment="1" applyProtection="1">
      <alignment horizontal="center" vertical="center" shrinkToFit="1"/>
      <protection locked="0"/>
    </xf>
    <xf numFmtId="0" fontId="28" fillId="3" borderId="101" xfId="0" applyFont="1" applyFill="1" applyBorder="1" applyAlignment="1">
      <alignment horizontal="center" vertical="center" shrinkToFit="1"/>
    </xf>
    <xf numFmtId="49" fontId="50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21" fillId="34" borderId="96" xfId="0" applyNumberFormat="1" applyFont="1" applyFill="1" applyBorder="1" applyAlignment="1" applyProtection="1">
      <alignment horizontal="center" vertical="center" shrinkToFit="1"/>
      <protection locked="0"/>
    </xf>
    <xf numFmtId="0" fontId="50" fillId="32" borderId="98" xfId="0" applyFont="1" applyFill="1" applyBorder="1" applyAlignment="1" applyProtection="1">
      <alignment horizontal="center" vertical="center" shrinkToFit="1"/>
      <protection locked="0"/>
    </xf>
    <xf numFmtId="49" fontId="49" fillId="33" borderId="98" xfId="0" applyNumberFormat="1" applyFont="1" applyFill="1" applyBorder="1" applyAlignment="1" applyProtection="1">
      <alignment horizontal="center" vertical="center" shrinkToFit="1"/>
      <protection locked="0"/>
    </xf>
    <xf numFmtId="178" fontId="2" fillId="34" borderId="88" xfId="0" applyNumberFormat="1" applyFont="1" applyFill="1" applyBorder="1" applyAlignment="1" applyProtection="1">
      <alignment horizontal="center" vertical="center" shrinkToFit="1"/>
      <protection locked="0"/>
    </xf>
    <xf numFmtId="49" fontId="12" fillId="32" borderId="98" xfId="0" applyNumberFormat="1" applyFont="1" applyFill="1" applyBorder="1" applyAlignment="1" applyProtection="1">
      <alignment horizontal="center" vertical="center" shrinkToFit="1"/>
      <protection locked="0"/>
    </xf>
    <xf numFmtId="49" fontId="49" fillId="0" borderId="98" xfId="0" applyNumberFormat="1" applyFont="1" applyBorder="1" applyAlignment="1" applyProtection="1">
      <alignment horizontal="center" vertical="center" shrinkToFit="1"/>
      <protection locked="0"/>
    </xf>
    <xf numFmtId="0" fontId="21" fillId="32" borderId="98" xfId="0" applyFont="1" applyFill="1" applyBorder="1" applyAlignment="1" applyProtection="1">
      <alignment horizontal="center" vertical="center" shrinkToFit="1"/>
      <protection locked="0"/>
    </xf>
    <xf numFmtId="178" fontId="2" fillId="34" borderId="96" xfId="0" applyNumberFormat="1" applyFont="1" applyFill="1" applyBorder="1" applyAlignment="1" applyProtection="1">
      <alignment horizontal="center" vertical="center" shrinkToFit="1"/>
      <protection locked="0"/>
    </xf>
    <xf numFmtId="49" fontId="12" fillId="0" borderId="98" xfId="0" applyNumberFormat="1" applyFont="1" applyBorder="1" applyAlignment="1" applyProtection="1">
      <alignment horizontal="center" vertical="center" shrinkToFit="1"/>
      <protection locked="0"/>
    </xf>
    <xf numFmtId="49" fontId="48" fillId="0" borderId="98" xfId="0" applyNumberFormat="1" applyFont="1" applyBorder="1" applyAlignment="1" applyProtection="1">
      <alignment horizontal="center" vertical="center" shrinkToFit="1"/>
      <protection locked="0"/>
    </xf>
    <xf numFmtId="49" fontId="12" fillId="34" borderId="88" xfId="0" applyNumberFormat="1" applyFont="1" applyFill="1" applyBorder="1" applyAlignment="1" applyProtection="1">
      <alignment horizontal="center" vertical="center" shrinkToFit="1"/>
      <protection locked="0"/>
    </xf>
    <xf numFmtId="0" fontId="12" fillId="32" borderId="90" xfId="0" applyFont="1" applyFill="1" applyBorder="1" applyAlignment="1" applyProtection="1">
      <alignment horizontal="center" vertical="center" shrinkToFit="1"/>
      <protection locked="0"/>
    </xf>
    <xf numFmtId="49" fontId="48" fillId="0" borderId="90" xfId="0" applyNumberFormat="1" applyFont="1" applyBorder="1" applyAlignment="1" applyProtection="1">
      <alignment horizontal="center" vertical="center" shrinkToFit="1"/>
      <protection locked="0"/>
    </xf>
    <xf numFmtId="49" fontId="12" fillId="34" borderId="96" xfId="0" applyNumberFormat="1" applyFont="1" applyFill="1" applyBorder="1" applyAlignment="1" applyProtection="1">
      <alignment horizontal="center" vertical="center" shrinkToFit="1"/>
      <protection locked="0"/>
    </xf>
    <xf numFmtId="0" fontId="49" fillId="32" borderId="98" xfId="0" applyFont="1" applyFill="1" applyBorder="1" applyAlignment="1" applyProtection="1">
      <alignment horizontal="center" vertical="center" shrinkToFit="1"/>
      <protection locked="0"/>
    </xf>
    <xf numFmtId="178" fontId="12" fillId="35" borderId="96" xfId="0" applyNumberFormat="1" applyFont="1" applyFill="1" applyBorder="1" applyAlignment="1" applyProtection="1">
      <alignment horizontal="center" vertical="center" shrinkToFit="1"/>
      <protection locked="0"/>
    </xf>
    <xf numFmtId="49" fontId="10" fillId="0" borderId="95" xfId="0" applyNumberFormat="1" applyFont="1" applyBorder="1" applyAlignment="1" applyProtection="1">
      <alignment horizontal="center" vertical="center" shrinkToFit="1"/>
      <protection locked="0"/>
    </xf>
    <xf numFmtId="0" fontId="12" fillId="32" borderId="98" xfId="0" applyFont="1" applyFill="1" applyBorder="1" applyAlignment="1" applyProtection="1">
      <alignment horizontal="center" vertical="center" shrinkToFit="1"/>
      <protection locked="0"/>
    </xf>
    <xf numFmtId="49" fontId="2" fillId="34" borderId="88" xfId="0" applyNumberFormat="1" applyFont="1" applyFill="1" applyBorder="1" applyAlignment="1" applyProtection="1">
      <alignment horizontal="center" vertical="center" shrinkToFit="1"/>
      <protection locked="0"/>
    </xf>
    <xf numFmtId="0" fontId="2" fillId="32" borderId="90" xfId="0" applyFont="1" applyFill="1" applyBorder="1" applyAlignment="1" applyProtection="1">
      <alignment horizontal="center" vertical="center" shrinkToFit="1"/>
      <protection locked="0"/>
    </xf>
    <xf numFmtId="0" fontId="14" fillId="3" borderId="96" xfId="0" applyFont="1" applyFill="1" applyBorder="1" applyAlignment="1">
      <alignment horizontal="center" vertical="center" shrinkToFit="1"/>
    </xf>
    <xf numFmtId="0" fontId="14" fillId="3" borderId="101" xfId="0" applyFont="1" applyFill="1" applyBorder="1" applyAlignment="1">
      <alignment horizontal="center" vertical="center" shrinkToFit="1"/>
    </xf>
    <xf numFmtId="49" fontId="2" fillId="34" borderId="96" xfId="0" applyNumberFormat="1" applyFont="1" applyFill="1" applyBorder="1" applyAlignment="1" applyProtection="1">
      <alignment horizontal="center" vertical="center" shrinkToFit="1"/>
      <protection locked="0"/>
    </xf>
    <xf numFmtId="0" fontId="2" fillId="32" borderId="98" xfId="0" applyFont="1" applyFill="1" applyBorder="1" applyAlignment="1" applyProtection="1">
      <alignment horizontal="center" vertical="center" shrinkToFit="1"/>
      <protection locked="0"/>
    </xf>
    <xf numFmtId="178" fontId="2" fillId="0" borderId="92" xfId="0" applyNumberFormat="1" applyFont="1" applyBorder="1" applyAlignment="1" applyProtection="1">
      <alignment horizontal="center" vertical="center" shrinkToFit="1"/>
      <protection locked="0"/>
    </xf>
    <xf numFmtId="178" fontId="2" fillId="0" borderId="100" xfId="0" applyNumberFormat="1" applyFont="1" applyBorder="1" applyAlignment="1" applyProtection="1">
      <alignment horizontal="center" vertical="center" shrinkToFit="1"/>
      <protection locked="0"/>
    </xf>
    <xf numFmtId="49" fontId="2" fillId="35" borderId="96" xfId="0" applyNumberFormat="1" applyFont="1" applyFill="1" applyBorder="1" applyAlignment="1" applyProtection="1">
      <alignment horizontal="center" vertical="center" shrinkToFit="1"/>
      <protection locked="0"/>
    </xf>
    <xf numFmtId="0" fontId="49" fillId="33" borderId="98" xfId="0" applyFont="1" applyFill="1" applyBorder="1" applyAlignment="1" applyProtection="1">
      <alignment horizontal="center" vertical="center" shrinkToFit="1"/>
      <protection locked="0"/>
    </xf>
    <xf numFmtId="49" fontId="49" fillId="32" borderId="90" xfId="0" applyNumberFormat="1" applyFont="1" applyFill="1" applyBorder="1" applyAlignment="1" applyProtection="1">
      <alignment horizontal="center" vertical="center" shrinkToFit="1"/>
      <protection locked="0"/>
    </xf>
    <xf numFmtId="178" fontId="2" fillId="35" borderId="96" xfId="0" applyNumberFormat="1" applyFont="1" applyFill="1" applyBorder="1" applyAlignment="1" applyProtection="1">
      <alignment horizontal="center" vertical="center" shrinkToFit="1"/>
      <protection locked="0"/>
    </xf>
    <xf numFmtId="49" fontId="10" fillId="34" borderId="87" xfId="0" applyNumberFormat="1" applyFont="1" applyFill="1" applyBorder="1" applyAlignment="1" applyProtection="1">
      <alignment horizontal="center" vertical="center" shrinkToFit="1"/>
      <protection locked="0"/>
    </xf>
    <xf numFmtId="0" fontId="10" fillId="32" borderId="90" xfId="0" applyFont="1" applyFill="1" applyBorder="1" applyAlignment="1" applyProtection="1">
      <alignment horizontal="center" vertical="center" shrinkToFit="1"/>
      <protection locked="0"/>
    </xf>
    <xf numFmtId="178" fontId="47" fillId="0" borderId="95" xfId="0" applyNumberFormat="1" applyFont="1" applyBorder="1" applyAlignment="1" applyProtection="1">
      <alignment horizontal="center" vertical="center" shrinkToFit="1"/>
      <protection locked="0"/>
    </xf>
    <xf numFmtId="49" fontId="10" fillId="34" borderId="95" xfId="0" applyNumberFormat="1" applyFont="1" applyFill="1" applyBorder="1" applyAlignment="1" applyProtection="1">
      <alignment horizontal="center" vertical="center" shrinkToFit="1"/>
      <protection locked="0"/>
    </xf>
    <xf numFmtId="0" fontId="10" fillId="32" borderId="98" xfId="0" applyFont="1" applyFill="1" applyBorder="1" applyAlignment="1" applyProtection="1">
      <alignment horizontal="center" vertical="center" shrinkToFit="1"/>
      <protection locked="0"/>
    </xf>
    <xf numFmtId="0" fontId="2" fillId="33" borderId="98" xfId="0" applyFont="1" applyFill="1" applyBorder="1" applyAlignment="1" applyProtection="1">
      <alignment horizontal="center" vertical="center" shrinkToFit="1"/>
      <protection locked="0"/>
    </xf>
    <xf numFmtId="49" fontId="21" fillId="32" borderId="98" xfId="0" applyNumberFormat="1" applyFont="1" applyFill="1" applyBorder="1" applyAlignment="1" applyProtection="1">
      <alignment horizontal="center" vertical="center" shrinkToFit="1"/>
      <protection locked="0"/>
    </xf>
    <xf numFmtId="0" fontId="49" fillId="0" borderId="98" xfId="0" applyFont="1" applyBorder="1" applyAlignment="1" applyProtection="1">
      <alignment horizontal="center" vertical="center" shrinkToFit="1"/>
      <protection locked="0"/>
    </xf>
    <xf numFmtId="178" fontId="21" fillId="0" borderId="92" xfId="0" applyNumberFormat="1" applyFont="1" applyBorder="1" applyAlignment="1" applyProtection="1">
      <alignment horizontal="center" vertical="center" shrinkToFit="1"/>
      <protection locked="0"/>
    </xf>
    <xf numFmtId="0" fontId="51" fillId="0" borderId="90" xfId="0" applyFont="1" applyBorder="1" applyAlignment="1">
      <alignment horizontal="center" vertical="center" shrinkToFit="1"/>
    </xf>
    <xf numFmtId="0" fontId="51" fillId="32" borderId="90" xfId="0" applyFont="1" applyFill="1" applyBorder="1" applyAlignment="1">
      <alignment horizontal="center" vertical="center" shrinkToFit="1"/>
    </xf>
    <xf numFmtId="49" fontId="52" fillId="0" borderId="98" xfId="0" applyNumberFormat="1" applyFont="1" applyBorder="1" applyAlignment="1" applyProtection="1">
      <alignment horizontal="center" vertical="center" shrinkToFit="1"/>
      <protection locked="0"/>
    </xf>
    <xf numFmtId="49" fontId="52" fillId="32" borderId="98" xfId="0" applyNumberFormat="1" applyFont="1" applyFill="1" applyBorder="1" applyAlignment="1" applyProtection="1">
      <alignment horizontal="center" vertical="center" shrinkToFit="1"/>
      <protection locked="0"/>
    </xf>
    <xf numFmtId="49" fontId="51" fillId="32" borderId="90" xfId="0" applyNumberFormat="1" applyFont="1" applyFill="1" applyBorder="1" applyAlignment="1" applyProtection="1">
      <alignment horizontal="center" vertical="center" shrinkToFit="1"/>
      <protection locked="0"/>
    </xf>
    <xf numFmtId="49" fontId="51" fillId="33" borderId="98" xfId="0" applyNumberFormat="1" applyFont="1" applyFill="1" applyBorder="1" applyAlignment="1" applyProtection="1">
      <alignment horizontal="center" vertical="center" shrinkToFit="1"/>
      <protection locked="0"/>
    </xf>
    <xf numFmtId="178" fontId="5" fillId="34" borderId="88" xfId="0" applyNumberFormat="1" applyFont="1" applyFill="1" applyBorder="1" applyAlignment="1" applyProtection="1">
      <alignment horizontal="center" vertical="center" shrinkToFit="1"/>
      <protection locked="0"/>
    </xf>
    <xf numFmtId="49" fontId="5" fillId="32" borderId="90" xfId="0" applyNumberFormat="1" applyFont="1" applyFill="1" applyBorder="1" applyAlignment="1" applyProtection="1">
      <alignment horizontal="center" vertical="center" shrinkToFit="1"/>
      <protection locked="0"/>
    </xf>
    <xf numFmtId="178" fontId="5" fillId="35" borderId="96" xfId="0" applyNumberFormat="1" applyFont="1" applyFill="1" applyBorder="1" applyAlignment="1" applyProtection="1">
      <alignment horizontal="center" vertical="center" shrinkToFit="1"/>
      <protection locked="0"/>
    </xf>
    <xf numFmtId="178" fontId="47" fillId="34" borderId="87" xfId="0" applyNumberFormat="1" applyFont="1" applyFill="1" applyBorder="1" applyAlignment="1" applyProtection="1">
      <alignment horizontal="center" vertical="center" shrinkToFit="1"/>
      <protection locked="0"/>
    </xf>
    <xf numFmtId="49" fontId="21" fillId="0" borderId="88" xfId="0" applyNumberFormat="1" applyFont="1" applyBorder="1" applyAlignment="1" applyProtection="1">
      <alignment horizontal="center" vertical="center" shrinkToFit="1"/>
      <protection locked="0"/>
    </xf>
    <xf numFmtId="0" fontId="21" fillId="0" borderId="90" xfId="0" applyFont="1" applyBorder="1" applyAlignment="1" applyProtection="1">
      <alignment horizontal="center" vertical="center" shrinkToFit="1"/>
      <protection locked="0"/>
    </xf>
    <xf numFmtId="178" fontId="47" fillId="34" borderId="95" xfId="0" applyNumberFormat="1" applyFont="1" applyFill="1" applyBorder="1" applyAlignment="1" applyProtection="1">
      <alignment horizontal="center" vertical="center" shrinkToFit="1"/>
      <protection locked="0"/>
    </xf>
    <xf numFmtId="49" fontId="21" fillId="0" borderId="96" xfId="0" applyNumberFormat="1" applyFont="1" applyBorder="1" applyAlignment="1" applyProtection="1">
      <alignment horizontal="center" vertical="center" shrinkToFit="1"/>
      <protection locked="0"/>
    </xf>
    <xf numFmtId="0" fontId="21" fillId="0" borderId="98" xfId="0" applyFont="1" applyBorder="1" applyAlignment="1" applyProtection="1">
      <alignment horizontal="center" vertical="center" shrinkToFit="1"/>
      <protection locked="0"/>
    </xf>
    <xf numFmtId="49" fontId="53" fillId="33" borderId="98" xfId="0" applyNumberFormat="1" applyFont="1" applyFill="1" applyBorder="1" applyAlignment="1" applyProtection="1">
      <alignment horizontal="center" vertical="center" shrinkToFit="1"/>
      <protection locked="0"/>
    </xf>
    <xf numFmtId="0" fontId="28" fillId="32" borderId="90" xfId="0" applyFont="1" applyFill="1" applyBorder="1" applyAlignment="1" applyProtection="1">
      <alignment horizontal="center" vertical="center" shrinkToFit="1"/>
      <protection locked="0"/>
    </xf>
    <xf numFmtId="178" fontId="21" fillId="34" borderId="88" xfId="0" applyNumberFormat="1" applyFont="1" applyFill="1" applyBorder="1" applyAlignment="1" applyProtection="1">
      <alignment horizontal="center" vertical="center" shrinkToFit="1"/>
      <protection locked="0"/>
    </xf>
    <xf numFmtId="178" fontId="21" fillId="34" borderId="96" xfId="0" applyNumberFormat="1" applyFont="1" applyFill="1" applyBorder="1" applyAlignment="1" applyProtection="1">
      <alignment horizontal="center" vertical="center" shrinkToFit="1"/>
      <protection locked="0"/>
    </xf>
    <xf numFmtId="178" fontId="47" fillId="0" borderId="96" xfId="0" applyNumberFormat="1" applyFont="1" applyBorder="1" applyAlignment="1" applyProtection="1">
      <alignment horizontal="center" vertical="center" shrinkToFit="1"/>
      <protection locked="0"/>
    </xf>
    <xf numFmtId="49" fontId="47" fillId="0" borderId="98" xfId="0" applyNumberFormat="1" applyFont="1" applyBorder="1" applyAlignment="1" applyProtection="1">
      <alignment horizontal="center" vertical="center" shrinkToFit="1"/>
      <protection locked="0"/>
    </xf>
    <xf numFmtId="49" fontId="10" fillId="34" borderId="88" xfId="0" applyNumberFormat="1" applyFont="1" applyFill="1" applyBorder="1" applyAlignment="1" applyProtection="1">
      <alignment horizontal="center" vertical="center" shrinkToFit="1"/>
      <protection locked="0"/>
    </xf>
    <xf numFmtId="49" fontId="10" fillId="34" borderId="96" xfId="0" applyNumberFormat="1" applyFont="1" applyFill="1" applyBorder="1" applyAlignment="1" applyProtection="1">
      <alignment horizontal="center" vertical="center" shrinkToFit="1"/>
      <protection locked="0"/>
    </xf>
    <xf numFmtId="178" fontId="21" fillId="35" borderId="96" xfId="0" applyNumberFormat="1" applyFont="1" applyFill="1" applyBorder="1" applyAlignment="1" applyProtection="1">
      <alignment horizontal="center" vertical="center" shrinkToFit="1"/>
      <protection locked="0"/>
    </xf>
    <xf numFmtId="49" fontId="51" fillId="0" borderId="98" xfId="0" applyNumberFormat="1" applyFont="1" applyBorder="1" applyAlignment="1" applyProtection="1">
      <alignment horizontal="center" vertical="center" shrinkToFit="1"/>
      <protection locked="0"/>
    </xf>
    <xf numFmtId="49" fontId="18" fillId="0" borderId="90" xfId="0" applyNumberFormat="1" applyFont="1" applyBorder="1" applyAlignment="1" applyProtection="1">
      <alignment horizontal="center" vertical="center" shrinkToFit="1"/>
      <protection locked="0"/>
    </xf>
    <xf numFmtId="49" fontId="18" fillId="0" borderId="98" xfId="0" applyNumberFormat="1" applyFont="1" applyBorder="1" applyAlignment="1" applyProtection="1">
      <alignment horizontal="center" vertical="center" shrinkToFit="1"/>
      <protection locked="0"/>
    </xf>
    <xf numFmtId="49" fontId="47" fillId="32" borderId="98" xfId="0" applyNumberFormat="1" applyFont="1" applyFill="1" applyBorder="1" applyAlignment="1" applyProtection="1">
      <alignment horizontal="center" vertical="center" shrinkToFit="1"/>
      <protection locked="0"/>
    </xf>
    <xf numFmtId="178" fontId="21" fillId="0" borderId="100" xfId="0" applyNumberFormat="1" applyFont="1" applyBorder="1" applyAlignment="1" applyProtection="1">
      <alignment horizontal="center" vertical="center" shrinkToFit="1"/>
      <protection locked="0"/>
    </xf>
    <xf numFmtId="0" fontId="12" fillId="32" borderId="90" xfId="0" applyFont="1" applyFill="1" applyBorder="1" applyAlignment="1">
      <alignment horizontal="center" vertical="center" shrinkToFit="1"/>
    </xf>
    <xf numFmtId="0" fontId="21" fillId="0" borderId="90" xfId="0" applyFont="1" applyBorder="1" applyAlignment="1">
      <alignment horizontal="center" vertical="center" shrinkToFit="1"/>
    </xf>
    <xf numFmtId="0" fontId="12" fillId="0" borderId="90" xfId="0" applyFont="1" applyBorder="1" applyAlignment="1" applyProtection="1">
      <alignment horizontal="center" vertical="center" shrinkToFit="1"/>
      <protection locked="0"/>
    </xf>
    <xf numFmtId="0" fontId="12" fillId="0" borderId="98" xfId="0" applyFont="1" applyBorder="1" applyAlignment="1" applyProtection="1">
      <alignment horizontal="center" vertical="center" shrinkToFit="1"/>
      <protection locked="0"/>
    </xf>
    <xf numFmtId="49" fontId="55" fillId="32" borderId="90" xfId="0" applyNumberFormat="1" applyFont="1" applyFill="1" applyBorder="1" applyAlignment="1" applyProtection="1">
      <alignment horizontal="center" vertical="center" shrinkToFit="1"/>
      <protection locked="0"/>
    </xf>
    <xf numFmtId="0" fontId="21" fillId="32" borderId="90" xfId="0" applyFont="1" applyFill="1" applyBorder="1" applyAlignment="1">
      <alignment horizontal="center" vertical="center" shrinkToFit="1"/>
    </xf>
    <xf numFmtId="49" fontId="12" fillId="0" borderId="96" xfId="0" applyNumberFormat="1" applyFont="1" applyBorder="1" applyAlignment="1" applyProtection="1">
      <alignment horizontal="center" vertical="center" shrinkToFit="1"/>
      <protection locked="0"/>
    </xf>
    <xf numFmtId="0" fontId="12" fillId="33" borderId="98" xfId="0" applyFont="1" applyFill="1" applyBorder="1" applyAlignment="1" applyProtection="1">
      <alignment horizontal="center" vertical="center" shrinkToFit="1"/>
      <protection locked="0"/>
    </xf>
    <xf numFmtId="49" fontId="12" fillId="0" borderId="88" xfId="0" applyNumberFormat="1" applyFont="1" applyBorder="1" applyAlignment="1" applyProtection="1">
      <alignment horizontal="center" vertical="center" shrinkToFit="1"/>
      <protection locked="0"/>
    </xf>
    <xf numFmtId="49" fontId="12" fillId="35" borderId="96" xfId="0" applyNumberFormat="1" applyFont="1" applyFill="1" applyBorder="1" applyAlignment="1" applyProtection="1">
      <alignment horizontal="center" vertical="center" shrinkToFit="1"/>
      <protection locked="0"/>
    </xf>
    <xf numFmtId="49" fontId="10" fillId="32" borderId="90" xfId="0" applyNumberFormat="1" applyFont="1" applyFill="1" applyBorder="1" applyAlignment="1" applyProtection="1">
      <alignment horizontal="center" vertical="center" shrinkToFit="1"/>
      <protection locked="0"/>
    </xf>
    <xf numFmtId="49" fontId="10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47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21" fillId="0" borderId="87" xfId="0" applyNumberFormat="1" applyFont="1" applyBorder="1" applyAlignment="1" applyProtection="1">
      <alignment horizontal="center" vertical="center" shrinkToFit="1"/>
      <protection locked="0"/>
    </xf>
    <xf numFmtId="49" fontId="21" fillId="0" borderId="95" xfId="0" applyNumberFormat="1" applyFont="1" applyBorder="1" applyAlignment="1" applyProtection="1">
      <alignment horizontal="center" vertical="center" shrinkToFit="1"/>
      <protection locked="0"/>
    </xf>
    <xf numFmtId="0" fontId="6" fillId="0" borderId="98" xfId="0" applyFont="1" applyBorder="1" applyAlignment="1">
      <alignment horizontal="center" vertical="center" shrinkToFit="1"/>
    </xf>
    <xf numFmtId="49" fontId="51" fillId="0" borderId="90" xfId="0" applyNumberFormat="1" applyFont="1" applyBorder="1" applyAlignment="1" applyProtection="1">
      <alignment horizontal="center" vertical="center" shrinkToFit="1"/>
      <protection locked="0"/>
    </xf>
    <xf numFmtId="49" fontId="10" fillId="32" borderId="98" xfId="0" applyNumberFormat="1" applyFont="1" applyFill="1" applyBorder="1" applyAlignment="1" applyProtection="1">
      <alignment horizontal="center" vertical="center" shrinkToFit="1"/>
      <protection locked="0"/>
    </xf>
    <xf numFmtId="178" fontId="12" fillId="0" borderId="92" xfId="0" applyNumberFormat="1" applyFont="1" applyBorder="1" applyAlignment="1" applyProtection="1">
      <alignment horizontal="center" vertical="center" shrinkToFit="1"/>
      <protection locked="0"/>
    </xf>
    <xf numFmtId="178" fontId="12" fillId="0" borderId="100" xfId="0" applyNumberFormat="1" applyFont="1" applyBorder="1" applyAlignment="1" applyProtection="1">
      <alignment horizontal="center" vertical="center" shrinkToFit="1"/>
      <protection locked="0"/>
    </xf>
    <xf numFmtId="177" fontId="2" fillId="3" borderId="100" xfId="0" applyNumberFormat="1" applyFont="1" applyFill="1" applyBorder="1" applyAlignment="1">
      <alignment horizontal="center" vertical="center" shrinkToFit="1"/>
    </xf>
    <xf numFmtId="0" fontId="12" fillId="3" borderId="101" xfId="0" applyFont="1" applyFill="1" applyBorder="1" applyAlignment="1">
      <alignment horizontal="center" vertical="center" shrinkToFit="1"/>
    </xf>
    <xf numFmtId="177" fontId="2" fillId="3" borderId="92" xfId="0" applyNumberFormat="1" applyFont="1" applyFill="1" applyBorder="1" applyAlignment="1">
      <alignment horizontal="center" vertical="center" shrinkToFit="1"/>
    </xf>
    <xf numFmtId="0" fontId="12" fillId="3" borderId="93" xfId="0" applyFont="1" applyFill="1" applyBorder="1" applyAlignment="1">
      <alignment horizontal="center" vertical="center" shrinkToFit="1"/>
    </xf>
    <xf numFmtId="0" fontId="50" fillId="3" borderId="101" xfId="0" applyFont="1" applyFill="1" applyBorder="1" applyAlignment="1">
      <alignment horizontal="center" vertical="center" shrinkToFit="1"/>
    </xf>
    <xf numFmtId="0" fontId="56" fillId="3" borderId="101" xfId="0" applyFont="1" applyFill="1" applyBorder="1" applyAlignment="1">
      <alignment horizontal="center" vertical="center" shrinkToFit="1"/>
    </xf>
    <xf numFmtId="49" fontId="12" fillId="0" borderId="87" xfId="0" applyNumberFormat="1" applyFont="1" applyBorder="1" applyAlignment="1" applyProtection="1">
      <alignment horizontal="center" vertical="center" shrinkToFit="1"/>
      <protection locked="0"/>
    </xf>
    <xf numFmtId="49" fontId="12" fillId="0" borderId="95" xfId="0" applyNumberFormat="1" applyFont="1" applyBorder="1" applyAlignment="1" applyProtection="1">
      <alignment horizontal="center" vertical="center" shrinkToFit="1"/>
      <protection locked="0"/>
    </xf>
    <xf numFmtId="178" fontId="21" fillId="34" borderId="92" xfId="0" applyNumberFormat="1" applyFont="1" applyFill="1" applyBorder="1" applyAlignment="1" applyProtection="1">
      <alignment horizontal="center" vertical="center" shrinkToFit="1"/>
      <protection locked="0"/>
    </xf>
    <xf numFmtId="49" fontId="55" fillId="0" borderId="90" xfId="0" applyNumberFormat="1" applyFont="1" applyBorder="1" applyAlignment="1" applyProtection="1">
      <alignment horizontal="center" vertical="center" shrinkToFit="1"/>
      <protection locked="0"/>
    </xf>
    <xf numFmtId="178" fontId="21" fillId="34" borderId="100" xfId="0" applyNumberFormat="1" applyFont="1" applyFill="1" applyBorder="1" applyAlignment="1" applyProtection="1">
      <alignment horizontal="center" vertical="center" shrinkToFit="1"/>
      <protection locked="0"/>
    </xf>
    <xf numFmtId="49" fontId="55" fillId="32" borderId="98" xfId="0" applyNumberFormat="1" applyFont="1" applyFill="1" applyBorder="1" applyAlignment="1" applyProtection="1">
      <alignment horizontal="center" vertical="center" shrinkToFit="1"/>
      <protection locked="0"/>
    </xf>
    <xf numFmtId="178" fontId="12" fillId="0" borderId="95" xfId="0" applyNumberFormat="1" applyFont="1" applyBorder="1" applyAlignment="1" applyProtection="1">
      <alignment horizontal="center" vertical="center" shrinkToFit="1"/>
      <protection locked="0"/>
    </xf>
    <xf numFmtId="49" fontId="55" fillId="0" borderId="98" xfId="0" applyNumberFormat="1" applyFont="1" applyBorder="1" applyAlignment="1" applyProtection="1">
      <alignment horizontal="center" vertical="center" shrinkToFit="1"/>
      <protection locked="0"/>
    </xf>
    <xf numFmtId="0" fontId="21" fillId="33" borderId="98" xfId="0" applyFont="1" applyFill="1" applyBorder="1" applyAlignment="1" applyProtection="1">
      <alignment horizontal="center" vertical="center" shrinkToFit="1"/>
      <protection locked="0"/>
    </xf>
    <xf numFmtId="178" fontId="12" fillId="0" borderId="87" xfId="0" applyNumberFormat="1" applyFont="1" applyBorder="1" applyAlignment="1" applyProtection="1">
      <alignment horizontal="center" vertical="center" shrinkToFit="1"/>
      <protection locked="0"/>
    </xf>
    <xf numFmtId="49" fontId="12" fillId="34" borderId="87" xfId="0" applyNumberFormat="1" applyFont="1" applyFill="1" applyBorder="1" applyAlignment="1" applyProtection="1">
      <alignment horizontal="center" vertical="center" shrinkToFit="1"/>
      <protection locked="0"/>
    </xf>
    <xf numFmtId="49" fontId="12" fillId="34" borderId="95" xfId="0" applyNumberFormat="1" applyFont="1" applyFill="1" applyBorder="1" applyAlignment="1" applyProtection="1">
      <alignment horizontal="center" vertical="center" shrinkToFit="1"/>
      <protection locked="0"/>
    </xf>
    <xf numFmtId="49" fontId="57" fillId="32" borderId="90" xfId="0" applyNumberFormat="1" applyFont="1" applyFill="1" applyBorder="1" applyAlignment="1" applyProtection="1">
      <alignment horizontal="center" vertical="center" shrinkToFit="1"/>
      <protection locked="0"/>
    </xf>
    <xf numFmtId="49" fontId="55" fillId="33" borderId="98" xfId="0" applyNumberFormat="1" applyFont="1" applyFill="1" applyBorder="1" applyAlignment="1" applyProtection="1">
      <alignment horizontal="center" vertical="center" shrinkToFit="1"/>
      <protection locked="0"/>
    </xf>
    <xf numFmtId="49" fontId="58" fillId="32" borderId="90" xfId="0" applyNumberFormat="1" applyFont="1" applyFill="1" applyBorder="1" applyAlignment="1" applyProtection="1">
      <alignment horizontal="center" vertical="center" shrinkToFit="1"/>
      <protection locked="0"/>
    </xf>
    <xf numFmtId="178" fontId="47" fillId="34" borderId="96" xfId="0" applyNumberFormat="1" applyFont="1" applyFill="1" applyBorder="1" applyAlignment="1" applyProtection="1">
      <alignment horizontal="center" vertical="center" shrinkToFit="1"/>
      <protection locked="0"/>
    </xf>
    <xf numFmtId="49" fontId="47" fillId="0" borderId="95" xfId="0" applyNumberFormat="1" applyFont="1" applyBorder="1" applyAlignment="1" applyProtection="1">
      <alignment horizontal="center" vertical="center" shrinkToFit="1"/>
      <protection locked="0"/>
    </xf>
    <xf numFmtId="0" fontId="47" fillId="33" borderId="98" xfId="0" applyFont="1" applyFill="1" applyBorder="1" applyAlignment="1" applyProtection="1">
      <alignment horizontal="center" vertical="center" shrinkToFit="1"/>
      <protection locked="0"/>
    </xf>
    <xf numFmtId="0" fontId="47" fillId="0" borderId="98" xfId="0" applyFont="1" applyBorder="1" applyAlignment="1" applyProtection="1">
      <alignment horizontal="center" vertical="center" shrinkToFit="1"/>
      <protection locked="0"/>
    </xf>
    <xf numFmtId="49" fontId="21" fillId="0" borderId="90" xfId="0" applyNumberFormat="1" applyFont="1" applyBorder="1" applyAlignment="1" applyProtection="1">
      <alignment horizontal="center" vertical="center" wrapText="1" shrinkToFit="1"/>
      <protection locked="0"/>
    </xf>
    <xf numFmtId="49" fontId="47" fillId="0" borderId="88" xfId="0" applyNumberFormat="1" applyFont="1" applyBorder="1" applyAlignment="1" applyProtection="1">
      <alignment horizontal="center" vertical="center" shrinkToFit="1"/>
      <protection locked="0"/>
    </xf>
    <xf numFmtId="0" fontId="47" fillId="32" borderId="90" xfId="0" applyFont="1" applyFill="1" applyBorder="1" applyAlignment="1" applyProtection="1">
      <alignment horizontal="center" vertical="center" shrinkToFit="1"/>
      <protection locked="0"/>
    </xf>
    <xf numFmtId="49" fontId="47" fillId="0" borderId="96" xfId="0" applyNumberFormat="1" applyFont="1" applyBorder="1" applyAlignment="1" applyProtection="1">
      <alignment horizontal="center" vertical="center" shrinkToFit="1"/>
      <protection locked="0"/>
    </xf>
    <xf numFmtId="0" fontId="47" fillId="32" borderId="98" xfId="0" applyFont="1" applyFill="1" applyBorder="1" applyAlignment="1" applyProtection="1">
      <alignment horizontal="center" vertical="center" shrinkToFit="1"/>
      <protection locked="0"/>
    </xf>
    <xf numFmtId="177" fontId="40" fillId="3" borderId="103" xfId="0" applyNumberFormat="1" applyFont="1" applyFill="1" applyBorder="1" applyAlignment="1">
      <alignment horizontal="center" vertical="center" shrinkToFit="1"/>
    </xf>
    <xf numFmtId="0" fontId="15" fillId="3" borderId="104" xfId="0" applyFont="1" applyFill="1" applyBorder="1" applyAlignment="1">
      <alignment horizontal="center" vertical="center" shrinkToFit="1"/>
    </xf>
    <xf numFmtId="0" fontId="10" fillId="3" borderId="105" xfId="0" applyFont="1" applyFill="1" applyBorder="1" applyAlignment="1">
      <alignment horizontal="center" vertical="center" shrinkToFit="1"/>
    </xf>
    <xf numFmtId="178" fontId="10" fillId="0" borderId="104" xfId="0" applyNumberFormat="1" applyFont="1" applyBorder="1" applyAlignment="1" applyProtection="1">
      <alignment horizontal="center" vertical="center" shrinkToFit="1"/>
      <protection locked="0"/>
    </xf>
    <xf numFmtId="49" fontId="50" fillId="32" borderId="106" xfId="0" applyNumberFormat="1" applyFont="1" applyFill="1" applyBorder="1" applyAlignment="1" applyProtection="1">
      <alignment horizontal="center" vertical="center" shrinkToFit="1"/>
      <protection locked="0"/>
    </xf>
    <xf numFmtId="178" fontId="2" fillId="0" borderId="104" xfId="0" applyNumberFormat="1" applyFont="1" applyBorder="1" applyAlignment="1" applyProtection="1">
      <alignment horizontal="center" vertical="center" shrinkToFit="1"/>
      <protection locked="0"/>
    </xf>
    <xf numFmtId="178" fontId="12" fillId="0" borderId="104" xfId="0" applyNumberFormat="1" applyFont="1" applyBorder="1" applyAlignment="1" applyProtection="1">
      <alignment horizontal="center" vertical="center" shrinkToFit="1"/>
      <protection locked="0"/>
    </xf>
    <xf numFmtId="49" fontId="50" fillId="0" borderId="106" xfId="0" applyNumberFormat="1" applyFont="1" applyBorder="1" applyAlignment="1" applyProtection="1">
      <alignment horizontal="center" vertical="center" shrinkToFit="1"/>
      <protection locked="0"/>
    </xf>
    <xf numFmtId="178" fontId="21" fillId="0" borderId="104" xfId="0" applyNumberFormat="1" applyFont="1" applyBorder="1" applyAlignment="1" applyProtection="1">
      <alignment horizontal="center" vertical="center" shrinkToFit="1"/>
      <protection locked="0"/>
    </xf>
    <xf numFmtId="49" fontId="49" fillId="32" borderId="106" xfId="0" applyNumberFormat="1" applyFont="1" applyFill="1" applyBorder="1" applyAlignment="1" applyProtection="1">
      <alignment horizontal="center" vertical="center" shrinkToFit="1"/>
      <protection locked="0"/>
    </xf>
    <xf numFmtId="49" fontId="12" fillId="33" borderId="106" xfId="0" applyNumberFormat="1" applyFont="1" applyFill="1" applyBorder="1" applyAlignment="1" applyProtection="1">
      <alignment horizontal="center" vertical="center" shrinkToFit="1"/>
      <protection locked="0"/>
    </xf>
    <xf numFmtId="49" fontId="2" fillId="32" borderId="106" xfId="0" applyNumberFormat="1" applyFont="1" applyFill="1" applyBorder="1" applyAlignment="1" applyProtection="1">
      <alignment horizontal="center" vertical="center" shrinkToFit="1"/>
      <protection locked="0"/>
    </xf>
    <xf numFmtId="49" fontId="2" fillId="0" borderId="106" xfId="0" applyNumberFormat="1" applyFont="1" applyBorder="1" applyAlignment="1" applyProtection="1">
      <alignment horizontal="center" vertical="center" shrinkToFit="1"/>
      <protection locked="0"/>
    </xf>
    <xf numFmtId="49" fontId="10" fillId="0" borderId="104" xfId="0" applyNumberFormat="1" applyFont="1" applyBorder="1" applyAlignment="1" applyProtection="1">
      <alignment horizontal="center" vertical="center" shrinkToFit="1"/>
      <protection locked="0"/>
    </xf>
    <xf numFmtId="0" fontId="10" fillId="0" borderId="106" xfId="0" applyFont="1" applyBorder="1" applyAlignment="1" applyProtection="1">
      <alignment horizontal="center" vertical="center" shrinkToFit="1"/>
      <protection locked="0"/>
    </xf>
    <xf numFmtId="0" fontId="24" fillId="11" borderId="104" xfId="0" applyFont="1" applyFill="1" applyBorder="1" applyAlignment="1">
      <alignment horizontal="center" vertical="center" shrinkToFit="1"/>
    </xf>
    <xf numFmtId="0" fontId="24" fillId="8" borderId="107" xfId="0" applyFont="1" applyFill="1" applyBorder="1" applyAlignment="1">
      <alignment horizontal="center" vertical="center" shrinkToFit="1"/>
    </xf>
    <xf numFmtId="0" fontId="24" fillId="6" borderId="104" xfId="0" applyFont="1" applyFill="1" applyBorder="1" applyAlignment="1">
      <alignment horizontal="center" vertical="center" shrinkToFit="1"/>
    </xf>
    <xf numFmtId="177" fontId="40" fillId="3" borderId="108" xfId="0" applyNumberFormat="1" applyFont="1" applyFill="1" applyBorder="1" applyAlignment="1">
      <alignment horizontal="center" vertical="center" shrinkToFit="1"/>
    </xf>
    <xf numFmtId="0" fontId="15" fillId="3" borderId="109" xfId="0" applyFont="1" applyFill="1" applyBorder="1" applyAlignment="1">
      <alignment horizontal="center" vertical="center" shrinkToFit="1"/>
    </xf>
    <xf numFmtId="49" fontId="21" fillId="0" borderId="106" xfId="0" applyNumberFormat="1" applyFont="1" applyBorder="1" applyAlignment="1" applyProtection="1">
      <alignment horizontal="center" vertical="center" shrinkToFit="1"/>
      <protection locked="0"/>
    </xf>
    <xf numFmtId="49" fontId="2" fillId="0" borderId="104" xfId="0" applyNumberFormat="1" applyFont="1" applyBorder="1" applyAlignment="1" applyProtection="1">
      <alignment horizontal="center" vertical="center" shrinkToFit="1"/>
      <protection locked="0"/>
    </xf>
    <xf numFmtId="0" fontId="2" fillId="0" borderId="106" xfId="0" applyFont="1" applyBorder="1" applyAlignment="1" applyProtection="1">
      <alignment horizontal="center" vertical="center" shrinkToFit="1"/>
      <protection locked="0"/>
    </xf>
    <xf numFmtId="178" fontId="10" fillId="0" borderId="103" xfId="0" applyNumberFormat="1" applyFont="1" applyBorder="1" applyAlignment="1" applyProtection="1">
      <alignment horizontal="center" vertical="center" shrinkToFit="1"/>
      <protection locked="0"/>
    </xf>
    <xf numFmtId="49" fontId="10" fillId="0" borderId="106" xfId="0" applyNumberFormat="1" applyFont="1" applyBorder="1" applyAlignment="1" applyProtection="1">
      <alignment horizontal="center" vertical="center" shrinkToFit="1"/>
      <protection locked="0"/>
    </xf>
    <xf numFmtId="0" fontId="18" fillId="11" borderId="103" xfId="0" applyFont="1" applyFill="1" applyBorder="1" applyAlignment="1">
      <alignment horizontal="center" vertical="center" shrinkToFit="1"/>
    </xf>
    <xf numFmtId="0" fontId="18" fillId="17" borderId="107" xfId="0" applyFont="1" applyFill="1" applyBorder="1" applyAlignment="1">
      <alignment horizontal="center" vertical="center" shrinkToFit="1"/>
    </xf>
    <xf numFmtId="0" fontId="18" fillId="12" borderId="104" xfId="0" applyFont="1" applyFill="1" applyBorder="1" applyAlignment="1">
      <alignment horizontal="center" vertical="center" shrinkToFit="1"/>
    </xf>
    <xf numFmtId="0" fontId="18" fillId="0" borderId="110" xfId="0" applyFont="1" applyBorder="1" applyAlignment="1">
      <alignment horizontal="center" vertical="center" shrinkToFit="1"/>
    </xf>
    <xf numFmtId="0" fontId="18" fillId="0" borderId="105" xfId="0" applyFont="1" applyBorder="1" applyAlignment="1">
      <alignment horizontal="center" vertical="center" shrinkToFit="1"/>
    </xf>
    <xf numFmtId="178" fontId="5" fillId="0" borderId="108" xfId="0" applyNumberFormat="1" applyFont="1" applyBorder="1" applyAlignment="1" applyProtection="1">
      <alignment horizontal="center" vertical="center" shrinkToFit="1"/>
      <protection locked="0"/>
    </xf>
    <xf numFmtId="49" fontId="5" fillId="0" borderId="106" xfId="0" applyNumberFormat="1" applyFont="1" applyBorder="1" applyAlignment="1" applyProtection="1">
      <alignment horizontal="center" vertical="center" shrinkToFit="1"/>
      <protection locked="0"/>
    </xf>
    <xf numFmtId="178" fontId="5" fillId="0" borderId="104" xfId="0" applyNumberFormat="1" applyFont="1" applyBorder="1" applyAlignment="1" applyProtection="1">
      <alignment horizontal="center" vertical="center" shrinkToFit="1"/>
      <protection locked="0"/>
    </xf>
    <xf numFmtId="0" fontId="28" fillId="3" borderId="104" xfId="0" applyFont="1" applyFill="1" applyBorder="1" applyAlignment="1">
      <alignment horizontal="center" vertical="center" shrinkToFit="1"/>
    </xf>
    <xf numFmtId="49" fontId="2" fillId="33" borderId="106" xfId="0" applyNumberFormat="1" applyFont="1" applyFill="1" applyBorder="1" applyAlignment="1" applyProtection="1">
      <alignment horizontal="center" vertical="center" shrinkToFit="1"/>
      <protection locked="0"/>
    </xf>
    <xf numFmtId="49" fontId="12" fillId="0" borderId="106" xfId="0" applyNumberFormat="1" applyFont="1" applyBorder="1" applyAlignment="1" applyProtection="1">
      <alignment horizontal="center" vertical="center" shrinkToFit="1"/>
      <protection locked="0"/>
    </xf>
    <xf numFmtId="49" fontId="12" fillId="32" borderId="106" xfId="0" applyNumberFormat="1" applyFont="1" applyFill="1" applyBorder="1" applyAlignment="1" applyProtection="1">
      <alignment horizontal="center" vertical="center" shrinkToFit="1"/>
      <protection locked="0"/>
    </xf>
    <xf numFmtId="178" fontId="12" fillId="35" borderId="104" xfId="0" applyNumberFormat="1" applyFont="1" applyFill="1" applyBorder="1" applyAlignment="1" applyProtection="1">
      <alignment horizontal="center" vertical="center" shrinkToFit="1"/>
      <protection locked="0"/>
    </xf>
    <xf numFmtId="178" fontId="12" fillId="34" borderId="104" xfId="0" applyNumberFormat="1" applyFont="1" applyFill="1" applyBorder="1" applyAlignment="1" applyProtection="1">
      <alignment horizontal="center" vertical="center" shrinkToFit="1"/>
      <protection locked="0"/>
    </xf>
    <xf numFmtId="49" fontId="10" fillId="0" borderId="103" xfId="0" applyNumberFormat="1" applyFont="1" applyBorder="1" applyAlignment="1" applyProtection="1">
      <alignment horizontal="center" vertical="center" shrinkToFit="1"/>
      <protection locked="0"/>
    </xf>
    <xf numFmtId="0" fontId="28" fillId="3" borderId="109" xfId="0" applyFont="1" applyFill="1" applyBorder="1" applyAlignment="1">
      <alignment horizontal="center" vertical="center" shrinkToFit="1"/>
    </xf>
    <xf numFmtId="49" fontId="12" fillId="34" borderId="104" xfId="0" applyNumberFormat="1" applyFont="1" applyFill="1" applyBorder="1" applyAlignment="1" applyProtection="1">
      <alignment horizontal="center" vertical="center" shrinkToFit="1"/>
      <protection locked="0"/>
    </xf>
    <xf numFmtId="0" fontId="12" fillId="32" borderId="106" xfId="0" applyFont="1" applyFill="1" applyBorder="1" applyAlignment="1" applyProtection="1">
      <alignment horizontal="center" vertical="center" shrinkToFit="1"/>
      <protection locked="0"/>
    </xf>
    <xf numFmtId="0" fontId="14" fillId="3" borderId="104" xfId="0" applyFont="1" applyFill="1" applyBorder="1" applyAlignment="1">
      <alignment horizontal="center" vertical="center" shrinkToFit="1"/>
    </xf>
    <xf numFmtId="178" fontId="2" fillId="34" borderId="104" xfId="0" applyNumberFormat="1" applyFont="1" applyFill="1" applyBorder="1" applyAlignment="1" applyProtection="1">
      <alignment horizontal="center" vertical="center" shrinkToFit="1"/>
      <protection locked="0"/>
    </xf>
    <xf numFmtId="0" fontId="14" fillId="3" borderId="109" xfId="0" applyFont="1" applyFill="1" applyBorder="1" applyAlignment="1">
      <alignment horizontal="center" vertical="center" shrinkToFit="1"/>
    </xf>
    <xf numFmtId="49" fontId="2" fillId="34" borderId="104" xfId="0" applyNumberFormat="1" applyFont="1" applyFill="1" applyBorder="1" applyAlignment="1" applyProtection="1">
      <alignment horizontal="center" vertical="center" shrinkToFit="1"/>
      <protection locked="0"/>
    </xf>
    <xf numFmtId="0" fontId="2" fillId="32" borderId="106" xfId="0" applyFont="1" applyFill="1" applyBorder="1" applyAlignment="1" applyProtection="1">
      <alignment horizontal="center" vertical="center" shrinkToFit="1"/>
      <protection locked="0"/>
    </xf>
    <xf numFmtId="49" fontId="49" fillId="0" borderId="106" xfId="0" applyNumberFormat="1" applyFont="1" applyBorder="1" applyAlignment="1" applyProtection="1">
      <alignment horizontal="center" vertical="center" shrinkToFit="1"/>
      <protection locked="0"/>
    </xf>
    <xf numFmtId="49" fontId="10" fillId="34" borderId="103" xfId="0" applyNumberFormat="1" applyFont="1" applyFill="1" applyBorder="1" applyAlignment="1" applyProtection="1">
      <alignment horizontal="center" vertical="center" shrinkToFit="1"/>
      <protection locked="0"/>
    </xf>
    <xf numFmtId="0" fontId="49" fillId="32" borderId="106" xfId="0" applyFont="1" applyFill="1" applyBorder="1" applyAlignment="1" applyProtection="1">
      <alignment horizontal="center" vertical="center" shrinkToFit="1"/>
      <protection locked="0"/>
    </xf>
    <xf numFmtId="178" fontId="47" fillId="0" borderId="103" xfId="0" applyNumberFormat="1" applyFont="1" applyBorder="1" applyAlignment="1" applyProtection="1">
      <alignment horizontal="center" vertical="center" shrinkToFit="1"/>
      <protection locked="0"/>
    </xf>
    <xf numFmtId="0" fontId="49" fillId="0" borderId="106" xfId="0" applyFont="1" applyBorder="1" applyAlignment="1" applyProtection="1">
      <alignment horizontal="center" vertical="center" shrinkToFit="1"/>
      <protection locked="0"/>
    </xf>
    <xf numFmtId="49" fontId="49" fillId="33" borderId="106" xfId="0" applyNumberFormat="1" applyFont="1" applyFill="1" applyBorder="1" applyAlignment="1" applyProtection="1">
      <alignment horizontal="center" vertical="center" shrinkToFit="1"/>
      <protection locked="0"/>
    </xf>
    <xf numFmtId="178" fontId="5" fillId="34" borderId="104" xfId="0" applyNumberFormat="1" applyFont="1" applyFill="1" applyBorder="1" applyAlignment="1" applyProtection="1">
      <alignment horizontal="center" vertical="center" shrinkToFit="1"/>
      <protection locked="0"/>
    </xf>
    <xf numFmtId="49" fontId="5" fillId="32" borderId="106" xfId="0" applyNumberFormat="1" applyFont="1" applyFill="1" applyBorder="1" applyAlignment="1" applyProtection="1">
      <alignment horizontal="center" vertical="center" shrinkToFit="1"/>
      <protection locked="0"/>
    </xf>
    <xf numFmtId="178" fontId="21" fillId="34" borderId="104" xfId="0" applyNumberFormat="1" applyFont="1" applyFill="1" applyBorder="1" applyAlignment="1" applyProtection="1">
      <alignment horizontal="center" vertical="center" shrinkToFit="1"/>
      <protection locked="0"/>
    </xf>
    <xf numFmtId="49" fontId="21" fillId="32" borderId="106" xfId="0" applyNumberFormat="1" applyFont="1" applyFill="1" applyBorder="1" applyAlignment="1" applyProtection="1">
      <alignment horizontal="center" vertical="center" shrinkToFit="1"/>
      <protection locked="0"/>
    </xf>
    <xf numFmtId="49" fontId="21" fillId="0" borderId="104" xfId="0" applyNumberFormat="1" applyFont="1" applyBorder="1" applyAlignment="1" applyProtection="1">
      <alignment horizontal="center" vertical="center" shrinkToFit="1"/>
      <protection locked="0"/>
    </xf>
    <xf numFmtId="178" fontId="47" fillId="0" borderId="104" xfId="0" applyNumberFormat="1" applyFont="1" applyBorder="1" applyAlignment="1" applyProtection="1">
      <alignment horizontal="center" vertical="center" shrinkToFit="1"/>
      <protection locked="0"/>
    </xf>
    <xf numFmtId="49" fontId="47" fillId="0" borderId="106" xfId="0" applyNumberFormat="1" applyFont="1" applyBorder="1" applyAlignment="1" applyProtection="1">
      <alignment horizontal="center" vertical="center" shrinkToFit="1"/>
      <protection locked="0"/>
    </xf>
    <xf numFmtId="49" fontId="51" fillId="0" borderId="106" xfId="0" applyNumberFormat="1" applyFont="1" applyBorder="1" applyAlignment="1" applyProtection="1">
      <alignment horizontal="center" vertical="center" shrinkToFit="1"/>
      <protection locked="0"/>
    </xf>
    <xf numFmtId="0" fontId="21" fillId="0" borderId="106" xfId="0" applyFont="1" applyBorder="1" applyAlignment="1" applyProtection="1">
      <alignment horizontal="center" vertical="center" shrinkToFit="1"/>
      <protection locked="0"/>
    </xf>
    <xf numFmtId="178" fontId="21" fillId="0" borderId="108" xfId="0" applyNumberFormat="1" applyFont="1" applyBorder="1" applyAlignment="1" applyProtection="1">
      <alignment horizontal="center" vertical="center" shrinkToFit="1"/>
      <protection locked="0"/>
    </xf>
    <xf numFmtId="0" fontId="12" fillId="0" borderId="106" xfId="0" applyFont="1" applyBorder="1" applyAlignment="1" applyProtection="1">
      <alignment horizontal="center" vertical="center" shrinkToFit="1"/>
      <protection locked="0"/>
    </xf>
    <xf numFmtId="178" fontId="21" fillId="0" borderId="103" xfId="0" applyNumberFormat="1" applyFont="1" applyBorder="1" applyAlignment="1" applyProtection="1">
      <alignment horizontal="center" vertical="center" shrinkToFit="1"/>
      <protection locked="0"/>
    </xf>
    <xf numFmtId="49" fontId="12" fillId="0" borderId="104" xfId="0" applyNumberFormat="1" applyFont="1" applyBorder="1" applyAlignment="1" applyProtection="1">
      <alignment horizontal="center" vertical="center" shrinkToFit="1"/>
      <protection locked="0"/>
    </xf>
    <xf numFmtId="178" fontId="12" fillId="0" borderId="108" xfId="0" applyNumberFormat="1" applyFont="1" applyBorder="1" applyAlignment="1" applyProtection="1">
      <alignment horizontal="center" vertical="center" shrinkToFit="1"/>
      <protection locked="0"/>
    </xf>
    <xf numFmtId="177" fontId="2" fillId="3" borderId="108" xfId="0" applyNumberFormat="1" applyFont="1" applyFill="1" applyBorder="1" applyAlignment="1">
      <alignment horizontal="center" vertical="center" shrinkToFit="1"/>
    </xf>
    <xf numFmtId="0" fontId="12" fillId="3" borderId="109" xfId="0" applyFont="1" applyFill="1" applyBorder="1" applyAlignment="1">
      <alignment horizontal="center" vertical="center" shrinkToFit="1"/>
    </xf>
    <xf numFmtId="49" fontId="12" fillId="35" borderId="104" xfId="0" applyNumberFormat="1" applyFont="1" applyFill="1" applyBorder="1" applyAlignment="1" applyProtection="1">
      <alignment horizontal="center" vertical="center" shrinkToFit="1"/>
      <protection locked="0"/>
    </xf>
    <xf numFmtId="0" fontId="12" fillId="33" borderId="106" xfId="0" applyFont="1" applyFill="1" applyBorder="1" applyAlignment="1" applyProtection="1">
      <alignment horizontal="center" vertical="center" shrinkToFit="1"/>
      <protection locked="0"/>
    </xf>
    <xf numFmtId="178" fontId="2" fillId="0" borderId="108" xfId="0" applyNumberFormat="1" applyFont="1" applyBorder="1" applyAlignment="1" applyProtection="1">
      <alignment horizontal="center" vertical="center" shrinkToFit="1"/>
      <protection locked="0"/>
    </xf>
    <xf numFmtId="49" fontId="12" fillId="0" borderId="103" xfId="0" applyNumberFormat="1" applyFont="1" applyBorder="1" applyAlignment="1" applyProtection="1">
      <alignment horizontal="center" vertical="center" shrinkToFit="1"/>
      <protection locked="0"/>
    </xf>
    <xf numFmtId="0" fontId="53" fillId="0" borderId="106" xfId="0" applyFont="1" applyBorder="1" applyAlignment="1" applyProtection="1">
      <alignment horizontal="center" vertical="center" shrinkToFit="1"/>
      <protection locked="0"/>
    </xf>
    <xf numFmtId="178" fontId="47" fillId="34" borderId="103" xfId="0" applyNumberFormat="1" applyFont="1" applyFill="1" applyBorder="1" applyAlignment="1" applyProtection="1">
      <alignment horizontal="center" vertical="center" shrinkToFit="1"/>
      <protection locked="0"/>
    </xf>
    <xf numFmtId="0" fontId="2" fillId="33" borderId="106" xfId="0" applyFont="1" applyFill="1" applyBorder="1" applyAlignment="1" applyProtection="1">
      <alignment horizontal="center" vertical="center" shrinkToFit="1"/>
      <protection locked="0"/>
    </xf>
    <xf numFmtId="178" fontId="21" fillId="34" borderId="108" xfId="0" applyNumberFormat="1" applyFont="1" applyFill="1" applyBorder="1" applyAlignment="1" applyProtection="1">
      <alignment horizontal="center" vertical="center" shrinkToFit="1"/>
      <protection locked="0"/>
    </xf>
    <xf numFmtId="49" fontId="55" fillId="32" borderId="106" xfId="0" applyNumberFormat="1" applyFont="1" applyFill="1" applyBorder="1" applyAlignment="1" applyProtection="1">
      <alignment horizontal="center" vertical="center" shrinkToFit="1"/>
      <protection locked="0"/>
    </xf>
    <xf numFmtId="178" fontId="12" fillId="0" borderId="103" xfId="0" applyNumberFormat="1" applyFont="1" applyBorder="1" applyAlignment="1" applyProtection="1">
      <alignment horizontal="center" vertical="center" shrinkToFit="1"/>
      <protection locked="0"/>
    </xf>
    <xf numFmtId="49" fontId="55" fillId="0" borderId="106" xfId="0" applyNumberFormat="1" applyFont="1" applyBorder="1" applyAlignment="1" applyProtection="1">
      <alignment horizontal="center" vertical="center" shrinkToFit="1"/>
      <protection locked="0"/>
    </xf>
    <xf numFmtId="0" fontId="56" fillId="3" borderId="109" xfId="0" applyFont="1" applyFill="1" applyBorder="1" applyAlignment="1">
      <alignment horizontal="center" vertical="center" shrinkToFit="1"/>
    </xf>
    <xf numFmtId="0" fontId="21" fillId="33" borderId="106" xfId="0" applyFont="1" applyFill="1" applyBorder="1" applyAlignment="1" applyProtection="1">
      <alignment horizontal="center" vertical="center" shrinkToFit="1"/>
      <protection locked="0"/>
    </xf>
    <xf numFmtId="0" fontId="50" fillId="3" borderId="109" xfId="0" applyFont="1" applyFill="1" applyBorder="1" applyAlignment="1">
      <alignment horizontal="center" vertical="center" shrinkToFit="1"/>
    </xf>
    <xf numFmtId="49" fontId="55" fillId="33" borderId="106" xfId="0" applyNumberFormat="1" applyFont="1" applyFill="1" applyBorder="1" applyAlignment="1" applyProtection="1">
      <alignment horizontal="center" vertical="center" shrinkToFit="1"/>
      <protection locked="0"/>
    </xf>
    <xf numFmtId="49" fontId="47" fillId="33" borderId="106" xfId="0" applyNumberFormat="1" applyFont="1" applyFill="1" applyBorder="1" applyAlignment="1" applyProtection="1">
      <alignment horizontal="center" vertical="center" shrinkToFit="1"/>
      <protection locked="0"/>
    </xf>
    <xf numFmtId="49" fontId="47" fillId="32" borderId="106" xfId="0" applyNumberFormat="1" applyFont="1" applyFill="1" applyBorder="1" applyAlignment="1" applyProtection="1">
      <alignment horizontal="center" vertical="center" shrinkToFit="1"/>
      <protection locked="0"/>
    </xf>
    <xf numFmtId="178" fontId="47" fillId="34" borderId="104" xfId="0" applyNumberFormat="1" applyFont="1" applyFill="1" applyBorder="1" applyAlignment="1" applyProtection="1">
      <alignment horizontal="center" vertical="center" shrinkToFit="1"/>
      <protection locked="0"/>
    </xf>
    <xf numFmtId="49" fontId="47" fillId="0" borderId="104" xfId="0" applyNumberFormat="1" applyFont="1" applyBorder="1" applyAlignment="1" applyProtection="1">
      <alignment horizontal="center" vertical="center" shrinkToFit="1"/>
      <protection locked="0"/>
    </xf>
    <xf numFmtId="0" fontId="47" fillId="0" borderId="106" xfId="0" applyFont="1" applyBorder="1" applyAlignment="1" applyProtection="1">
      <alignment horizontal="center" vertical="center" shrinkToFit="1"/>
      <protection locked="0"/>
    </xf>
    <xf numFmtId="49" fontId="47" fillId="0" borderId="103" xfId="0" applyNumberFormat="1" applyFont="1" applyBorder="1" applyAlignment="1" applyProtection="1">
      <alignment horizontal="center" vertical="center" shrinkToFit="1"/>
      <protection locked="0"/>
    </xf>
    <xf numFmtId="0" fontId="47" fillId="32" borderId="106" xfId="0" applyFont="1" applyFill="1" applyBorder="1" applyAlignment="1" applyProtection="1">
      <alignment horizontal="center" vertical="center" shrinkToFit="1"/>
      <protection locked="0"/>
    </xf>
    <xf numFmtId="178" fontId="47" fillId="35" borderId="104" xfId="0" applyNumberFormat="1" applyFont="1" applyFill="1" applyBorder="1" applyAlignment="1" applyProtection="1">
      <alignment horizontal="center" vertical="center" shrinkToFit="1"/>
      <protection locked="0"/>
    </xf>
    <xf numFmtId="49" fontId="10" fillId="32" borderId="106" xfId="0" applyNumberFormat="1" applyFont="1" applyFill="1" applyBorder="1" applyAlignment="1" applyProtection="1">
      <alignment horizontal="center" vertical="center" shrinkToFit="1"/>
      <protection locked="0"/>
    </xf>
  </cellXfs>
  <cellStyles count="3">
    <cellStyle name="パーセント" xfId="2" builtinId="5"/>
    <cellStyle name="標準" xfId="0" builtinId="0"/>
    <cellStyle name="標準 2" xfId="1" xr:uid="{9FC382F4-BEDD-4305-A18D-9EF39C3A236C}"/>
  </cellStyles>
  <dxfs count="14">
    <dxf>
      <font>
        <color rgb="FFFF0000"/>
      </font>
    </dxf>
    <dxf>
      <font>
        <color rgb="FF0070C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color rgb="FF0070C0"/>
      </font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 patternType="solid">
          <bgColor rgb="FF7030A0"/>
        </patternFill>
      </fill>
    </dxf>
  </dxfs>
  <tableStyles count="0" defaultTableStyle="TableStyleMedium2" defaultPivotStyle="PivotStyleLight16"/>
  <colors>
    <mruColors>
      <color rgb="FFFF99CC"/>
      <color rgb="FFFFF2CC"/>
      <color rgb="FFD9D9D9"/>
      <color rgb="FFFCE4D6"/>
      <color rgb="FFF8CBAD"/>
      <color rgb="FFCCFFCC"/>
      <color rgb="FFD9E1F2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139824</xdr:colOff>
      <xdr:row>0</xdr:row>
      <xdr:rowOff>50223</xdr:rowOff>
    </xdr:from>
    <xdr:to>
      <xdr:col>4</xdr:col>
      <xdr:colOff>1219824</xdr:colOff>
      <xdr:row>0</xdr:row>
      <xdr:rowOff>482223</xdr:rowOff>
    </xdr:to>
    <xdr:sp macro="[0]!予約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27506" y="50223"/>
          <a:ext cx="1080000" cy="432000"/>
        </a:xfrm>
        <a:prstGeom prst="roundRect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予約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30562</xdr:colOff>
      <xdr:row>0</xdr:row>
      <xdr:rowOff>50223</xdr:rowOff>
    </xdr:from>
    <xdr:to>
      <xdr:col>8</xdr:col>
      <xdr:colOff>1110562</xdr:colOff>
      <xdr:row>0</xdr:row>
      <xdr:rowOff>482223</xdr:rowOff>
    </xdr:to>
    <xdr:sp macro="[0]!クリア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0937" y="50223"/>
          <a:ext cx="1080000" cy="432000"/>
        </a:xfrm>
        <a:prstGeom prst="roundRect">
          <a:avLst/>
        </a:prstGeom>
        <a:noFill/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クリア</a:t>
          </a:r>
          <a:endParaRPr kumimoji="1" lang="ja-JP" altLang="en-US" sz="11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</xdr:col>
      <xdr:colOff>117411</xdr:colOff>
      <xdr:row>0</xdr:row>
      <xdr:rowOff>50223</xdr:rowOff>
    </xdr:from>
    <xdr:to>
      <xdr:col>6</xdr:col>
      <xdr:colOff>1197411</xdr:colOff>
      <xdr:row>0</xdr:row>
      <xdr:rowOff>482223</xdr:rowOff>
    </xdr:to>
    <xdr:sp macro="[0]!新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36911" y="50223"/>
          <a:ext cx="1080000" cy="432000"/>
        </a:xfrm>
        <a:prstGeom prst="roundRect">
          <a:avLst/>
        </a:prstGeom>
        <a:solidFill>
          <a:schemeClr val="bg1">
            <a:lumMod val="85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新規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12</xdr:col>
      <xdr:colOff>103910</xdr:colOff>
      <xdr:row>0</xdr:row>
      <xdr:rowOff>50223</xdr:rowOff>
    </xdr:from>
    <xdr:to>
      <xdr:col>12</xdr:col>
      <xdr:colOff>1183910</xdr:colOff>
      <xdr:row>0</xdr:row>
      <xdr:rowOff>482223</xdr:rowOff>
    </xdr:to>
    <xdr:sp macro="[0]!入浴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8865" y="50223"/>
          <a:ext cx="1080000" cy="432000"/>
        </a:xfrm>
        <a:prstGeom prst="roundRect">
          <a:avLst/>
        </a:prstGeom>
        <a:solidFill>
          <a:srgbClr val="0070C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🛁</a:t>
          </a:r>
          <a:endParaRPr kumimoji="1" lang="ja-JP" altLang="en-US" sz="11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16</xdr:col>
      <xdr:colOff>233259</xdr:colOff>
      <xdr:row>0</xdr:row>
      <xdr:rowOff>50223</xdr:rowOff>
    </xdr:from>
    <xdr:to>
      <xdr:col>16</xdr:col>
      <xdr:colOff>1313259</xdr:colOff>
      <xdr:row>0</xdr:row>
      <xdr:rowOff>482223</xdr:rowOff>
    </xdr:to>
    <xdr:sp macro="[0]!検索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949134" y="50223"/>
          <a:ext cx="1080000" cy="432000"/>
        </a:xfrm>
        <a:prstGeom prst="roundRect">
          <a:avLst/>
        </a:prstGeom>
        <a:solidFill>
          <a:srgbClr val="00B05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🔎</a:t>
          </a:r>
          <a:endParaRPr kumimoji="1" lang="ja-JP" altLang="en-US" sz="14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20</xdr:col>
      <xdr:colOff>90922</xdr:colOff>
      <xdr:row>0</xdr:row>
      <xdr:rowOff>50223</xdr:rowOff>
    </xdr:from>
    <xdr:to>
      <xdr:col>22</xdr:col>
      <xdr:colOff>388933</xdr:colOff>
      <xdr:row>0</xdr:row>
      <xdr:rowOff>482223</xdr:rowOff>
    </xdr:to>
    <xdr:sp macro="[0]!バー表示切り替え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394547" y="50223"/>
          <a:ext cx="2091886" cy="432000"/>
        </a:xfrm>
        <a:prstGeom prst="roundRect">
          <a:avLst/>
        </a:prstGeom>
        <a:solidFill>
          <a:srgbClr val="FF99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バー表示</a:t>
          </a:r>
          <a:r>
            <a:rPr kumimoji="1" lang="en-US" altLang="ja-JP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/</a:t>
          </a:r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非表示</a:t>
          </a:r>
          <a:endParaRPr kumimoji="1" lang="ja-JP" altLang="en-US" sz="1100" b="1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14</xdr:col>
      <xdr:colOff>61994</xdr:colOff>
      <xdr:row>0</xdr:row>
      <xdr:rowOff>50223</xdr:rowOff>
    </xdr:from>
    <xdr:to>
      <xdr:col>15</xdr:col>
      <xdr:colOff>0</xdr:colOff>
      <xdr:row>0</xdr:row>
      <xdr:rowOff>482223</xdr:rowOff>
    </xdr:to>
    <xdr:sp macro="[0]!リネン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608767" y="50223"/>
          <a:ext cx="1288824" cy="432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リネン</a:t>
          </a:r>
          <a:r>
            <a:rPr kumimoji="1" lang="ja-JP" altLang="en-US" sz="18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★</a:t>
          </a:r>
        </a:p>
      </xdr:txBody>
    </xdr:sp>
    <xdr:clientData/>
  </xdr:twoCellAnchor>
  <xdr:twoCellAnchor>
    <xdr:from>
      <xdr:col>9</xdr:col>
      <xdr:colOff>378817</xdr:colOff>
      <xdr:row>0</xdr:row>
      <xdr:rowOff>50223</xdr:rowOff>
    </xdr:from>
    <xdr:to>
      <xdr:col>10</xdr:col>
      <xdr:colOff>1077817</xdr:colOff>
      <xdr:row>0</xdr:row>
      <xdr:rowOff>482223</xdr:rowOff>
    </xdr:to>
    <xdr:sp macro="[0]!居室移動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093942" y="50223"/>
          <a:ext cx="1080000" cy="432000"/>
        </a:xfrm>
        <a:prstGeom prst="roundRect">
          <a:avLst/>
        </a:prstGeom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居室移動</a:t>
          </a:r>
        </a:p>
      </xdr:txBody>
    </xdr:sp>
    <xdr:clientData/>
  </xdr:twoCellAnchor>
  <xdr:twoCellAnchor>
    <xdr:from>
      <xdr:col>0</xdr:col>
      <xdr:colOff>242453</xdr:colOff>
      <xdr:row>0</xdr:row>
      <xdr:rowOff>50223</xdr:rowOff>
    </xdr:from>
    <xdr:to>
      <xdr:col>2</xdr:col>
      <xdr:colOff>231408</xdr:colOff>
      <xdr:row>0</xdr:row>
      <xdr:rowOff>482223</xdr:rowOff>
    </xdr:to>
    <xdr:sp macro="[0]!上書き保存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2453" y="50223"/>
          <a:ext cx="1080000" cy="4320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保存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139824</xdr:colOff>
      <xdr:row>0</xdr:row>
      <xdr:rowOff>50223</xdr:rowOff>
    </xdr:from>
    <xdr:to>
      <xdr:col>31</xdr:col>
      <xdr:colOff>1219824</xdr:colOff>
      <xdr:row>0</xdr:row>
      <xdr:rowOff>482223</xdr:rowOff>
    </xdr:to>
    <xdr:sp macro="[0]!予約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850994" y="50223"/>
          <a:ext cx="1080000" cy="432000"/>
        </a:xfrm>
        <a:prstGeom prst="roundRect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予約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35</xdr:col>
      <xdr:colOff>30562</xdr:colOff>
      <xdr:row>0</xdr:row>
      <xdr:rowOff>50223</xdr:rowOff>
    </xdr:from>
    <xdr:to>
      <xdr:col>35</xdr:col>
      <xdr:colOff>1110562</xdr:colOff>
      <xdr:row>0</xdr:row>
      <xdr:rowOff>482223</xdr:rowOff>
    </xdr:to>
    <xdr:sp macro="[0]!クリア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381880" y="50223"/>
          <a:ext cx="1080000" cy="432000"/>
        </a:xfrm>
        <a:prstGeom prst="roundRect">
          <a:avLst/>
        </a:prstGeom>
        <a:noFill/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クリア</a:t>
          </a:r>
          <a:endParaRPr kumimoji="1" lang="ja-JP" altLang="en-US" sz="11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117411</xdr:colOff>
      <xdr:row>0</xdr:row>
      <xdr:rowOff>50223</xdr:rowOff>
    </xdr:from>
    <xdr:to>
      <xdr:col>33</xdr:col>
      <xdr:colOff>1197411</xdr:colOff>
      <xdr:row>0</xdr:row>
      <xdr:rowOff>482223</xdr:rowOff>
    </xdr:to>
    <xdr:sp macro="[0]!新規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736911" y="50223"/>
          <a:ext cx="1080000" cy="432000"/>
        </a:xfrm>
        <a:prstGeom prst="roundRect">
          <a:avLst/>
        </a:prstGeom>
        <a:solidFill>
          <a:schemeClr val="bg1">
            <a:lumMod val="85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新規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39</xdr:col>
      <xdr:colOff>103910</xdr:colOff>
      <xdr:row>0</xdr:row>
      <xdr:rowOff>50223</xdr:rowOff>
    </xdr:from>
    <xdr:to>
      <xdr:col>39</xdr:col>
      <xdr:colOff>1183910</xdr:colOff>
      <xdr:row>0</xdr:row>
      <xdr:rowOff>482223</xdr:rowOff>
    </xdr:to>
    <xdr:sp macro="[0]!入浴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918865" y="50223"/>
          <a:ext cx="1080000" cy="432000"/>
        </a:xfrm>
        <a:prstGeom prst="roundRect">
          <a:avLst/>
        </a:prstGeom>
        <a:solidFill>
          <a:srgbClr val="0070C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🛁</a:t>
          </a:r>
          <a:endParaRPr kumimoji="1" lang="ja-JP" altLang="en-US" sz="11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233259</xdr:colOff>
      <xdr:row>0</xdr:row>
      <xdr:rowOff>50223</xdr:rowOff>
    </xdr:from>
    <xdr:to>
      <xdr:col>43</xdr:col>
      <xdr:colOff>1313259</xdr:colOff>
      <xdr:row>0</xdr:row>
      <xdr:rowOff>482223</xdr:rowOff>
    </xdr:to>
    <xdr:sp macro="[0]!検索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4666134" y="50223"/>
          <a:ext cx="1080000" cy="432000"/>
        </a:xfrm>
        <a:prstGeom prst="roundRect">
          <a:avLst/>
        </a:prstGeom>
        <a:solidFill>
          <a:srgbClr val="00B05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🔎</a:t>
          </a:r>
          <a:endParaRPr kumimoji="1" lang="ja-JP" altLang="en-US" sz="14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41</xdr:col>
      <xdr:colOff>61994</xdr:colOff>
      <xdr:row>0</xdr:row>
      <xdr:rowOff>50223</xdr:rowOff>
    </xdr:from>
    <xdr:to>
      <xdr:col>41</xdr:col>
      <xdr:colOff>1350794</xdr:colOff>
      <xdr:row>0</xdr:row>
      <xdr:rowOff>482223</xdr:rowOff>
    </xdr:to>
    <xdr:sp macro="[0]!リネン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1529130" y="50223"/>
          <a:ext cx="1288800" cy="432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リネン</a:t>
          </a:r>
          <a:r>
            <a:rPr kumimoji="1" lang="ja-JP" altLang="en-US" sz="18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★</a:t>
          </a:r>
        </a:p>
      </xdr:txBody>
    </xdr:sp>
    <xdr:clientData/>
  </xdr:twoCellAnchor>
  <xdr:twoCellAnchor>
    <xdr:from>
      <xdr:col>36</xdr:col>
      <xdr:colOff>378817</xdr:colOff>
      <xdr:row>0</xdr:row>
      <xdr:rowOff>50223</xdr:rowOff>
    </xdr:from>
    <xdr:to>
      <xdr:col>37</xdr:col>
      <xdr:colOff>1077817</xdr:colOff>
      <xdr:row>0</xdr:row>
      <xdr:rowOff>482223</xdr:rowOff>
    </xdr:to>
    <xdr:sp macro="[0]!居室移動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080953" y="50223"/>
          <a:ext cx="1080000" cy="432000"/>
        </a:xfrm>
        <a:prstGeom prst="roundRect">
          <a:avLst/>
        </a:prstGeom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居室移動</a:t>
          </a:r>
        </a:p>
      </xdr:txBody>
    </xdr:sp>
    <xdr:clientData/>
  </xdr:twoCellAnchor>
  <xdr:twoCellAnchor>
    <xdr:from>
      <xdr:col>58</xdr:col>
      <xdr:colOff>139824</xdr:colOff>
      <xdr:row>0</xdr:row>
      <xdr:rowOff>50223</xdr:rowOff>
    </xdr:from>
    <xdr:to>
      <xdr:col>58</xdr:col>
      <xdr:colOff>1219824</xdr:colOff>
      <xdr:row>0</xdr:row>
      <xdr:rowOff>482223</xdr:rowOff>
    </xdr:to>
    <xdr:sp macro="[0]!予約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947869" y="50223"/>
          <a:ext cx="1080000" cy="432000"/>
        </a:xfrm>
        <a:prstGeom prst="roundRect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予約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62</xdr:col>
      <xdr:colOff>30562</xdr:colOff>
      <xdr:row>0</xdr:row>
      <xdr:rowOff>50223</xdr:rowOff>
    </xdr:from>
    <xdr:to>
      <xdr:col>62</xdr:col>
      <xdr:colOff>1110562</xdr:colOff>
      <xdr:row>0</xdr:row>
      <xdr:rowOff>482223</xdr:rowOff>
    </xdr:to>
    <xdr:sp macro="[0]!クリア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6302244" y="50223"/>
          <a:ext cx="1080000" cy="432000"/>
        </a:xfrm>
        <a:prstGeom prst="roundRect">
          <a:avLst/>
        </a:prstGeom>
        <a:noFill/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クリア</a:t>
          </a:r>
          <a:endParaRPr kumimoji="1" lang="ja-JP" altLang="en-US" sz="11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60</xdr:col>
      <xdr:colOff>117411</xdr:colOff>
      <xdr:row>0</xdr:row>
      <xdr:rowOff>50223</xdr:rowOff>
    </xdr:from>
    <xdr:to>
      <xdr:col>60</xdr:col>
      <xdr:colOff>1197411</xdr:colOff>
      <xdr:row>0</xdr:row>
      <xdr:rowOff>482223</xdr:rowOff>
    </xdr:to>
    <xdr:sp macro="[0]!新規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4657275" y="50223"/>
          <a:ext cx="1080000" cy="432000"/>
        </a:xfrm>
        <a:prstGeom prst="roundRect">
          <a:avLst/>
        </a:prstGeom>
        <a:solidFill>
          <a:schemeClr val="bg1">
            <a:lumMod val="85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新規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66</xdr:col>
      <xdr:colOff>103910</xdr:colOff>
      <xdr:row>0</xdr:row>
      <xdr:rowOff>50223</xdr:rowOff>
    </xdr:from>
    <xdr:to>
      <xdr:col>66</xdr:col>
      <xdr:colOff>1183910</xdr:colOff>
      <xdr:row>0</xdr:row>
      <xdr:rowOff>482223</xdr:rowOff>
    </xdr:to>
    <xdr:sp macro="[0]!入浴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839228" y="50223"/>
          <a:ext cx="1080000" cy="432000"/>
        </a:xfrm>
        <a:prstGeom prst="roundRect">
          <a:avLst/>
        </a:prstGeom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🛁</a:t>
          </a:r>
          <a:endParaRPr kumimoji="1" lang="ja-JP" altLang="en-US" sz="11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70</xdr:col>
      <xdr:colOff>233259</xdr:colOff>
      <xdr:row>0</xdr:row>
      <xdr:rowOff>50223</xdr:rowOff>
    </xdr:from>
    <xdr:to>
      <xdr:col>70</xdr:col>
      <xdr:colOff>1313259</xdr:colOff>
      <xdr:row>0</xdr:row>
      <xdr:rowOff>482223</xdr:rowOff>
    </xdr:to>
    <xdr:sp macro="[0]!検索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6383134" y="50223"/>
          <a:ext cx="1080000" cy="432000"/>
        </a:xfrm>
        <a:prstGeom prst="roundRect">
          <a:avLst/>
        </a:prstGeom>
        <a:solidFill>
          <a:srgbClr val="00B05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🔎</a:t>
          </a:r>
          <a:endParaRPr kumimoji="1" lang="ja-JP" altLang="en-US" sz="14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68</xdr:col>
      <xdr:colOff>61994</xdr:colOff>
      <xdr:row>0</xdr:row>
      <xdr:rowOff>50223</xdr:rowOff>
    </xdr:from>
    <xdr:to>
      <xdr:col>68</xdr:col>
      <xdr:colOff>1362364</xdr:colOff>
      <xdr:row>0</xdr:row>
      <xdr:rowOff>484909</xdr:rowOff>
    </xdr:to>
    <xdr:sp macro="[0]!リネン" textlink="">
      <xdr:nvSpPr>
        <xdr:cNvPr id="28" name="四角形: 角を丸くす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2766994" y="50223"/>
          <a:ext cx="1300370" cy="43468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リネン</a:t>
          </a:r>
          <a:r>
            <a:rPr kumimoji="1" lang="ja-JP" altLang="en-US" sz="18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★</a:t>
          </a:r>
        </a:p>
      </xdr:txBody>
    </xdr:sp>
    <xdr:clientData/>
  </xdr:twoCellAnchor>
  <xdr:twoCellAnchor>
    <xdr:from>
      <xdr:col>63</xdr:col>
      <xdr:colOff>378817</xdr:colOff>
      <xdr:row>0</xdr:row>
      <xdr:rowOff>50223</xdr:rowOff>
    </xdr:from>
    <xdr:to>
      <xdr:col>64</xdr:col>
      <xdr:colOff>1077817</xdr:colOff>
      <xdr:row>0</xdr:row>
      <xdr:rowOff>482223</xdr:rowOff>
    </xdr:to>
    <xdr:sp macro="[0]!居室移動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001317" y="50223"/>
          <a:ext cx="1080000" cy="432000"/>
        </a:xfrm>
        <a:prstGeom prst="roundRect">
          <a:avLst/>
        </a:prstGeom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居室移動</a:t>
          </a:r>
        </a:p>
      </xdr:txBody>
    </xdr:sp>
    <xdr:clientData/>
  </xdr:twoCellAnchor>
  <xdr:twoCellAnchor>
    <xdr:from>
      <xdr:col>94</xdr:col>
      <xdr:colOff>138547</xdr:colOff>
      <xdr:row>0</xdr:row>
      <xdr:rowOff>51954</xdr:rowOff>
    </xdr:from>
    <xdr:to>
      <xdr:col>94</xdr:col>
      <xdr:colOff>1218547</xdr:colOff>
      <xdr:row>0</xdr:row>
      <xdr:rowOff>483954</xdr:rowOff>
    </xdr:to>
    <xdr:sp macro="[0]!予約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8768002" y="51954"/>
          <a:ext cx="1080000" cy="432000"/>
        </a:xfrm>
        <a:prstGeom prst="roundRect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予約</a:t>
          </a:r>
          <a:endParaRPr kumimoji="1" lang="ja-JP" altLang="en-US" sz="12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96</xdr:col>
      <xdr:colOff>17319</xdr:colOff>
      <xdr:row>0</xdr:row>
      <xdr:rowOff>51954</xdr:rowOff>
    </xdr:from>
    <xdr:to>
      <xdr:col>96</xdr:col>
      <xdr:colOff>1097319</xdr:colOff>
      <xdr:row>0</xdr:row>
      <xdr:rowOff>483954</xdr:rowOff>
    </xdr:to>
    <xdr:sp macro="[0]!クリア" textlink="">
      <xdr:nvSpPr>
        <xdr:cNvPr id="33" name="四角形: 角を丸くする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378592" y="51954"/>
          <a:ext cx="1080000" cy="432000"/>
        </a:xfrm>
        <a:prstGeom prst="roundRect">
          <a:avLst/>
        </a:prstGeom>
        <a:noFill/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クリア</a:t>
          </a:r>
          <a:endParaRPr kumimoji="1" lang="ja-JP" altLang="en-US" sz="1100" b="1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98</xdr:col>
      <xdr:colOff>0</xdr:colOff>
      <xdr:row>0</xdr:row>
      <xdr:rowOff>51954</xdr:rowOff>
    </xdr:from>
    <xdr:to>
      <xdr:col>98</xdr:col>
      <xdr:colOff>1080000</xdr:colOff>
      <xdr:row>0</xdr:row>
      <xdr:rowOff>483954</xdr:rowOff>
    </xdr:to>
    <xdr:sp macro="[0]!居室移動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2093091" y="51954"/>
          <a:ext cx="1080000" cy="432000"/>
        </a:xfrm>
        <a:prstGeom prst="roundRect">
          <a:avLst/>
        </a:prstGeom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居室移動</a:t>
          </a:r>
        </a:p>
      </xdr:txBody>
    </xdr:sp>
    <xdr:clientData/>
  </xdr:twoCellAnchor>
  <xdr:twoCellAnchor>
    <xdr:from>
      <xdr:col>18</xdr:col>
      <xdr:colOff>156567</xdr:colOff>
      <xdr:row>0</xdr:row>
      <xdr:rowOff>50223</xdr:rowOff>
    </xdr:from>
    <xdr:to>
      <xdr:col>18</xdr:col>
      <xdr:colOff>1252442</xdr:colOff>
      <xdr:row>0</xdr:row>
      <xdr:rowOff>482223</xdr:rowOff>
    </xdr:to>
    <xdr:sp macro="[0]!数式反映" textlink="">
      <xdr:nvSpPr>
        <xdr:cNvPr id="34" name="四角形: 角を丸くする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666317" y="50223"/>
          <a:ext cx="1095875" cy="432000"/>
        </a:xfrm>
        <a:prstGeom prst="roundRect">
          <a:avLst/>
        </a:prstGeom>
        <a:solidFill>
          <a:srgbClr val="FF99CC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数式更新</a:t>
          </a:r>
        </a:p>
      </xdr:txBody>
    </xdr:sp>
    <xdr:clientData/>
  </xdr:twoCellAnchor>
  <xdr:twoCellAnchor>
    <xdr:from>
      <xdr:col>47</xdr:col>
      <xdr:colOff>170297</xdr:colOff>
      <xdr:row>0</xdr:row>
      <xdr:rowOff>50223</xdr:rowOff>
    </xdr:from>
    <xdr:to>
      <xdr:col>49</xdr:col>
      <xdr:colOff>468308</xdr:colOff>
      <xdr:row>0</xdr:row>
      <xdr:rowOff>482223</xdr:rowOff>
    </xdr:to>
    <xdr:sp macro="[0]!バー表示切り替え" textlink="">
      <xdr:nvSpPr>
        <xdr:cNvPr id="35" name="四角形: 角を丸くす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8190922" y="50223"/>
          <a:ext cx="2091886" cy="432000"/>
        </a:xfrm>
        <a:prstGeom prst="roundRect">
          <a:avLst/>
        </a:prstGeom>
        <a:solidFill>
          <a:srgbClr val="FF99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バー表示</a:t>
          </a:r>
          <a:r>
            <a:rPr kumimoji="1" lang="en-US" altLang="ja-JP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/</a:t>
          </a:r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非表示</a:t>
          </a:r>
          <a:endParaRPr kumimoji="1" lang="ja-JP" altLang="en-US" sz="1100" b="1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235942</xdr:colOff>
      <xdr:row>0</xdr:row>
      <xdr:rowOff>50223</xdr:rowOff>
    </xdr:from>
    <xdr:to>
      <xdr:col>45</xdr:col>
      <xdr:colOff>1331817</xdr:colOff>
      <xdr:row>0</xdr:row>
      <xdr:rowOff>482223</xdr:rowOff>
    </xdr:to>
    <xdr:sp macro="[0]!数式反映" textlink="">
      <xdr:nvSpPr>
        <xdr:cNvPr id="36" name="四角形: 角を丸くする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36462692" y="50223"/>
          <a:ext cx="1095875" cy="432000"/>
        </a:xfrm>
        <a:prstGeom prst="roundRect">
          <a:avLst/>
        </a:prstGeom>
        <a:solidFill>
          <a:srgbClr val="FF99CC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数式更新</a:t>
          </a:r>
        </a:p>
      </xdr:txBody>
    </xdr:sp>
    <xdr:clientData/>
  </xdr:twoCellAnchor>
  <xdr:twoCellAnchor>
    <xdr:from>
      <xdr:col>74</xdr:col>
      <xdr:colOff>90922</xdr:colOff>
      <xdr:row>0</xdr:row>
      <xdr:rowOff>50223</xdr:rowOff>
    </xdr:from>
    <xdr:to>
      <xdr:col>76</xdr:col>
      <xdr:colOff>388933</xdr:colOff>
      <xdr:row>0</xdr:row>
      <xdr:rowOff>482223</xdr:rowOff>
    </xdr:to>
    <xdr:sp macro="[0]!バー表示切り替え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828547" y="50223"/>
          <a:ext cx="2091886" cy="432000"/>
        </a:xfrm>
        <a:prstGeom prst="roundRect">
          <a:avLst/>
        </a:prstGeom>
        <a:solidFill>
          <a:srgbClr val="FF99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バー表示</a:t>
          </a:r>
          <a:r>
            <a:rPr kumimoji="1" lang="en-US" altLang="ja-JP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/</a:t>
          </a:r>
          <a:r>
            <a:rPr kumimoji="1" lang="ja-JP" altLang="en-US" sz="18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非表示</a:t>
          </a:r>
          <a:endParaRPr kumimoji="1" lang="ja-JP" altLang="en-US" sz="1100" b="1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72</xdr:col>
      <xdr:colOff>156567</xdr:colOff>
      <xdr:row>0</xdr:row>
      <xdr:rowOff>50223</xdr:rowOff>
    </xdr:from>
    <xdr:to>
      <xdr:col>72</xdr:col>
      <xdr:colOff>1252442</xdr:colOff>
      <xdr:row>0</xdr:row>
      <xdr:rowOff>482223</xdr:rowOff>
    </xdr:to>
    <xdr:sp macro="[0]!数式反映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100317" y="50223"/>
          <a:ext cx="1095875" cy="432000"/>
        </a:xfrm>
        <a:prstGeom prst="roundRect">
          <a:avLst/>
        </a:prstGeom>
        <a:solidFill>
          <a:srgbClr val="FF99CC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数式更新</a:t>
          </a:r>
        </a:p>
      </xdr:txBody>
    </xdr:sp>
    <xdr:clientData/>
  </xdr:twoCellAnchor>
  <xdr:twoCellAnchor>
    <xdr:from>
      <xdr:col>28</xdr:col>
      <xdr:colOff>0</xdr:colOff>
      <xdr:row>0</xdr:row>
      <xdr:rowOff>50223</xdr:rowOff>
    </xdr:from>
    <xdr:to>
      <xdr:col>29</xdr:col>
      <xdr:colOff>377447</xdr:colOff>
      <xdr:row>0</xdr:row>
      <xdr:rowOff>482223</xdr:rowOff>
    </xdr:to>
    <xdr:sp macro="[0]!送迎確認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2184468" y="50223"/>
          <a:ext cx="1080000" cy="432000"/>
        </a:xfrm>
        <a:prstGeom prst="roundRect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送迎確認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174624</xdr:colOff>
      <xdr:row>9</xdr:row>
      <xdr:rowOff>79375</xdr:rowOff>
    </xdr:from>
    <xdr:to>
      <xdr:col>25</xdr:col>
      <xdr:colOff>666748</xdr:colOff>
      <xdr:row>12</xdr:row>
      <xdr:rowOff>63500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0800000">
          <a:off x="8296851" y="2036330"/>
          <a:ext cx="1184852" cy="50367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142874</xdr:colOff>
      <xdr:row>8</xdr:row>
      <xdr:rowOff>31750</xdr:rowOff>
    </xdr:from>
    <xdr:to>
      <xdr:col>31</xdr:col>
      <xdr:colOff>95248</xdr:colOff>
      <xdr:row>13</xdr:row>
      <xdr:rowOff>158750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650556" y="1815523"/>
          <a:ext cx="3416010" cy="992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>
              <a:latin typeface="メイリオ" panose="020B0604030504040204" pitchFamily="50" charset="-128"/>
              <a:ea typeface="メイリオ" panose="020B0604030504040204" pitchFamily="50" charset="-128"/>
            </a:rPr>
            <a:t>フリースペース　　　　　　　　　　　　　　　　　　　　自拠点用に修正してください</a:t>
          </a:r>
        </a:p>
      </xdr:txBody>
    </xdr:sp>
    <xdr:clientData/>
  </xdr:twoCellAnchor>
  <xdr:oneCellAnchor>
    <xdr:from>
      <xdr:col>12</xdr:col>
      <xdr:colOff>299358</xdr:colOff>
      <xdr:row>0</xdr:row>
      <xdr:rowOff>108857</xdr:rowOff>
    </xdr:from>
    <xdr:ext cx="3161654" cy="612321"/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858" b="24736"/>
        <a:stretch/>
      </xdr:blipFill>
      <xdr:spPr>
        <a:xfrm>
          <a:off x="8528958" y="108857"/>
          <a:ext cx="3161654" cy="61232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279400</xdr:colOff>
          <xdr:row>4</xdr:row>
          <xdr:rowOff>152400</xdr:rowOff>
        </xdr:from>
        <xdr:to>
          <xdr:col>29</xdr:col>
          <xdr:colOff>279400</xdr:colOff>
          <xdr:row>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期間を選択して取込み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353784</xdr:colOff>
      <xdr:row>37</xdr:row>
      <xdr:rowOff>163286</xdr:rowOff>
    </xdr:from>
    <xdr:to>
      <xdr:col>35</xdr:col>
      <xdr:colOff>362856</xdr:colOff>
      <xdr:row>46</xdr:row>
      <xdr:rowOff>68036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236855" y="8826500"/>
          <a:ext cx="7084787" cy="16464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○・・・夜間、日中ともに夜間定員数に満たしていない</a:t>
          </a:r>
          <a:endParaRPr kumimoji="1" lang="en-US" altLang="ja-JP" sz="14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△・・・夜間は夜間定員数に満たしていないが、日中は夜間定員数を満たしている</a:t>
          </a:r>
          <a:endParaRPr kumimoji="1" lang="en-US" altLang="ja-JP" sz="14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400">
              <a:latin typeface="メイリオ" panose="020B0604030504040204" pitchFamily="50" charset="-128"/>
              <a:ea typeface="メイリオ" panose="020B0604030504040204" pitchFamily="50" charset="-128"/>
            </a:rPr>
            <a:t>✕・・・夜間が夜間定員数を満たしている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279400</xdr:colOff>
          <xdr:row>1</xdr:row>
          <xdr:rowOff>25400</xdr:rowOff>
        </xdr:from>
        <xdr:to>
          <xdr:col>29</xdr:col>
          <xdr:colOff>266700</xdr:colOff>
          <xdr:row>4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最新情報取込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63500</xdr:rowOff>
        </xdr:from>
        <xdr:to>
          <xdr:col>12</xdr:col>
          <xdr:colOff>88900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0</xdr:rowOff>
        </xdr:from>
        <xdr:to>
          <xdr:col>15</xdr:col>
          <xdr:colOff>12700</xdr:colOff>
          <xdr:row>2</xdr:row>
          <xdr:rowOff>12700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215900</xdr:rowOff>
        </xdr:from>
        <xdr:to>
          <xdr:col>15</xdr:col>
          <xdr:colOff>50800</xdr:colOff>
          <xdr:row>6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メイリオ" charset="-128"/>
                  <a:ea typeface="メイリオ" charset="-128"/>
                </a:rPr>
                <a:t>居室設定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352425</xdr:colOff>
      <xdr:row>8</xdr:row>
      <xdr:rowOff>161925</xdr:rowOff>
    </xdr:from>
    <xdr:to>
      <xdr:col>5</xdr:col>
      <xdr:colOff>371475</xdr:colOff>
      <xdr:row>10</xdr:row>
      <xdr:rowOff>123824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4425" y="2105025"/>
          <a:ext cx="3124200" cy="438149"/>
        </a:xfrm>
        <a:prstGeom prst="wedgeRoundRectCallout">
          <a:avLst>
            <a:gd name="adj1" fmla="val -22052"/>
            <a:gd name="adj2" fmla="val -87620"/>
            <a:gd name="adj3" fmla="val 16667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ユニットない場合は空白にしてください</a:t>
          </a:r>
        </a:p>
      </xdr:txBody>
    </xdr:sp>
    <xdr:clientData/>
  </xdr:twoCellAnchor>
  <xdr:twoCellAnchor>
    <xdr:from>
      <xdr:col>10</xdr:col>
      <xdr:colOff>66675</xdr:colOff>
      <xdr:row>8</xdr:row>
      <xdr:rowOff>200025</xdr:rowOff>
    </xdr:from>
    <xdr:to>
      <xdr:col>14</xdr:col>
      <xdr:colOff>142875</xdr:colOff>
      <xdr:row>10</xdr:row>
      <xdr:rowOff>161924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743825" y="2143125"/>
          <a:ext cx="3124200" cy="438149"/>
        </a:xfrm>
        <a:prstGeom prst="wedgeRoundRectCallout">
          <a:avLst>
            <a:gd name="adj1" fmla="val 30388"/>
            <a:gd name="adj2" fmla="val -94142"/>
            <a:gd name="adj3" fmla="val 16667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静養室があるところに○を付けてください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9D509-0DE5-4DBE-AC50-3657217465D3}">
  <sheetPr codeName="SS予約表">
    <tabColor rgb="FFFFFF00"/>
    <pageSetUpPr fitToPage="1"/>
  </sheetPr>
  <dimension ref="A1:DH285"/>
  <sheetViews>
    <sheetView showRowColHeaders="0" tabSelected="1" zoomScale="75" zoomScaleNormal="50" workbookViewId="0">
      <pane xSplit="3" ySplit="3" topLeftCell="AC202" activePane="bottomRight" state="frozen"/>
      <selection pane="topRight" activeCell="D1" sqref="D1"/>
      <selection pane="bottomLeft" activeCell="A4" sqref="A4"/>
      <selection pane="bottomRight" activeCell="CI156" sqref="CI156:CI157"/>
    </sheetView>
  </sheetViews>
  <sheetFormatPr baseColWidth="10" defaultColWidth="8.85546875" defaultRowHeight="19.5" customHeight="1"/>
  <cols>
    <col min="1" max="1" width="7.85546875" style="1" customWidth="1" collapsed="1"/>
    <col min="2" max="2" width="4.85546875" style="3" customWidth="1"/>
    <col min="3" max="3" width="4.85546875" style="2" customWidth="1"/>
    <col min="4" max="4" width="4.42578125" style="4" customWidth="1"/>
    <col min="5" max="5" width="15.7109375" style="3" customWidth="1"/>
    <col min="6" max="6" width="4.42578125" style="4" customWidth="1"/>
    <col min="7" max="7" width="15.7109375" style="3" customWidth="1"/>
    <col min="8" max="8" width="4.42578125" style="4" customWidth="1"/>
    <col min="9" max="9" width="15.7109375" style="3" customWidth="1"/>
    <col min="10" max="10" width="4.42578125" style="4" customWidth="1"/>
    <col min="11" max="11" width="15.7109375" style="3" customWidth="1"/>
    <col min="12" max="12" width="4.42578125" style="4" customWidth="1"/>
    <col min="13" max="13" width="15.7109375" style="3" customWidth="1"/>
    <col min="14" max="14" width="4.42578125" style="4" customWidth="1"/>
    <col min="15" max="15" width="15.7109375" style="3" customWidth="1"/>
    <col min="16" max="16" width="4.42578125" style="4" customWidth="1"/>
    <col min="17" max="17" width="15.7109375" style="3" customWidth="1"/>
    <col min="18" max="18" width="4.42578125" style="4" customWidth="1"/>
    <col min="19" max="19" width="15.7109375" style="3" customWidth="1"/>
    <col min="20" max="20" width="4.42578125" style="4" customWidth="1"/>
    <col min="21" max="21" width="15.7109375" style="3" customWidth="1"/>
    <col min="22" max="22" width="4.42578125" style="4" customWidth="1"/>
    <col min="23" max="23" width="15.7109375" style="3" customWidth="1"/>
    <col min="24" max="24" width="4.42578125" style="3" customWidth="1"/>
    <col min="25" max="25" width="15.7109375" style="3" customWidth="1"/>
    <col min="26" max="28" width="3.140625" style="3" customWidth="1"/>
    <col min="29" max="29" width="7.85546875" style="1" customWidth="1" collapsed="1"/>
    <col min="30" max="30" width="4.85546875" style="3" customWidth="1"/>
    <col min="31" max="31" width="4.42578125" style="4" customWidth="1"/>
    <col min="32" max="32" width="15.7109375" style="3" customWidth="1"/>
    <col min="33" max="33" width="4.42578125" style="4" customWidth="1"/>
    <col min="34" max="34" width="15.7109375" style="3" customWidth="1"/>
    <col min="35" max="35" width="4.42578125" style="4" customWidth="1"/>
    <col min="36" max="36" width="15.7109375" style="3" customWidth="1"/>
    <col min="37" max="37" width="4.42578125" style="4" customWidth="1"/>
    <col min="38" max="38" width="15.7109375" style="3" customWidth="1"/>
    <col min="39" max="39" width="4.42578125" style="4" customWidth="1"/>
    <col min="40" max="40" width="15.7109375" style="3" customWidth="1"/>
    <col min="41" max="41" width="4.42578125" style="4" customWidth="1"/>
    <col min="42" max="42" width="15.7109375" style="3" customWidth="1"/>
    <col min="43" max="43" width="4.42578125" style="4" customWidth="1"/>
    <col min="44" max="44" width="15.7109375" style="3" customWidth="1"/>
    <col min="45" max="45" width="4.42578125" style="4" customWidth="1"/>
    <col min="46" max="46" width="15.7109375" style="3" customWidth="1"/>
    <col min="47" max="47" width="4.42578125" style="4" customWidth="1"/>
    <col min="48" max="48" width="15.7109375" style="3" customWidth="1"/>
    <col min="49" max="49" width="4.42578125" style="4" customWidth="1"/>
    <col min="50" max="50" width="15.7109375" style="3" customWidth="1"/>
    <col min="51" max="51" width="4.42578125" style="3" customWidth="1"/>
    <col min="52" max="52" width="15.7109375" style="3" customWidth="1"/>
    <col min="53" max="55" width="3.140625" style="3" customWidth="1"/>
    <col min="56" max="56" width="7.85546875" style="1" customWidth="1" collapsed="1"/>
    <col min="57" max="57" width="4.85546875" style="3" customWidth="1"/>
    <col min="58" max="58" width="4.42578125" style="4" customWidth="1"/>
    <col min="59" max="59" width="15.7109375" style="3" customWidth="1"/>
    <col min="60" max="60" width="4.42578125" style="4" customWidth="1"/>
    <col min="61" max="61" width="15.7109375" style="3" customWidth="1"/>
    <col min="62" max="62" width="4.42578125" style="4" customWidth="1"/>
    <col min="63" max="63" width="15.7109375" style="3" customWidth="1"/>
    <col min="64" max="64" width="4.42578125" style="4" customWidth="1"/>
    <col min="65" max="65" width="15.7109375" style="3" customWidth="1"/>
    <col min="66" max="66" width="4.42578125" style="4" customWidth="1"/>
    <col min="67" max="67" width="15.7109375" style="3" customWidth="1"/>
    <col min="68" max="68" width="4.42578125" style="4" customWidth="1"/>
    <col min="69" max="69" width="15.7109375" style="3" customWidth="1"/>
    <col min="70" max="70" width="4.42578125" style="4" customWidth="1"/>
    <col min="71" max="71" width="15.7109375" style="3" customWidth="1"/>
    <col min="72" max="72" width="4.42578125" style="4" customWidth="1"/>
    <col min="73" max="73" width="15.7109375" style="3" customWidth="1"/>
    <col min="74" max="74" width="4.42578125" style="4" customWidth="1"/>
    <col min="75" max="75" width="15.7109375" style="3" customWidth="1"/>
    <col min="76" max="76" width="4.42578125" style="4" customWidth="1"/>
    <col min="77" max="77" width="15.7109375" style="3" customWidth="1"/>
    <col min="78" max="78" width="4.42578125" style="3" customWidth="1"/>
    <col min="79" max="79" width="15.7109375" style="3" customWidth="1"/>
    <col min="80" max="82" width="3.140625" style="3" customWidth="1"/>
    <col min="83" max="83" width="7.85546875" style="1" customWidth="1" collapsed="1"/>
    <col min="84" max="89" width="4.85546875" style="3" customWidth="1"/>
    <col min="90" max="91" width="20.140625" style="67" customWidth="1"/>
    <col min="92" max="92" width="7.85546875" style="1" customWidth="1" collapsed="1"/>
    <col min="93" max="93" width="4.85546875" style="3" customWidth="1"/>
    <col min="94" max="94" width="4.42578125" style="4" customWidth="1"/>
    <col min="95" max="95" width="15.7109375" style="3" customWidth="1"/>
    <col min="96" max="96" width="4.42578125" style="4" customWidth="1"/>
    <col min="97" max="97" width="15.7109375" style="3" customWidth="1"/>
    <col min="98" max="98" width="4.42578125" style="4" customWidth="1"/>
    <col min="99" max="99" width="15.7109375" style="3" customWidth="1"/>
    <col min="100" max="100" width="8.85546875" style="67"/>
    <col min="101" max="104" width="8.85546875" style="67" customWidth="1"/>
    <col min="105" max="106" width="8.85546875" style="68" customWidth="1"/>
    <col min="107" max="107" width="12.140625" style="68" customWidth="1"/>
    <col min="108" max="112" width="8.85546875" style="68" customWidth="1"/>
    <col min="113" max="113" width="8.85546875" style="67" customWidth="1"/>
    <col min="114" max="16384" width="8.85546875" style="67"/>
  </cols>
  <sheetData>
    <row r="1" spans="1:112" s="66" customFormat="1" ht="42.7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N1" s="5"/>
      <c r="CO1" s="5"/>
      <c r="CP1" s="5"/>
      <c r="CQ1" s="5"/>
      <c r="CR1" s="5"/>
      <c r="CS1" s="5"/>
      <c r="CT1" s="5"/>
      <c r="CU1" s="5"/>
      <c r="DA1" s="3"/>
      <c r="DB1" s="3"/>
      <c r="DC1" s="3"/>
      <c r="DD1" s="3"/>
      <c r="DE1" s="3"/>
      <c r="DF1" s="3"/>
      <c r="DG1" s="3"/>
      <c r="DH1" s="3"/>
    </row>
    <row r="2" spans="1:112" ht="28.5" customHeight="1">
      <c r="A2" s="194">
        <v>2025</v>
      </c>
      <c r="B2" s="194"/>
      <c r="C2" s="195"/>
      <c r="D2" s="196" t="s">
        <v>0</v>
      </c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8"/>
      <c r="AC2" s="186">
        <f>$A$2</f>
        <v>2025</v>
      </c>
      <c r="AD2" s="187"/>
      <c r="AE2" s="188" t="s">
        <v>1</v>
      </c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90"/>
      <c r="BD2" s="187">
        <f>$A$2</f>
        <v>2025</v>
      </c>
      <c r="BE2" s="187"/>
      <c r="BF2" s="183" t="s">
        <v>2</v>
      </c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5"/>
      <c r="CE2" s="170">
        <f>$A$2</f>
        <v>2025</v>
      </c>
      <c r="CF2" s="170"/>
      <c r="CG2" s="199" t="s">
        <v>3</v>
      </c>
      <c r="CH2" s="200"/>
      <c r="CI2" s="200"/>
      <c r="CJ2" s="200"/>
      <c r="CK2" s="201"/>
      <c r="CN2" s="170">
        <f>$A$2</f>
        <v>2025</v>
      </c>
      <c r="CO2" s="170"/>
      <c r="CP2" s="157" t="s">
        <v>4</v>
      </c>
      <c r="CQ2" s="158"/>
      <c r="CR2" s="158"/>
      <c r="CS2" s="158"/>
      <c r="CT2" s="158"/>
      <c r="CU2" s="159"/>
      <c r="CZ2" s="68"/>
    </row>
    <row r="3" spans="1:112" ht="40">
      <c r="A3" s="194"/>
      <c r="B3" s="194"/>
      <c r="C3" s="195"/>
      <c r="D3" s="69" t="s">
        <v>5</v>
      </c>
      <c r="E3" s="13">
        <v>201</v>
      </c>
      <c r="F3" s="69" t="s">
        <v>5</v>
      </c>
      <c r="G3" s="13">
        <v>202</v>
      </c>
      <c r="H3" s="69" t="s">
        <v>5</v>
      </c>
      <c r="I3" s="13">
        <v>203</v>
      </c>
      <c r="J3" s="69" t="s">
        <v>5</v>
      </c>
      <c r="K3" s="13">
        <v>204</v>
      </c>
      <c r="L3" s="69" t="s">
        <v>5</v>
      </c>
      <c r="M3" s="13">
        <v>205</v>
      </c>
      <c r="N3" s="69" t="s">
        <v>5</v>
      </c>
      <c r="O3" s="13">
        <v>206</v>
      </c>
      <c r="P3" s="69" t="s">
        <v>5</v>
      </c>
      <c r="Q3" s="13">
        <v>207</v>
      </c>
      <c r="R3" s="69" t="s">
        <v>5</v>
      </c>
      <c r="S3" s="13">
        <v>208</v>
      </c>
      <c r="T3" s="69" t="s">
        <v>5</v>
      </c>
      <c r="U3" s="13">
        <v>209</v>
      </c>
      <c r="V3" s="69" t="s">
        <v>5</v>
      </c>
      <c r="W3" s="14">
        <v>210</v>
      </c>
      <c r="X3" s="70" t="s">
        <v>5</v>
      </c>
      <c r="Y3" s="15" t="s">
        <v>6</v>
      </c>
      <c r="Z3" s="30" t="s">
        <v>7</v>
      </c>
      <c r="AA3" s="31" t="s">
        <v>8</v>
      </c>
      <c r="AB3" s="20" t="s">
        <v>9</v>
      </c>
      <c r="AC3" s="186"/>
      <c r="AD3" s="187"/>
      <c r="AE3" s="71" t="s">
        <v>5</v>
      </c>
      <c r="AF3" s="16">
        <v>301</v>
      </c>
      <c r="AG3" s="71" t="s">
        <v>5</v>
      </c>
      <c r="AH3" s="16">
        <v>302</v>
      </c>
      <c r="AI3" s="71" t="s">
        <v>5</v>
      </c>
      <c r="AJ3" s="16">
        <v>303</v>
      </c>
      <c r="AK3" s="71" t="s">
        <v>5</v>
      </c>
      <c r="AL3" s="16">
        <v>304</v>
      </c>
      <c r="AM3" s="71" t="s">
        <v>5</v>
      </c>
      <c r="AN3" s="16">
        <v>305</v>
      </c>
      <c r="AO3" s="71" t="s">
        <v>5</v>
      </c>
      <c r="AP3" s="16">
        <v>306</v>
      </c>
      <c r="AQ3" s="71" t="s">
        <v>5</v>
      </c>
      <c r="AR3" s="16">
        <v>307</v>
      </c>
      <c r="AS3" s="71" t="s">
        <v>5</v>
      </c>
      <c r="AT3" s="16">
        <v>308</v>
      </c>
      <c r="AU3" s="71" t="s">
        <v>5</v>
      </c>
      <c r="AV3" s="16">
        <v>309</v>
      </c>
      <c r="AW3" s="71" t="s">
        <v>5</v>
      </c>
      <c r="AX3" s="17">
        <v>310</v>
      </c>
      <c r="AY3" s="70" t="s">
        <v>5</v>
      </c>
      <c r="AZ3" s="15" t="s">
        <v>6</v>
      </c>
      <c r="BA3" s="30" t="s">
        <v>7</v>
      </c>
      <c r="BB3" s="31" t="s">
        <v>8</v>
      </c>
      <c r="BC3" s="20" t="s">
        <v>9</v>
      </c>
      <c r="BD3" s="187"/>
      <c r="BE3" s="187"/>
      <c r="BF3" s="72" t="s">
        <v>5</v>
      </c>
      <c r="BG3" s="18"/>
      <c r="BH3" s="72" t="s">
        <v>5</v>
      </c>
      <c r="BI3" s="18"/>
      <c r="BJ3" s="72" t="s">
        <v>5</v>
      </c>
      <c r="BK3" s="18"/>
      <c r="BL3" s="72" t="s">
        <v>5</v>
      </c>
      <c r="BM3" s="18"/>
      <c r="BN3" s="72" t="s">
        <v>5</v>
      </c>
      <c r="BO3" s="18"/>
      <c r="BP3" s="72" t="s">
        <v>5</v>
      </c>
      <c r="BQ3" s="18"/>
      <c r="BR3" s="72" t="s">
        <v>5</v>
      </c>
      <c r="BS3" s="18"/>
      <c r="BT3" s="72" t="s">
        <v>5</v>
      </c>
      <c r="BU3" s="18"/>
      <c r="BV3" s="72" t="s">
        <v>5</v>
      </c>
      <c r="BW3" s="18"/>
      <c r="BX3" s="72" t="s">
        <v>5</v>
      </c>
      <c r="BY3" s="19"/>
      <c r="BZ3" s="70" t="s">
        <v>5</v>
      </c>
      <c r="CA3" s="15"/>
      <c r="CB3" s="30" t="s">
        <v>7</v>
      </c>
      <c r="CC3" s="31" t="s">
        <v>8</v>
      </c>
      <c r="CD3" s="20" t="s">
        <v>9</v>
      </c>
      <c r="CE3" s="170"/>
      <c r="CF3" s="170"/>
      <c r="CG3" s="27" t="s">
        <v>10</v>
      </c>
      <c r="CH3" s="29" t="s">
        <v>11</v>
      </c>
      <c r="CI3" s="28" t="s">
        <v>12</v>
      </c>
      <c r="CJ3" s="21" t="s">
        <v>13</v>
      </c>
      <c r="CK3" s="22" t="s">
        <v>14</v>
      </c>
      <c r="CL3" s="75"/>
      <c r="CN3" s="170"/>
      <c r="CO3" s="170"/>
      <c r="CP3" s="152" t="s">
        <v>5</v>
      </c>
      <c r="CQ3" s="23" t="s">
        <v>15</v>
      </c>
      <c r="CR3" s="152" t="s">
        <v>5</v>
      </c>
      <c r="CS3" s="23" t="s">
        <v>16</v>
      </c>
      <c r="CT3" s="152" t="s">
        <v>5</v>
      </c>
      <c r="CU3" s="23" t="s">
        <v>17</v>
      </c>
      <c r="CZ3" s="68" t="s">
        <v>18</v>
      </c>
      <c r="DA3" s="68" t="s">
        <v>19</v>
      </c>
      <c r="DB3" s="68" t="s">
        <v>20</v>
      </c>
      <c r="DC3" s="68" t="s">
        <v>21</v>
      </c>
      <c r="DD3" s="68" t="s">
        <v>22</v>
      </c>
      <c r="DE3" s="68" t="s">
        <v>23</v>
      </c>
      <c r="DF3" s="68" t="s">
        <v>24</v>
      </c>
      <c r="DG3" s="68" t="s">
        <v>25</v>
      </c>
      <c r="DH3" s="68" t="s">
        <v>26</v>
      </c>
    </row>
    <row r="4" spans="1:112" ht="30" customHeight="1">
      <c r="A4" s="252">
        <f t="shared" ref="A4" si="0">$DC4</f>
        <v>45682</v>
      </c>
      <c r="B4" s="253" t="str">
        <f t="shared" ref="B4" si="1">TEXT($A4,"aaa")</f>
        <v>土</v>
      </c>
      <c r="C4" s="254" t="s">
        <v>27</v>
      </c>
      <c r="D4" s="255"/>
      <c r="E4" s="256"/>
      <c r="F4" s="257"/>
      <c r="G4" s="258"/>
      <c r="H4" s="257"/>
      <c r="I4" s="259"/>
      <c r="J4" s="260"/>
      <c r="K4" s="261"/>
      <c r="L4" s="257"/>
      <c r="M4" s="262"/>
      <c r="N4" s="257"/>
      <c r="O4" s="256"/>
      <c r="P4" s="263"/>
      <c r="Q4" s="264"/>
      <c r="R4" s="257"/>
      <c r="S4" s="265"/>
      <c r="T4" s="257"/>
      <c r="U4" s="262"/>
      <c r="V4" s="263"/>
      <c r="W4" s="266"/>
      <c r="X4" s="267"/>
      <c r="Y4" s="268"/>
      <c r="Z4" s="269">
        <f t="shared" ref="Z4" ca="1" si="2">UDayCou(1,ROW())</f>
        <v>8</v>
      </c>
      <c r="AA4" s="270">
        <f t="shared" ref="AA4" ca="1" si="3">UNightCou(1,ROW())</f>
        <v>5</v>
      </c>
      <c r="AB4" s="271">
        <f t="shared" ref="AB4" ca="1" si="4">UNewCou(1,ROW())</f>
        <v>0</v>
      </c>
      <c r="AC4" s="272">
        <f t="shared" ref="AC4" si="5">$A4</f>
        <v>45682</v>
      </c>
      <c r="AD4" s="273" t="str">
        <f t="shared" ref="AD4" si="6">$B4</f>
        <v>土</v>
      </c>
      <c r="AE4" s="257">
        <v>15</v>
      </c>
      <c r="AF4" s="262"/>
      <c r="AG4" s="260"/>
      <c r="AH4" s="274"/>
      <c r="AI4" s="257"/>
      <c r="AJ4" s="256"/>
      <c r="AK4" s="257"/>
      <c r="AL4" s="256"/>
      <c r="AM4" s="263"/>
      <c r="AN4" s="275"/>
      <c r="AO4" s="260"/>
      <c r="AP4" s="274"/>
      <c r="AQ4" s="257"/>
      <c r="AR4" s="256"/>
      <c r="AS4" s="257"/>
      <c r="AT4" s="258"/>
      <c r="AU4" s="257"/>
      <c r="AV4" s="264"/>
      <c r="AW4" s="260"/>
      <c r="AX4" s="274"/>
      <c r="AY4" s="263"/>
      <c r="AZ4" s="276"/>
      <c r="BA4" s="269">
        <f ca="1">UDayCou(2,ROW())</f>
        <v>6</v>
      </c>
      <c r="BB4" s="270">
        <f ca="1">UNightCou(2,ROW())</f>
        <v>5</v>
      </c>
      <c r="BC4" s="271">
        <f ca="1">UNewCou(2,ROW())</f>
        <v>0</v>
      </c>
      <c r="BD4" s="252">
        <f t="shared" ref="BD4" si="7">$A4</f>
        <v>45682</v>
      </c>
      <c r="BE4" s="273" t="str">
        <f t="shared" ref="BE4" si="8">$B4</f>
        <v>土</v>
      </c>
      <c r="BF4" s="255"/>
      <c r="BG4" s="277"/>
      <c r="BH4" s="278"/>
      <c r="BI4" s="277"/>
      <c r="BJ4" s="278"/>
      <c r="BK4" s="277"/>
      <c r="BL4" s="278"/>
      <c r="BM4" s="277"/>
      <c r="BN4" s="278"/>
      <c r="BO4" s="277"/>
      <c r="BP4" s="278"/>
      <c r="BQ4" s="277"/>
      <c r="BR4" s="278"/>
      <c r="BS4" s="277"/>
      <c r="BT4" s="278"/>
      <c r="BU4" s="277"/>
      <c r="BV4" s="278"/>
      <c r="BW4" s="277"/>
      <c r="BX4" s="278"/>
      <c r="BY4" s="277"/>
      <c r="BZ4" s="267"/>
      <c r="CA4" s="268"/>
      <c r="CB4" s="269">
        <f ca="1">UDayCou(3,ROW())</f>
        <v>0</v>
      </c>
      <c r="CC4" s="270">
        <f ca="1">UNightCou(3,ROW())</f>
        <v>0</v>
      </c>
      <c r="CD4" s="271">
        <f ca="1">UNewCou(3,ROW())</f>
        <v>0</v>
      </c>
      <c r="CE4" s="252">
        <f t="shared" ref="CE4" si="9">$A4</f>
        <v>45682</v>
      </c>
      <c r="CF4" s="273" t="str">
        <f t="shared" ref="CF4" si="10">$B4</f>
        <v>土</v>
      </c>
      <c r="CG4" s="279">
        <f t="shared" ref="CG4" ca="1" si="11">Z4+BA4+CB4</f>
        <v>14</v>
      </c>
      <c r="CH4" s="280">
        <f t="shared" ref="CH4" ca="1" si="12">AA4+BB4+CC4</f>
        <v>10</v>
      </c>
      <c r="CI4" s="281">
        <f t="shared" ref="CI4" ca="1" si="13">AB4+BC4+CD4</f>
        <v>0</v>
      </c>
      <c r="CJ4" s="282">
        <f ca="1">COUNTIF(INDIRECT("D52:CA53"),"*●*")</f>
        <v>0</v>
      </c>
      <c r="CK4" s="283">
        <f ca="1">COUNTIF(INDIRECT("D52:CA53"),"*㋷*")</f>
        <v>0</v>
      </c>
      <c r="CL4" s="75"/>
      <c r="CN4" s="160">
        <f t="shared" ref="CN4" si="14">$A4</f>
        <v>45682</v>
      </c>
      <c r="CO4" s="167" t="str">
        <f t="shared" ref="CO4" si="15">$B4</f>
        <v>土</v>
      </c>
      <c r="CP4" s="312"/>
      <c r="CQ4" s="313"/>
      <c r="CR4" s="314"/>
      <c r="CS4" s="313"/>
      <c r="CT4" s="314"/>
      <c r="CU4" s="313"/>
      <c r="CZ4" s="73">
        <v>1</v>
      </c>
      <c r="DA4" s="73">
        <v>1</v>
      </c>
      <c r="DB4" s="73">
        <v>25</v>
      </c>
      <c r="DC4" s="74">
        <f t="shared" ref="DC4:DC35" si="16">DATE($A$2,$DA4,$DB4)</f>
        <v>45682</v>
      </c>
      <c r="DD4" s="68" t="str">
        <f t="shared" ref="DD4:DD20" ca="1" si="17">TEXT($DC4,"aaa")</f>
        <v>土</v>
      </c>
      <c r="DF4" s="155">
        <f t="shared" ref="DF4" si="18">$DC4</f>
        <v>45682</v>
      </c>
      <c r="DG4" s="156" t="e">
        <f ca="1">IF($CH4&gt;=設定!$E$12,"✕",IF(SS予約表!$CG4&gt;=設定!$E$12,"△","○"))</f>
        <v>#NAME?</v>
      </c>
    </row>
    <row r="5" spans="1:112" ht="30" customHeight="1" thickBot="1">
      <c r="A5" s="284"/>
      <c r="B5" s="285"/>
      <c r="C5" s="286" t="s">
        <v>28</v>
      </c>
      <c r="D5" s="301">
        <v>10</v>
      </c>
      <c r="E5" s="318"/>
      <c r="F5" s="319"/>
      <c r="G5" s="318"/>
      <c r="H5" s="320"/>
      <c r="I5" s="321"/>
      <c r="J5" s="299"/>
      <c r="K5" s="322"/>
      <c r="L5" s="319"/>
      <c r="M5" s="323"/>
      <c r="N5" s="319"/>
      <c r="O5" s="323"/>
      <c r="P5" s="320"/>
      <c r="Q5" s="324"/>
      <c r="R5" s="319"/>
      <c r="S5" s="318"/>
      <c r="T5" s="319"/>
      <c r="U5" s="323"/>
      <c r="V5" s="319"/>
      <c r="W5" s="323"/>
      <c r="X5" s="303"/>
      <c r="Y5" s="304"/>
      <c r="Z5" s="294"/>
      <c r="AA5" s="295"/>
      <c r="AB5" s="296"/>
      <c r="AC5" s="297"/>
      <c r="AD5" s="298"/>
      <c r="AE5" s="319"/>
      <c r="AF5" s="323"/>
      <c r="AG5" s="320"/>
      <c r="AH5" s="324"/>
      <c r="AI5" s="299"/>
      <c r="AJ5" s="300"/>
      <c r="AK5" s="319"/>
      <c r="AL5" s="318"/>
      <c r="AM5" s="320"/>
      <c r="AN5" s="324"/>
      <c r="AO5" s="299"/>
      <c r="AP5" s="300"/>
      <c r="AQ5" s="299"/>
      <c r="AR5" s="300"/>
      <c r="AS5" s="319"/>
      <c r="AT5" s="318"/>
      <c r="AU5" s="319"/>
      <c r="AV5" s="318"/>
      <c r="AW5" s="299"/>
      <c r="AX5" s="300"/>
      <c r="AY5" s="325"/>
      <c r="AZ5" s="326"/>
      <c r="BA5" s="294"/>
      <c r="BB5" s="295"/>
      <c r="BC5" s="296"/>
      <c r="BD5" s="284"/>
      <c r="BE5" s="298"/>
      <c r="BF5" s="305"/>
      <c r="BG5" s="302"/>
      <c r="BH5" s="301"/>
      <c r="BI5" s="302"/>
      <c r="BJ5" s="301"/>
      <c r="BK5" s="302"/>
      <c r="BL5" s="301"/>
      <c r="BM5" s="302"/>
      <c r="BN5" s="301"/>
      <c r="BO5" s="302"/>
      <c r="BP5" s="301"/>
      <c r="BQ5" s="302"/>
      <c r="BR5" s="301"/>
      <c r="BS5" s="302"/>
      <c r="BT5" s="301"/>
      <c r="BU5" s="302"/>
      <c r="BV5" s="301"/>
      <c r="BW5" s="302"/>
      <c r="BX5" s="301"/>
      <c r="BY5" s="302"/>
      <c r="BZ5" s="303"/>
      <c r="CA5" s="304"/>
      <c r="CB5" s="294"/>
      <c r="CC5" s="295"/>
      <c r="CD5" s="296"/>
      <c r="CE5" s="284"/>
      <c r="CF5" s="298"/>
      <c r="CG5" s="307"/>
      <c r="CH5" s="308"/>
      <c r="CI5" s="309"/>
      <c r="CJ5" s="310"/>
      <c r="CK5" s="311"/>
      <c r="CL5" s="75"/>
      <c r="CN5" s="161"/>
      <c r="CO5" s="163"/>
      <c r="CP5" s="315"/>
      <c r="CQ5" s="316"/>
      <c r="CR5" s="317"/>
      <c r="CS5" s="316"/>
      <c r="CT5" s="317"/>
      <c r="CU5" s="316"/>
      <c r="CZ5" s="73">
        <v>1</v>
      </c>
      <c r="DA5" s="73">
        <v>1</v>
      </c>
      <c r="DB5" s="73">
        <v>25</v>
      </c>
      <c r="DC5" s="74">
        <f t="shared" si="16"/>
        <v>45682</v>
      </c>
      <c r="DD5" s="68" t="str">
        <f t="shared" ca="1" si="17"/>
        <v>土</v>
      </c>
      <c r="DF5" s="156"/>
      <c r="DG5" s="156"/>
    </row>
    <row r="6" spans="1:112" ht="30" customHeight="1">
      <c r="A6" s="491">
        <f t="shared" ref="A6" ca="1" si="19">$DC6</f>
        <v>45683</v>
      </c>
      <c r="B6" s="492" t="str">
        <f t="shared" ref="B6" ca="1" si="20">TEXT($A6,"aaa")</f>
        <v>日</v>
      </c>
      <c r="C6" s="493" t="s">
        <v>27</v>
      </c>
      <c r="D6" s="494"/>
      <c r="E6" s="495"/>
      <c r="F6" s="496"/>
      <c r="G6" s="495"/>
      <c r="H6" s="497"/>
      <c r="I6" s="498"/>
      <c r="J6" s="499"/>
      <c r="K6" s="500"/>
      <c r="L6" s="496"/>
      <c r="M6" s="498"/>
      <c r="N6" s="496"/>
      <c r="O6" s="498"/>
      <c r="P6" s="497"/>
      <c r="Q6" s="501"/>
      <c r="R6" s="496"/>
      <c r="S6" s="502"/>
      <c r="T6" s="496"/>
      <c r="U6" s="503"/>
      <c r="V6" s="496"/>
      <c r="W6" s="498"/>
      <c r="X6" s="504"/>
      <c r="Y6" s="505"/>
      <c r="Z6" s="506">
        <f t="shared" ref="Z6" ca="1" si="21">UDayCou(1,ROW())</f>
        <v>6</v>
      </c>
      <c r="AA6" s="507">
        <f t="shared" ref="AA6" ca="1" si="22">UNightCou(1,ROW())</f>
        <v>5</v>
      </c>
      <c r="AB6" s="508">
        <f t="shared" ref="AB6" ca="1" si="23">UNewCou(1,ROW())</f>
        <v>1</v>
      </c>
      <c r="AC6" s="509">
        <f t="shared" ref="AC6" ca="1" si="24">$A6</f>
        <v>45683</v>
      </c>
      <c r="AD6" s="510" t="str">
        <f t="shared" ref="AD6" ca="1" si="25">$B6</f>
        <v>日</v>
      </c>
      <c r="AE6" s="496"/>
      <c r="AF6" s="503"/>
      <c r="AG6" s="497"/>
      <c r="AH6" s="495"/>
      <c r="AI6" s="499"/>
      <c r="AJ6" s="511"/>
      <c r="AK6" s="496"/>
      <c r="AL6" s="495"/>
      <c r="AM6" s="497"/>
      <c r="AN6" s="495"/>
      <c r="AO6" s="499"/>
      <c r="AP6" s="511"/>
      <c r="AQ6" s="499"/>
      <c r="AR6" s="511"/>
      <c r="AS6" s="496"/>
      <c r="AT6" s="495"/>
      <c r="AU6" s="496"/>
      <c r="AV6" s="500"/>
      <c r="AW6" s="499"/>
      <c r="AX6" s="511"/>
      <c r="AY6" s="512"/>
      <c r="AZ6" s="513"/>
      <c r="BA6" s="506">
        <f ca="1">UDayCou(2,ROW())</f>
        <v>6</v>
      </c>
      <c r="BB6" s="507">
        <f ca="1">UNightCou(2,ROW())</f>
        <v>6</v>
      </c>
      <c r="BC6" s="508">
        <f ca="1">UNewCou(2,ROW())</f>
        <v>1</v>
      </c>
      <c r="BD6" s="491">
        <f t="shared" ref="BD6" ca="1" si="26">$A6</f>
        <v>45683</v>
      </c>
      <c r="BE6" s="510" t="str">
        <f t="shared" ref="BE6" ca="1" si="27">$B6</f>
        <v>日</v>
      </c>
      <c r="BF6" s="514"/>
      <c r="BG6" s="515"/>
      <c r="BH6" s="494"/>
      <c r="BI6" s="515"/>
      <c r="BJ6" s="494"/>
      <c r="BK6" s="515"/>
      <c r="BL6" s="494"/>
      <c r="BM6" s="515"/>
      <c r="BN6" s="494"/>
      <c r="BO6" s="515"/>
      <c r="BP6" s="494"/>
      <c r="BQ6" s="515"/>
      <c r="BR6" s="494"/>
      <c r="BS6" s="515"/>
      <c r="BT6" s="494"/>
      <c r="BU6" s="515"/>
      <c r="BV6" s="494"/>
      <c r="BW6" s="515"/>
      <c r="BX6" s="494"/>
      <c r="BY6" s="515"/>
      <c r="BZ6" s="504"/>
      <c r="CA6" s="505"/>
      <c r="CB6" s="506">
        <f ca="1">UDayCou(3,ROW())</f>
        <v>0</v>
      </c>
      <c r="CC6" s="507">
        <f ca="1">UNightCou(3,ROW())</f>
        <v>0</v>
      </c>
      <c r="CD6" s="508">
        <f ca="1">UNewCou(3,ROW())</f>
        <v>0</v>
      </c>
      <c r="CE6" s="491">
        <f t="shared" ref="CE6" ca="1" si="28">$A6</f>
        <v>45683</v>
      </c>
      <c r="CF6" s="510" t="str">
        <f t="shared" ref="CF6" ca="1" si="29">$B6</f>
        <v>日</v>
      </c>
      <c r="CG6" s="516">
        <f t="shared" ref="CG6" ca="1" si="30">Z6+BA6+CB6</f>
        <v>12</v>
      </c>
      <c r="CH6" s="517">
        <f t="shared" ref="CH6" ca="1" si="31">AA6+BB6+CC6</f>
        <v>11</v>
      </c>
      <c r="CI6" s="518">
        <f t="shared" ref="CI6" ca="1" si="32">AB6+BC6+CD6</f>
        <v>2</v>
      </c>
      <c r="CJ6" s="519">
        <f ca="1">COUNTIF(INDIRECT("D54:CA55"),"*●*")</f>
        <v>0</v>
      </c>
      <c r="CK6" s="520">
        <f ca="1">COUNTIF(INDIRECT("D54:CA55"),"*㋷*")</f>
        <v>0</v>
      </c>
      <c r="CL6" s="75"/>
      <c r="CN6" s="164">
        <f t="shared" ref="CN6" ca="1" si="33">$A6</f>
        <v>45683</v>
      </c>
      <c r="CO6" s="166" t="str">
        <f t="shared" ref="CO6" ca="1" si="34">$B6</f>
        <v>日</v>
      </c>
      <c r="CP6" s="521"/>
      <c r="CQ6" s="522"/>
      <c r="CR6" s="523"/>
      <c r="CS6" s="522"/>
      <c r="CT6" s="523"/>
      <c r="CU6" s="522"/>
      <c r="CZ6" s="73">
        <v>1</v>
      </c>
      <c r="DA6" s="73">
        <v>1</v>
      </c>
      <c r="DB6" s="73">
        <v>26</v>
      </c>
      <c r="DC6" s="74">
        <f t="shared" ca="1" si="16"/>
        <v>45683</v>
      </c>
      <c r="DD6" s="68" t="str">
        <f t="shared" ca="1" si="17"/>
        <v>日</v>
      </c>
      <c r="DF6" s="155">
        <f t="shared" ref="DF6" ca="1" si="35">$DC6</f>
        <v>45683</v>
      </c>
      <c r="DG6" s="156" t="str">
        <f ca="1">IF($CH6&gt;=設定!$E$12,"✕",IF(SS予約表!$CG6&gt;=設定!$E$12,"△","○"))</f>
        <v>○</v>
      </c>
    </row>
    <row r="7" spans="1:112" ht="30" customHeight="1" thickBot="1">
      <c r="A7" s="284"/>
      <c r="B7" s="285"/>
      <c r="C7" s="286" t="s">
        <v>28</v>
      </c>
      <c r="D7" s="301"/>
      <c r="E7" s="318"/>
      <c r="F7" s="319"/>
      <c r="G7" s="318"/>
      <c r="H7" s="320"/>
      <c r="I7" s="321"/>
      <c r="J7" s="299"/>
      <c r="K7" s="322"/>
      <c r="L7" s="360"/>
      <c r="M7" s="324"/>
      <c r="N7" s="319"/>
      <c r="O7" s="323"/>
      <c r="P7" s="361"/>
      <c r="Q7" s="323"/>
      <c r="R7" s="319"/>
      <c r="S7" s="318"/>
      <c r="T7" s="319"/>
      <c r="U7" s="323"/>
      <c r="V7" s="362"/>
      <c r="W7" s="300"/>
      <c r="X7" s="303"/>
      <c r="Y7" s="304"/>
      <c r="Z7" s="294"/>
      <c r="AA7" s="295"/>
      <c r="AB7" s="296"/>
      <c r="AC7" s="297"/>
      <c r="AD7" s="298"/>
      <c r="AE7" s="319"/>
      <c r="AF7" s="323"/>
      <c r="AG7" s="320"/>
      <c r="AH7" s="324"/>
      <c r="AI7" s="363"/>
      <c r="AJ7" s="364"/>
      <c r="AK7" s="319"/>
      <c r="AL7" s="318"/>
      <c r="AM7" s="320"/>
      <c r="AN7" s="324"/>
      <c r="AO7" s="299"/>
      <c r="AP7" s="300"/>
      <c r="AQ7" s="299"/>
      <c r="AR7" s="300"/>
      <c r="AS7" s="319"/>
      <c r="AT7" s="318"/>
      <c r="AU7" s="319"/>
      <c r="AV7" s="318"/>
      <c r="AW7" s="299"/>
      <c r="AX7" s="300"/>
      <c r="AY7" s="325"/>
      <c r="AZ7" s="326"/>
      <c r="BA7" s="294"/>
      <c r="BB7" s="295"/>
      <c r="BC7" s="296"/>
      <c r="BD7" s="284"/>
      <c r="BE7" s="298"/>
      <c r="BF7" s="305"/>
      <c r="BG7" s="302"/>
      <c r="BH7" s="301"/>
      <c r="BI7" s="302"/>
      <c r="BJ7" s="301"/>
      <c r="BK7" s="302"/>
      <c r="BL7" s="301"/>
      <c r="BM7" s="302"/>
      <c r="BN7" s="301"/>
      <c r="BO7" s="302"/>
      <c r="BP7" s="301"/>
      <c r="BQ7" s="302"/>
      <c r="BR7" s="301"/>
      <c r="BS7" s="302"/>
      <c r="BT7" s="301"/>
      <c r="BU7" s="302"/>
      <c r="BV7" s="301"/>
      <c r="BW7" s="302"/>
      <c r="BX7" s="301"/>
      <c r="BY7" s="302"/>
      <c r="BZ7" s="303"/>
      <c r="CA7" s="304"/>
      <c r="CB7" s="294"/>
      <c r="CC7" s="295"/>
      <c r="CD7" s="296"/>
      <c r="CE7" s="284"/>
      <c r="CF7" s="298"/>
      <c r="CG7" s="307"/>
      <c r="CH7" s="308"/>
      <c r="CI7" s="309"/>
      <c r="CJ7" s="310"/>
      <c r="CK7" s="311"/>
      <c r="CL7" s="75"/>
      <c r="CN7" s="161"/>
      <c r="CO7" s="163"/>
      <c r="CP7" s="315"/>
      <c r="CQ7" s="316"/>
      <c r="CR7" s="317"/>
      <c r="CS7" s="316"/>
      <c r="CT7" s="317"/>
      <c r="CU7" s="316"/>
      <c r="CZ7" s="73">
        <v>1</v>
      </c>
      <c r="DA7" s="73">
        <v>1</v>
      </c>
      <c r="DB7" s="73">
        <v>26</v>
      </c>
      <c r="DC7" s="74">
        <f t="shared" ca="1" si="16"/>
        <v>45683</v>
      </c>
      <c r="DD7" s="68" t="str">
        <f t="shared" ca="1" si="17"/>
        <v>日</v>
      </c>
      <c r="DF7" s="156"/>
      <c r="DG7" s="156"/>
    </row>
    <row r="8" spans="1:112" ht="30" customHeight="1">
      <c r="A8" s="327">
        <f t="shared" ref="A8" ca="1" si="36">$DC8</f>
        <v>45684</v>
      </c>
      <c r="B8" s="365" t="str">
        <f t="shared" ref="B8" ca="1" si="37">TEXT($A8,"aaa")</f>
        <v>月</v>
      </c>
      <c r="C8" s="329" t="s">
        <v>27</v>
      </c>
      <c r="D8" s="330">
        <v>15</v>
      </c>
      <c r="E8" s="366"/>
      <c r="F8" s="332"/>
      <c r="G8" s="366"/>
      <c r="H8" s="333"/>
      <c r="I8" s="334"/>
      <c r="J8" s="335"/>
      <c r="K8" s="367"/>
      <c r="L8" s="368"/>
      <c r="M8" s="331"/>
      <c r="N8" s="332"/>
      <c r="O8" s="339"/>
      <c r="P8" s="369"/>
      <c r="Q8" s="334"/>
      <c r="R8" s="333"/>
      <c r="S8" s="331"/>
      <c r="T8" s="332"/>
      <c r="U8" s="339"/>
      <c r="V8" s="370"/>
      <c r="W8" s="347"/>
      <c r="X8" s="340"/>
      <c r="Y8" s="341"/>
      <c r="Z8" s="342">
        <f t="shared" ref="Z8" ca="1" si="38">UDayCou(1,ROW())</f>
        <v>6</v>
      </c>
      <c r="AA8" s="343">
        <f t="shared" ref="AA8" ca="1" si="39">UNightCou(1,ROW())</f>
        <v>3</v>
      </c>
      <c r="AB8" s="344">
        <f t="shared" ref="AB8" ca="1" si="40">UNewCou(1,ROW())</f>
        <v>1</v>
      </c>
      <c r="AC8" s="345">
        <f t="shared" ref="AC8" ca="1" si="41">$A8</f>
        <v>45684</v>
      </c>
      <c r="AD8" s="371" t="str">
        <f t="shared" ref="AD8" ca="1" si="42">$B8</f>
        <v>月</v>
      </c>
      <c r="AE8" s="332"/>
      <c r="AF8" s="339"/>
      <c r="AG8" s="333"/>
      <c r="AH8" s="372"/>
      <c r="AI8" s="373"/>
      <c r="AJ8" s="374"/>
      <c r="AK8" s="332"/>
      <c r="AL8" s="366"/>
      <c r="AM8" s="333"/>
      <c r="AN8" s="337"/>
      <c r="AO8" s="335"/>
      <c r="AP8" s="347"/>
      <c r="AQ8" s="335"/>
      <c r="AR8" s="347"/>
      <c r="AS8" s="332"/>
      <c r="AT8" s="375"/>
      <c r="AU8" s="332"/>
      <c r="AV8" s="338"/>
      <c r="AW8" s="335"/>
      <c r="AX8" s="347"/>
      <c r="AY8" s="348"/>
      <c r="AZ8" s="349"/>
      <c r="BA8" s="342">
        <f ca="1">UDayCou(2,ROW())</f>
        <v>7</v>
      </c>
      <c r="BB8" s="343">
        <f ca="1">UNightCou(2,ROW())</f>
        <v>3</v>
      </c>
      <c r="BC8" s="344">
        <f ca="1">UNewCou(2,ROW())</f>
        <v>2</v>
      </c>
      <c r="BD8" s="327">
        <f t="shared" ref="BD8" ca="1" si="43">$A8</f>
        <v>45684</v>
      </c>
      <c r="BE8" s="371" t="str">
        <f t="shared" ref="BE8" ca="1" si="44">$B8</f>
        <v>月</v>
      </c>
      <c r="BF8" s="350"/>
      <c r="BG8" s="351"/>
      <c r="BH8" s="330"/>
      <c r="BI8" s="351"/>
      <c r="BJ8" s="330"/>
      <c r="BK8" s="351"/>
      <c r="BL8" s="330"/>
      <c r="BM8" s="351"/>
      <c r="BN8" s="330"/>
      <c r="BO8" s="351"/>
      <c r="BP8" s="330"/>
      <c r="BQ8" s="351"/>
      <c r="BR8" s="330"/>
      <c r="BS8" s="351"/>
      <c r="BT8" s="330"/>
      <c r="BU8" s="351"/>
      <c r="BV8" s="330"/>
      <c r="BW8" s="351"/>
      <c r="BX8" s="330"/>
      <c r="BY8" s="351"/>
      <c r="BZ8" s="340"/>
      <c r="CA8" s="341"/>
      <c r="CB8" s="342">
        <f ca="1">UDayCou(3,ROW())</f>
        <v>0</v>
      </c>
      <c r="CC8" s="343">
        <f ca="1">UNightCou(3,ROW())</f>
        <v>0</v>
      </c>
      <c r="CD8" s="344">
        <f ca="1">UNewCou(3,ROW())</f>
        <v>0</v>
      </c>
      <c r="CE8" s="327">
        <f t="shared" ref="CE8" ca="1" si="45">$A8</f>
        <v>45684</v>
      </c>
      <c r="CF8" s="371" t="str">
        <f t="shared" ref="CF8" ca="1" si="46">$B8</f>
        <v>月</v>
      </c>
      <c r="CG8" s="352">
        <f t="shared" ref="CG8" ca="1" si="47">Z8+BA8+CB8</f>
        <v>13</v>
      </c>
      <c r="CH8" s="353">
        <f t="shared" ref="CH8" ca="1" si="48">AA8+BB8+CC8</f>
        <v>6</v>
      </c>
      <c r="CI8" s="354">
        <f t="shared" ref="CI8" ca="1" si="49">AB8+BC8+CD8</f>
        <v>3</v>
      </c>
      <c r="CJ8" s="355">
        <f ca="1">COUNTIF(INDIRECT("D56:CA57"),"*●*")</f>
        <v>0</v>
      </c>
      <c r="CK8" s="356">
        <f ca="1">COUNTIF(INDIRECT("D56:CA57"),"*㋷*")</f>
        <v>0</v>
      </c>
      <c r="CL8" s="25" t="s">
        <v>29</v>
      </c>
      <c r="CM8" s="153">
        <f ca="1">年</f>
        <v>2025</v>
      </c>
      <c r="CN8" s="160">
        <f t="shared" ref="CN8" ca="1" si="50">$A8</f>
        <v>45684</v>
      </c>
      <c r="CO8" s="162" t="str">
        <f t="shared" ref="CO8" ca="1" si="51">$B8</f>
        <v>月</v>
      </c>
      <c r="CP8" s="357"/>
      <c r="CQ8" s="358"/>
      <c r="CR8" s="359"/>
      <c r="CS8" s="358"/>
      <c r="CT8" s="359"/>
      <c r="CU8" s="358"/>
      <c r="CZ8" s="73">
        <v>1</v>
      </c>
      <c r="DA8" s="73">
        <v>1</v>
      </c>
      <c r="DB8" s="73">
        <v>27</v>
      </c>
      <c r="DC8" s="74">
        <f t="shared" ca="1" si="16"/>
        <v>45684</v>
      </c>
      <c r="DD8" s="68" t="str">
        <f t="shared" ca="1" si="17"/>
        <v>月</v>
      </c>
      <c r="DF8" s="155">
        <f t="shared" ref="DF8" ca="1" si="52">$DC8</f>
        <v>45684</v>
      </c>
      <c r="DG8" s="156" t="str">
        <f ca="1">IF($CH8&gt;=設定!$E$12,"✕",IF(SS予約表!$CG8&gt;=設定!$E$12,"△","○"))</f>
        <v>○</v>
      </c>
    </row>
    <row r="9" spans="1:112" ht="30" customHeight="1">
      <c r="A9" s="284"/>
      <c r="B9" s="285"/>
      <c r="C9" s="286" t="s">
        <v>28</v>
      </c>
      <c r="D9" s="305"/>
      <c r="E9" s="323"/>
      <c r="F9" s="319"/>
      <c r="G9" s="323"/>
      <c r="H9" s="320"/>
      <c r="I9" s="324"/>
      <c r="J9" s="361"/>
      <c r="K9" s="323"/>
      <c r="L9" s="360"/>
      <c r="M9" s="324"/>
      <c r="N9" s="319"/>
      <c r="O9" s="323"/>
      <c r="P9" s="361"/>
      <c r="Q9" s="323"/>
      <c r="R9" s="320"/>
      <c r="S9" s="324"/>
      <c r="T9" s="320"/>
      <c r="U9" s="321"/>
      <c r="V9" s="362"/>
      <c r="W9" s="300"/>
      <c r="X9" s="303"/>
      <c r="Y9" s="304"/>
      <c r="Z9" s="294"/>
      <c r="AA9" s="295"/>
      <c r="AB9" s="296"/>
      <c r="AC9" s="297"/>
      <c r="AD9" s="298"/>
      <c r="AE9" s="319"/>
      <c r="AF9" s="323"/>
      <c r="AG9" s="299"/>
      <c r="AH9" s="300"/>
      <c r="AI9" s="363"/>
      <c r="AJ9" s="364"/>
      <c r="AK9" s="319"/>
      <c r="AL9" s="323"/>
      <c r="AM9" s="320"/>
      <c r="AN9" s="321"/>
      <c r="AO9" s="299"/>
      <c r="AP9" s="300"/>
      <c r="AQ9" s="376"/>
      <c r="AR9" s="318"/>
      <c r="AS9" s="320"/>
      <c r="AT9" s="321"/>
      <c r="AU9" s="319"/>
      <c r="AV9" s="318"/>
      <c r="AW9" s="320"/>
      <c r="AX9" s="321"/>
      <c r="AY9" s="325"/>
      <c r="AZ9" s="326"/>
      <c r="BA9" s="294"/>
      <c r="BB9" s="295"/>
      <c r="BC9" s="296"/>
      <c r="BD9" s="284"/>
      <c r="BE9" s="298"/>
      <c r="BF9" s="305"/>
      <c r="BG9" s="302"/>
      <c r="BH9" s="301"/>
      <c r="BI9" s="302"/>
      <c r="BJ9" s="301"/>
      <c r="BK9" s="302"/>
      <c r="BL9" s="301"/>
      <c r="BM9" s="302"/>
      <c r="BN9" s="301"/>
      <c r="BO9" s="302"/>
      <c r="BP9" s="301"/>
      <c r="BQ9" s="302"/>
      <c r="BR9" s="301"/>
      <c r="BS9" s="302"/>
      <c r="BT9" s="301"/>
      <c r="BU9" s="302"/>
      <c r="BV9" s="301"/>
      <c r="BW9" s="302"/>
      <c r="BX9" s="301"/>
      <c r="BY9" s="302"/>
      <c r="BZ9" s="303"/>
      <c r="CA9" s="304"/>
      <c r="CB9" s="294"/>
      <c r="CC9" s="295"/>
      <c r="CD9" s="296"/>
      <c r="CE9" s="284"/>
      <c r="CF9" s="298"/>
      <c r="CG9" s="307"/>
      <c r="CH9" s="308"/>
      <c r="CI9" s="309"/>
      <c r="CJ9" s="310"/>
      <c r="CK9" s="311"/>
      <c r="CL9" s="26" t="s">
        <v>30</v>
      </c>
      <c r="CM9" s="154" t="s">
        <v>31</v>
      </c>
      <c r="CN9" s="161"/>
      <c r="CO9" s="163"/>
      <c r="CP9" s="315"/>
      <c r="CQ9" s="316"/>
      <c r="CR9" s="317"/>
      <c r="CS9" s="316"/>
      <c r="CT9" s="317"/>
      <c r="CU9" s="316"/>
      <c r="CZ9" s="73">
        <v>1</v>
      </c>
      <c r="DA9" s="73">
        <v>1</v>
      </c>
      <c r="DB9" s="73">
        <v>27</v>
      </c>
      <c r="DC9" s="74">
        <f t="shared" ca="1" si="16"/>
        <v>45684</v>
      </c>
      <c r="DD9" s="68" t="str">
        <f t="shared" ca="1" si="17"/>
        <v>月</v>
      </c>
      <c r="DF9" s="156"/>
      <c r="DG9" s="156"/>
    </row>
    <row r="10" spans="1:112" ht="30" customHeight="1">
      <c r="A10" s="327">
        <f t="shared" ref="A10" ca="1" si="53">$DC10</f>
        <v>45685</v>
      </c>
      <c r="B10" s="365" t="str">
        <f t="shared" ref="B10" ca="1" si="54">TEXT($A10,"aaa")</f>
        <v>火</v>
      </c>
      <c r="C10" s="329" t="s">
        <v>27</v>
      </c>
      <c r="D10" s="350"/>
      <c r="E10" s="339"/>
      <c r="F10" s="332"/>
      <c r="G10" s="339"/>
      <c r="H10" s="333"/>
      <c r="I10" s="336"/>
      <c r="J10" s="369"/>
      <c r="K10" s="339"/>
      <c r="L10" s="368"/>
      <c r="M10" s="377"/>
      <c r="N10" s="332"/>
      <c r="O10" s="339"/>
      <c r="P10" s="369"/>
      <c r="Q10" s="339"/>
      <c r="R10" s="333"/>
      <c r="S10" s="337"/>
      <c r="T10" s="333"/>
      <c r="U10" s="378"/>
      <c r="V10" s="370"/>
      <c r="W10" s="347"/>
      <c r="X10" s="340"/>
      <c r="Y10" s="341"/>
      <c r="Z10" s="342">
        <f t="shared" ref="Z10" ca="1" si="55">UDayCou(1,ROW())</f>
        <v>4</v>
      </c>
      <c r="AA10" s="343">
        <f t="shared" ref="AA10" ca="1" si="56">UNightCou(1,ROW())</f>
        <v>3</v>
      </c>
      <c r="AB10" s="344">
        <f t="shared" ref="AB10" ca="1" si="57">UNewCou(1,ROW())</f>
        <v>1</v>
      </c>
      <c r="AC10" s="345">
        <f t="shared" ref="AC10" ca="1" si="58">$A10</f>
        <v>45685</v>
      </c>
      <c r="AD10" s="371" t="str">
        <f t="shared" ref="AD10" ca="1" si="59">$B10</f>
        <v>火</v>
      </c>
      <c r="AE10" s="332"/>
      <c r="AF10" s="339"/>
      <c r="AG10" s="335"/>
      <c r="AH10" s="347"/>
      <c r="AI10" s="373"/>
      <c r="AJ10" s="379"/>
      <c r="AK10" s="332"/>
      <c r="AL10" s="339"/>
      <c r="AM10" s="333"/>
      <c r="AN10" s="378"/>
      <c r="AO10" s="335"/>
      <c r="AP10" s="347"/>
      <c r="AQ10" s="380"/>
      <c r="AR10" s="338"/>
      <c r="AS10" s="333"/>
      <c r="AT10" s="381"/>
      <c r="AU10" s="332"/>
      <c r="AV10" s="331"/>
      <c r="AW10" s="333"/>
      <c r="AX10" s="381"/>
      <c r="AY10" s="348"/>
      <c r="AZ10" s="349"/>
      <c r="BA10" s="342">
        <f ca="1">UDayCou(2,ROW())</f>
        <v>3</v>
      </c>
      <c r="BB10" s="343">
        <f ca="1">UNightCou(2,ROW())</f>
        <v>3</v>
      </c>
      <c r="BC10" s="344">
        <f ca="1">UNewCou(2,ROW())</f>
        <v>2</v>
      </c>
      <c r="BD10" s="327">
        <f t="shared" ref="BD10" ca="1" si="60">$A10</f>
        <v>45685</v>
      </c>
      <c r="BE10" s="371" t="str">
        <f t="shared" ref="BE10" ca="1" si="61">$B10</f>
        <v>火</v>
      </c>
      <c r="BF10" s="350"/>
      <c r="BG10" s="351"/>
      <c r="BH10" s="330"/>
      <c r="BI10" s="351"/>
      <c r="BJ10" s="330"/>
      <c r="BK10" s="351"/>
      <c r="BL10" s="330"/>
      <c r="BM10" s="351"/>
      <c r="BN10" s="330"/>
      <c r="BO10" s="351"/>
      <c r="BP10" s="330"/>
      <c r="BQ10" s="351"/>
      <c r="BR10" s="330"/>
      <c r="BS10" s="382"/>
      <c r="BT10" s="330"/>
      <c r="BU10" s="351"/>
      <c r="BV10" s="330"/>
      <c r="BW10" s="351"/>
      <c r="BX10" s="330"/>
      <c r="BY10" s="351"/>
      <c r="BZ10" s="340"/>
      <c r="CA10" s="341"/>
      <c r="CB10" s="342">
        <f ca="1">UDayCou(3,ROW())</f>
        <v>0</v>
      </c>
      <c r="CC10" s="343">
        <f ca="1">UNightCou(3,ROW())</f>
        <v>0</v>
      </c>
      <c r="CD10" s="344">
        <f ca="1">UNewCou(3,ROW())</f>
        <v>0</v>
      </c>
      <c r="CE10" s="327">
        <f t="shared" ref="CE10" ca="1" si="62">$A10</f>
        <v>45685</v>
      </c>
      <c r="CF10" s="371" t="str">
        <f t="shared" ref="CF10" ca="1" si="63">$B10</f>
        <v>火</v>
      </c>
      <c r="CG10" s="352">
        <f t="shared" ref="CG10" ca="1" si="64">Z10+BA10+CB10</f>
        <v>7</v>
      </c>
      <c r="CH10" s="353">
        <f t="shared" ref="CH10" ca="1" si="65">AA10+BB10+CC10</f>
        <v>6</v>
      </c>
      <c r="CI10" s="354">
        <f t="shared" ref="CI10" ca="1" si="66">AB10+BC10+CD10</f>
        <v>3</v>
      </c>
      <c r="CJ10" s="355">
        <f ca="1">COUNTIF(INDIRECT("D58:CA59"),"*●*")</f>
        <v>0</v>
      </c>
      <c r="CK10" s="356">
        <f ca="1">COUNTIF(INDIRECT("D58:CA59"),"*㋷*")</f>
        <v>0</v>
      </c>
      <c r="CL10" s="171">
        <v>31</v>
      </c>
      <c r="CM10" s="173">
        <f ca="1">IFERROR(CM16/CL16,0)</f>
        <v>0.70886075949367089</v>
      </c>
      <c r="CN10" s="160">
        <f t="shared" ref="CN10" ca="1" si="67">$A10</f>
        <v>45685</v>
      </c>
      <c r="CO10" s="162" t="str">
        <f t="shared" ref="CO10" ca="1" si="68">$B10</f>
        <v>火</v>
      </c>
      <c r="CP10" s="357"/>
      <c r="CQ10" s="358"/>
      <c r="CR10" s="359"/>
      <c r="CS10" s="358"/>
      <c r="CT10" s="359"/>
      <c r="CU10" s="358"/>
      <c r="CZ10" s="73">
        <v>1</v>
      </c>
      <c r="DA10" s="73">
        <v>1</v>
      </c>
      <c r="DB10" s="73">
        <v>28</v>
      </c>
      <c r="DC10" s="74">
        <f t="shared" ca="1" si="16"/>
        <v>45685</v>
      </c>
      <c r="DD10" s="68" t="str">
        <f t="shared" ca="1" si="17"/>
        <v>火</v>
      </c>
      <c r="DF10" s="155">
        <f t="shared" ref="DF10" ca="1" si="69">$DC10</f>
        <v>45685</v>
      </c>
      <c r="DG10" s="156" t="str">
        <f ca="1">IF($CH10&gt;=設定!$E$12,"✕",IF(SS予約表!$CG10&gt;=設定!$E$12,"△","○"))</f>
        <v>○</v>
      </c>
    </row>
    <row r="11" spans="1:112" ht="30" customHeight="1">
      <c r="A11" s="284"/>
      <c r="B11" s="285"/>
      <c r="C11" s="286" t="s">
        <v>28</v>
      </c>
      <c r="D11" s="305"/>
      <c r="E11" s="323"/>
      <c r="F11" s="319"/>
      <c r="G11" s="323"/>
      <c r="H11" s="320"/>
      <c r="I11" s="324"/>
      <c r="J11" s="320"/>
      <c r="K11" s="321"/>
      <c r="L11" s="360"/>
      <c r="M11" s="324"/>
      <c r="N11" s="319"/>
      <c r="O11" s="318"/>
      <c r="P11" s="319"/>
      <c r="Q11" s="323"/>
      <c r="R11" s="320"/>
      <c r="S11" s="321"/>
      <c r="T11" s="320"/>
      <c r="U11" s="321"/>
      <c r="V11" s="319"/>
      <c r="W11" s="323"/>
      <c r="X11" s="303"/>
      <c r="Y11" s="304"/>
      <c r="Z11" s="294"/>
      <c r="AA11" s="295"/>
      <c r="AB11" s="296"/>
      <c r="AC11" s="297"/>
      <c r="AD11" s="298"/>
      <c r="AE11" s="319"/>
      <c r="AF11" s="323"/>
      <c r="AG11" s="299"/>
      <c r="AH11" s="300"/>
      <c r="AI11" s="383"/>
      <c r="AJ11" s="384"/>
      <c r="AK11" s="319"/>
      <c r="AL11" s="323"/>
      <c r="AM11" s="320"/>
      <c r="AN11" s="321"/>
      <c r="AO11" s="319"/>
      <c r="AP11" s="323"/>
      <c r="AQ11" s="376"/>
      <c r="AR11" s="318"/>
      <c r="AS11" s="320"/>
      <c r="AT11" s="321"/>
      <c r="AU11" s="319"/>
      <c r="AV11" s="318"/>
      <c r="AW11" s="320"/>
      <c r="AX11" s="321"/>
      <c r="AY11" s="325"/>
      <c r="AZ11" s="326"/>
      <c r="BA11" s="294"/>
      <c r="BB11" s="295"/>
      <c r="BC11" s="296"/>
      <c r="BD11" s="284"/>
      <c r="BE11" s="298"/>
      <c r="BF11" s="305"/>
      <c r="BG11" s="302"/>
      <c r="BH11" s="301"/>
      <c r="BI11" s="302"/>
      <c r="BJ11" s="301"/>
      <c r="BK11" s="302"/>
      <c r="BL11" s="301"/>
      <c r="BM11" s="302"/>
      <c r="BN11" s="301"/>
      <c r="BO11" s="302"/>
      <c r="BP11" s="301"/>
      <c r="BQ11" s="302"/>
      <c r="BR11" s="301"/>
      <c r="BS11" s="385"/>
      <c r="BT11" s="301"/>
      <c r="BU11" s="302"/>
      <c r="BV11" s="301"/>
      <c r="BW11" s="302"/>
      <c r="BX11" s="301"/>
      <c r="BY11" s="302"/>
      <c r="BZ11" s="303"/>
      <c r="CA11" s="304"/>
      <c r="CB11" s="294"/>
      <c r="CC11" s="295"/>
      <c r="CD11" s="296"/>
      <c r="CE11" s="284"/>
      <c r="CF11" s="298"/>
      <c r="CG11" s="307"/>
      <c r="CH11" s="308"/>
      <c r="CI11" s="309"/>
      <c r="CJ11" s="310"/>
      <c r="CK11" s="311"/>
      <c r="CL11" s="172"/>
      <c r="CM11" s="174"/>
      <c r="CN11" s="161"/>
      <c r="CO11" s="163"/>
      <c r="CP11" s="315"/>
      <c r="CQ11" s="316"/>
      <c r="CR11" s="317"/>
      <c r="CS11" s="316"/>
      <c r="CT11" s="317"/>
      <c r="CU11" s="316"/>
      <c r="CZ11" s="73">
        <v>1</v>
      </c>
      <c r="DA11" s="73">
        <v>1</v>
      </c>
      <c r="DB11" s="73">
        <v>28</v>
      </c>
      <c r="DC11" s="74">
        <f t="shared" ca="1" si="16"/>
        <v>45685</v>
      </c>
      <c r="DD11" s="68" t="str">
        <f t="shared" ca="1" si="17"/>
        <v>火</v>
      </c>
      <c r="DF11" s="156"/>
      <c r="DG11" s="156"/>
    </row>
    <row r="12" spans="1:112" ht="30" customHeight="1">
      <c r="A12" s="327">
        <f t="shared" ref="A12" ca="1" si="70">$DC12</f>
        <v>45686</v>
      </c>
      <c r="B12" s="365" t="str">
        <f t="shared" ref="B12" ca="1" si="71">TEXT($A12,"aaa")</f>
        <v>水</v>
      </c>
      <c r="C12" s="329" t="s">
        <v>27</v>
      </c>
      <c r="D12" s="350"/>
      <c r="E12" s="339"/>
      <c r="F12" s="332"/>
      <c r="G12" s="339"/>
      <c r="H12" s="333"/>
      <c r="I12" s="337"/>
      <c r="J12" s="333"/>
      <c r="K12" s="378"/>
      <c r="L12" s="368"/>
      <c r="M12" s="377"/>
      <c r="N12" s="332"/>
      <c r="O12" s="336"/>
      <c r="P12" s="332"/>
      <c r="Q12" s="378"/>
      <c r="R12" s="333"/>
      <c r="S12" s="381"/>
      <c r="T12" s="333"/>
      <c r="U12" s="381"/>
      <c r="V12" s="332"/>
      <c r="W12" s="339"/>
      <c r="X12" s="340"/>
      <c r="Y12" s="341"/>
      <c r="Z12" s="342">
        <f t="shared" ref="Z12" ca="1" si="72">UDayCou(1,ROW())</f>
        <v>5</v>
      </c>
      <c r="AA12" s="343">
        <f t="shared" ref="AA12" ca="1" si="73">UNightCou(1,ROW())</f>
        <v>4</v>
      </c>
      <c r="AB12" s="344">
        <f t="shared" ref="AB12" ca="1" si="74">UNewCou(1,ROW())</f>
        <v>2</v>
      </c>
      <c r="AC12" s="345">
        <f t="shared" ref="AC12" ca="1" si="75">$A12</f>
        <v>45686</v>
      </c>
      <c r="AD12" s="371" t="str">
        <f t="shared" ref="AD12" ca="1" si="76">$B12</f>
        <v>水</v>
      </c>
      <c r="AE12" s="332"/>
      <c r="AF12" s="339"/>
      <c r="AG12" s="335"/>
      <c r="AH12" s="347"/>
      <c r="AI12" s="386"/>
      <c r="AJ12" s="387"/>
      <c r="AK12" s="332"/>
      <c r="AL12" s="378"/>
      <c r="AM12" s="333"/>
      <c r="AN12" s="381"/>
      <c r="AO12" s="332"/>
      <c r="AP12" s="339"/>
      <c r="AQ12" s="380"/>
      <c r="AR12" s="336"/>
      <c r="AS12" s="333"/>
      <c r="AT12" s="381"/>
      <c r="AU12" s="332"/>
      <c r="AV12" s="336"/>
      <c r="AW12" s="333"/>
      <c r="AX12" s="381"/>
      <c r="AY12" s="348"/>
      <c r="AZ12" s="349"/>
      <c r="BA12" s="342">
        <f ca="1">UDayCou(2,ROW())</f>
        <v>5</v>
      </c>
      <c r="BB12" s="343">
        <f ca="1">UNightCou(2,ROW())</f>
        <v>5</v>
      </c>
      <c r="BC12" s="344">
        <f ca="1">UNewCou(2,ROW())</f>
        <v>3</v>
      </c>
      <c r="BD12" s="327">
        <f t="shared" ref="BD12" ca="1" si="77">$A12</f>
        <v>45686</v>
      </c>
      <c r="BE12" s="371" t="str">
        <f t="shared" ref="BE12" ca="1" si="78">$B12</f>
        <v>水</v>
      </c>
      <c r="BF12" s="350"/>
      <c r="BG12" s="351"/>
      <c r="BH12" s="330"/>
      <c r="BI12" s="351"/>
      <c r="BJ12" s="330"/>
      <c r="BK12" s="351"/>
      <c r="BL12" s="330"/>
      <c r="BM12" s="351"/>
      <c r="BN12" s="330"/>
      <c r="BO12" s="351"/>
      <c r="BP12" s="330"/>
      <c r="BQ12" s="351"/>
      <c r="BR12" s="330"/>
      <c r="BS12" s="351"/>
      <c r="BT12" s="330"/>
      <c r="BU12" s="351"/>
      <c r="BV12" s="330"/>
      <c r="BW12" s="351"/>
      <c r="BX12" s="330"/>
      <c r="BY12" s="351"/>
      <c r="BZ12" s="340"/>
      <c r="CA12" s="341"/>
      <c r="CB12" s="342">
        <f ca="1">UDayCou(3,ROW())</f>
        <v>0</v>
      </c>
      <c r="CC12" s="343">
        <f ca="1">UNightCou(3,ROW())</f>
        <v>0</v>
      </c>
      <c r="CD12" s="344">
        <f ca="1">UNewCou(3,ROW())</f>
        <v>0</v>
      </c>
      <c r="CE12" s="327">
        <f t="shared" ref="CE12" ca="1" si="79">$A12</f>
        <v>45686</v>
      </c>
      <c r="CF12" s="371" t="str">
        <f t="shared" ref="CF12" ca="1" si="80">$B12</f>
        <v>水</v>
      </c>
      <c r="CG12" s="352">
        <f t="shared" ref="CG12" ca="1" si="81">Z12+BA12+CB12</f>
        <v>10</v>
      </c>
      <c r="CH12" s="353">
        <f t="shared" ref="CH12" ca="1" si="82">AA12+BB12+CC12</f>
        <v>9</v>
      </c>
      <c r="CI12" s="354">
        <f t="shared" ref="CI12" ca="1" si="83">AB12+BC12+CD12</f>
        <v>5</v>
      </c>
      <c r="CJ12" s="355">
        <f ca="1">COUNTIF(INDIRECT("D60:CA61"),"*●*")</f>
        <v>0</v>
      </c>
      <c r="CK12" s="356">
        <f ca="1">COUNTIF(INDIRECT("D60:CA61"),"*㋷*")</f>
        <v>0</v>
      </c>
      <c r="CL12" s="26" t="s">
        <v>32</v>
      </c>
      <c r="CM12" s="154" t="s">
        <v>33</v>
      </c>
      <c r="CN12" s="160">
        <f t="shared" ref="CN12" ca="1" si="84">$A12</f>
        <v>45686</v>
      </c>
      <c r="CO12" s="162" t="str">
        <f t="shared" ref="CO12" ca="1" si="85">$B12</f>
        <v>水</v>
      </c>
      <c r="CP12" s="357"/>
      <c r="CQ12" s="358"/>
      <c r="CR12" s="359"/>
      <c r="CS12" s="358"/>
      <c r="CT12" s="359"/>
      <c r="CU12" s="358"/>
      <c r="CZ12" s="73">
        <v>1</v>
      </c>
      <c r="DA12" s="73">
        <v>1</v>
      </c>
      <c r="DB12" s="73">
        <v>29</v>
      </c>
      <c r="DC12" s="74">
        <f t="shared" ca="1" si="16"/>
        <v>45686</v>
      </c>
      <c r="DD12" s="68" t="str">
        <f t="shared" ca="1" si="17"/>
        <v>水</v>
      </c>
      <c r="DF12" s="155">
        <f t="shared" ref="DF12" ca="1" si="86">$DC12</f>
        <v>45686</v>
      </c>
      <c r="DG12" s="156" t="str">
        <f ca="1">IF($CH12&gt;=設定!$E$12,"✕",IF(SS予約表!$CG12&gt;=設定!$E$12,"△","○"))</f>
        <v>○</v>
      </c>
    </row>
    <row r="13" spans="1:112" ht="30" customHeight="1">
      <c r="A13" s="284"/>
      <c r="B13" s="285"/>
      <c r="C13" s="286" t="s">
        <v>28</v>
      </c>
      <c r="D13" s="319">
        <v>10</v>
      </c>
      <c r="E13" s="318"/>
      <c r="F13" s="320"/>
      <c r="G13" s="321"/>
      <c r="H13" s="320"/>
      <c r="I13" s="321"/>
      <c r="J13" s="360"/>
      <c r="K13" s="324"/>
      <c r="L13" s="360"/>
      <c r="M13" s="324"/>
      <c r="N13" s="319"/>
      <c r="O13" s="318"/>
      <c r="P13" s="319"/>
      <c r="Q13" s="323"/>
      <c r="R13" s="320"/>
      <c r="S13" s="321"/>
      <c r="T13" s="319"/>
      <c r="U13" s="323"/>
      <c r="V13" s="319"/>
      <c r="W13" s="323"/>
      <c r="X13" s="303"/>
      <c r="Y13" s="304"/>
      <c r="Z13" s="294"/>
      <c r="AA13" s="295"/>
      <c r="AB13" s="296"/>
      <c r="AC13" s="297"/>
      <c r="AD13" s="298"/>
      <c r="AE13" s="319"/>
      <c r="AF13" s="323"/>
      <c r="AG13" s="320"/>
      <c r="AH13" s="324"/>
      <c r="AI13" s="383"/>
      <c r="AJ13" s="384"/>
      <c r="AK13" s="319"/>
      <c r="AL13" s="323"/>
      <c r="AM13" s="360"/>
      <c r="AN13" s="324"/>
      <c r="AO13" s="320"/>
      <c r="AP13" s="321"/>
      <c r="AQ13" s="376"/>
      <c r="AR13" s="318"/>
      <c r="AS13" s="320"/>
      <c r="AT13" s="321"/>
      <c r="AU13" s="319"/>
      <c r="AV13" s="318"/>
      <c r="AW13" s="320"/>
      <c r="AX13" s="321"/>
      <c r="AY13" s="325"/>
      <c r="AZ13" s="326"/>
      <c r="BA13" s="294"/>
      <c r="BB13" s="295"/>
      <c r="BC13" s="296"/>
      <c r="BD13" s="284"/>
      <c r="BE13" s="298"/>
      <c r="BF13" s="305"/>
      <c r="BG13" s="302"/>
      <c r="BH13" s="301"/>
      <c r="BI13" s="302"/>
      <c r="BJ13" s="301"/>
      <c r="BK13" s="302"/>
      <c r="BL13" s="301"/>
      <c r="BM13" s="302"/>
      <c r="BN13" s="301"/>
      <c r="BO13" s="302"/>
      <c r="BP13" s="301"/>
      <c r="BQ13" s="302"/>
      <c r="BR13" s="301"/>
      <c r="BS13" s="302"/>
      <c r="BT13" s="301"/>
      <c r="BU13" s="302"/>
      <c r="BV13" s="301"/>
      <c r="BW13" s="302"/>
      <c r="BX13" s="301"/>
      <c r="BY13" s="302"/>
      <c r="BZ13" s="303"/>
      <c r="CA13" s="304"/>
      <c r="CB13" s="294"/>
      <c r="CC13" s="295"/>
      <c r="CD13" s="296"/>
      <c r="CE13" s="284"/>
      <c r="CF13" s="298"/>
      <c r="CG13" s="307"/>
      <c r="CH13" s="308"/>
      <c r="CI13" s="309"/>
      <c r="CJ13" s="310"/>
      <c r="CK13" s="311"/>
      <c r="CL13" s="175">
        <f ca="1">SUM(CG4:CG17)</f>
        <v>79</v>
      </c>
      <c r="CM13" s="177">
        <f ca="1">SUM(CI4:CI17)</f>
        <v>23</v>
      </c>
      <c r="CN13" s="161"/>
      <c r="CO13" s="163"/>
      <c r="CP13" s="315"/>
      <c r="CQ13" s="316"/>
      <c r="CR13" s="317"/>
      <c r="CS13" s="316"/>
      <c r="CT13" s="317"/>
      <c r="CU13" s="316"/>
      <c r="CZ13" s="73">
        <v>1</v>
      </c>
      <c r="DA13" s="73">
        <v>1</v>
      </c>
      <c r="DB13" s="73">
        <v>29</v>
      </c>
      <c r="DC13" s="74">
        <f t="shared" ca="1" si="16"/>
        <v>45686</v>
      </c>
      <c r="DD13" s="68" t="str">
        <f t="shared" ca="1" si="17"/>
        <v>水</v>
      </c>
      <c r="DF13" s="156"/>
      <c r="DG13" s="156"/>
    </row>
    <row r="14" spans="1:112" ht="30" customHeight="1">
      <c r="A14" s="327">
        <f t="shared" ref="A14" ca="1" si="87">$DC14</f>
        <v>45687</v>
      </c>
      <c r="B14" s="365" t="str">
        <f t="shared" ref="B14" ca="1" si="88">TEXT($A14,"aaa")</f>
        <v>木</v>
      </c>
      <c r="C14" s="329" t="s">
        <v>27</v>
      </c>
      <c r="D14" s="332"/>
      <c r="E14" s="336"/>
      <c r="F14" s="333"/>
      <c r="G14" s="378"/>
      <c r="H14" s="333"/>
      <c r="I14" s="378"/>
      <c r="J14" s="368"/>
      <c r="K14" s="336"/>
      <c r="L14" s="368"/>
      <c r="M14" s="336"/>
      <c r="N14" s="332"/>
      <c r="O14" s="372"/>
      <c r="P14" s="332"/>
      <c r="Q14" s="334"/>
      <c r="R14" s="333"/>
      <c r="S14" s="381"/>
      <c r="T14" s="332"/>
      <c r="U14" s="339"/>
      <c r="V14" s="332"/>
      <c r="W14" s="339"/>
      <c r="X14" s="340"/>
      <c r="Y14" s="341"/>
      <c r="Z14" s="342">
        <f t="shared" ref="Z14" ca="1" si="89">UDayCou(1,ROW())</f>
        <v>5</v>
      </c>
      <c r="AA14" s="343">
        <f t="shared" ref="AA14" ca="1" si="90">UNightCou(1,ROW())</f>
        <v>4</v>
      </c>
      <c r="AB14" s="344">
        <f t="shared" ref="AB14" ca="1" si="91">UNewCou(1,ROW())</f>
        <v>2</v>
      </c>
      <c r="AC14" s="345">
        <f t="shared" ref="AC14" ca="1" si="92">$A14</f>
        <v>45687</v>
      </c>
      <c r="AD14" s="371" t="str">
        <f t="shared" ref="AD14" ca="1" si="93">$B14</f>
        <v>木</v>
      </c>
      <c r="AE14" s="332"/>
      <c r="AF14" s="339"/>
      <c r="AG14" s="333"/>
      <c r="AH14" s="336"/>
      <c r="AI14" s="386"/>
      <c r="AJ14" s="387"/>
      <c r="AK14" s="332"/>
      <c r="AL14" s="339"/>
      <c r="AM14" s="368"/>
      <c r="AN14" s="336"/>
      <c r="AO14" s="333"/>
      <c r="AP14" s="381"/>
      <c r="AQ14" s="380"/>
      <c r="AR14" s="338"/>
      <c r="AS14" s="333"/>
      <c r="AT14" s="381"/>
      <c r="AU14" s="332"/>
      <c r="AV14" s="336"/>
      <c r="AW14" s="333"/>
      <c r="AX14" s="381"/>
      <c r="AY14" s="348"/>
      <c r="AZ14" s="349"/>
      <c r="BA14" s="342">
        <f ca="1">UDayCou(2,ROW())</f>
        <v>6</v>
      </c>
      <c r="BB14" s="343">
        <f ca="1">UNightCou(2,ROW())</f>
        <v>6</v>
      </c>
      <c r="BC14" s="344">
        <f ca="1">UNewCou(2,ROW())</f>
        <v>3</v>
      </c>
      <c r="BD14" s="327">
        <f t="shared" ref="BD14" ca="1" si="94">$A14</f>
        <v>45687</v>
      </c>
      <c r="BE14" s="371" t="str">
        <f t="shared" ref="BE14" ca="1" si="95">$B14</f>
        <v>木</v>
      </c>
      <c r="BF14" s="350"/>
      <c r="BG14" s="351"/>
      <c r="BH14" s="330"/>
      <c r="BI14" s="351"/>
      <c r="BJ14" s="330"/>
      <c r="BK14" s="351"/>
      <c r="BL14" s="330"/>
      <c r="BM14" s="351"/>
      <c r="BN14" s="330"/>
      <c r="BO14" s="351"/>
      <c r="BP14" s="330"/>
      <c r="BQ14" s="351"/>
      <c r="BR14" s="330"/>
      <c r="BS14" s="382"/>
      <c r="BT14" s="330"/>
      <c r="BU14" s="351"/>
      <c r="BV14" s="330"/>
      <c r="BW14" s="351"/>
      <c r="BX14" s="330"/>
      <c r="BY14" s="351"/>
      <c r="BZ14" s="340"/>
      <c r="CA14" s="341"/>
      <c r="CB14" s="342">
        <f ca="1">UDayCou(3,ROW())</f>
        <v>0</v>
      </c>
      <c r="CC14" s="343">
        <f ca="1">UNightCou(3,ROW())</f>
        <v>0</v>
      </c>
      <c r="CD14" s="344">
        <f ca="1">UNewCou(3,ROW())</f>
        <v>0</v>
      </c>
      <c r="CE14" s="327">
        <f t="shared" ref="CE14" ca="1" si="96">$A14</f>
        <v>45687</v>
      </c>
      <c r="CF14" s="371" t="str">
        <f t="shared" ref="CF14" ca="1" si="97">$B14</f>
        <v>木</v>
      </c>
      <c r="CG14" s="352">
        <f t="shared" ref="CG14" ca="1" si="98">Z14+BA14+CB14</f>
        <v>11</v>
      </c>
      <c r="CH14" s="353">
        <f t="shared" ref="CH14" ca="1" si="99">AA14+BB14+CC14</f>
        <v>10</v>
      </c>
      <c r="CI14" s="354">
        <f t="shared" ref="CI14" ca="1" si="100">AB14+BC14+CD14</f>
        <v>5</v>
      </c>
      <c r="CJ14" s="355">
        <f ca="1">COUNTIF(INDIRECT("D62:CA63"),"*●*")</f>
        <v>0</v>
      </c>
      <c r="CK14" s="356">
        <f ca="1">COUNTIF(INDIRECT("D62:CA63"),"*㋷*")</f>
        <v>0</v>
      </c>
      <c r="CL14" s="193"/>
      <c r="CM14" s="178"/>
      <c r="CN14" s="160">
        <f t="shared" ref="CN14" ca="1" si="101">$A14</f>
        <v>45687</v>
      </c>
      <c r="CO14" s="162" t="str">
        <f t="shared" ref="CO14" ca="1" si="102">$B14</f>
        <v>木</v>
      </c>
      <c r="CP14" s="357"/>
      <c r="CQ14" s="358"/>
      <c r="CR14" s="359"/>
      <c r="CS14" s="358"/>
      <c r="CT14" s="359"/>
      <c r="CU14" s="358"/>
      <c r="CZ14" s="73">
        <v>1</v>
      </c>
      <c r="DA14" s="73">
        <v>1</v>
      </c>
      <c r="DB14" s="73">
        <v>30</v>
      </c>
      <c r="DC14" s="74">
        <f t="shared" ca="1" si="16"/>
        <v>45687</v>
      </c>
      <c r="DD14" s="68" t="str">
        <f t="shared" ca="1" si="17"/>
        <v>木</v>
      </c>
      <c r="DF14" s="155">
        <f t="shared" ref="DF14" ca="1" si="103">$DC14</f>
        <v>45687</v>
      </c>
      <c r="DG14" s="156" t="str">
        <f ca="1">IF($CH14&gt;=設定!$E$12,"✕",IF(SS予約表!$CG14&gt;=設定!$E$12,"△","○"))</f>
        <v>○</v>
      </c>
    </row>
    <row r="15" spans="1:112" ht="30" customHeight="1" thickBot="1">
      <c r="A15" s="284"/>
      <c r="B15" s="285"/>
      <c r="C15" s="286" t="s">
        <v>28</v>
      </c>
      <c r="D15" s="319"/>
      <c r="E15" s="318"/>
      <c r="F15" s="320"/>
      <c r="G15" s="321"/>
      <c r="H15" s="320"/>
      <c r="I15" s="324"/>
      <c r="J15" s="360"/>
      <c r="K15" s="324"/>
      <c r="L15" s="360"/>
      <c r="M15" s="324"/>
      <c r="N15" s="319"/>
      <c r="O15" s="323"/>
      <c r="P15" s="319"/>
      <c r="Q15" s="323"/>
      <c r="R15" s="320"/>
      <c r="S15" s="321"/>
      <c r="T15" s="319"/>
      <c r="U15" s="323"/>
      <c r="V15" s="319"/>
      <c r="W15" s="323"/>
      <c r="X15" s="303"/>
      <c r="Y15" s="304"/>
      <c r="Z15" s="294"/>
      <c r="AA15" s="295"/>
      <c r="AB15" s="296"/>
      <c r="AC15" s="297"/>
      <c r="AD15" s="298"/>
      <c r="AE15" s="319"/>
      <c r="AF15" s="323"/>
      <c r="AG15" s="320"/>
      <c r="AH15" s="324"/>
      <c r="AI15" s="383"/>
      <c r="AJ15" s="384"/>
      <c r="AK15" s="319"/>
      <c r="AL15" s="323"/>
      <c r="AM15" s="360"/>
      <c r="AN15" s="324"/>
      <c r="AO15" s="320"/>
      <c r="AP15" s="324"/>
      <c r="AQ15" s="360"/>
      <c r="AR15" s="324"/>
      <c r="AS15" s="320"/>
      <c r="AT15" s="321"/>
      <c r="AU15" s="319"/>
      <c r="AV15" s="318"/>
      <c r="AW15" s="320"/>
      <c r="AX15" s="321"/>
      <c r="AY15" s="325"/>
      <c r="AZ15" s="326"/>
      <c r="BA15" s="294"/>
      <c r="BB15" s="295"/>
      <c r="BC15" s="296"/>
      <c r="BD15" s="284"/>
      <c r="BE15" s="298"/>
      <c r="BF15" s="305"/>
      <c r="BG15" s="302"/>
      <c r="BH15" s="301"/>
      <c r="BI15" s="302"/>
      <c r="BJ15" s="301"/>
      <c r="BK15" s="302"/>
      <c r="BL15" s="301"/>
      <c r="BM15" s="302"/>
      <c r="BN15" s="301"/>
      <c r="BO15" s="302"/>
      <c r="BP15" s="301"/>
      <c r="BQ15" s="302"/>
      <c r="BR15" s="301"/>
      <c r="BS15" s="302"/>
      <c r="BT15" s="301"/>
      <c r="BU15" s="302"/>
      <c r="BV15" s="301"/>
      <c r="BW15" s="302"/>
      <c r="BX15" s="301"/>
      <c r="BY15" s="302"/>
      <c r="BZ15" s="303"/>
      <c r="CA15" s="304"/>
      <c r="CB15" s="294"/>
      <c r="CC15" s="295"/>
      <c r="CD15" s="296"/>
      <c r="CE15" s="284"/>
      <c r="CF15" s="298"/>
      <c r="CG15" s="307"/>
      <c r="CH15" s="308"/>
      <c r="CI15" s="309"/>
      <c r="CJ15" s="310"/>
      <c r="CK15" s="311"/>
      <c r="CL15" s="26" t="s">
        <v>34</v>
      </c>
      <c r="CM15" s="154" t="s">
        <v>35</v>
      </c>
      <c r="CN15" s="161"/>
      <c r="CO15" s="163"/>
      <c r="CP15" s="315"/>
      <c r="CQ15" s="316"/>
      <c r="CR15" s="317"/>
      <c r="CS15" s="316"/>
      <c r="CT15" s="317"/>
      <c r="CU15" s="316"/>
      <c r="CZ15" s="73">
        <v>1</v>
      </c>
      <c r="DA15" s="73">
        <v>1</v>
      </c>
      <c r="DB15" s="73">
        <v>30</v>
      </c>
      <c r="DC15" s="74">
        <f t="shared" ca="1" si="16"/>
        <v>45687</v>
      </c>
      <c r="DD15" s="68" t="str">
        <f t="shared" ca="1" si="17"/>
        <v>木</v>
      </c>
      <c r="DF15" s="156"/>
      <c r="DG15" s="156"/>
    </row>
    <row r="16" spans="1:112" ht="30" customHeight="1">
      <c r="A16" s="491">
        <f t="shared" ref="A16:A78" ca="1" si="104">$DC16</f>
        <v>45688</v>
      </c>
      <c r="B16" s="524" t="str">
        <f t="shared" ref="B16:B78" ca="1" si="105">TEXT($A16,"aaa")</f>
        <v>金</v>
      </c>
      <c r="C16" s="493" t="s">
        <v>27</v>
      </c>
      <c r="D16" s="496">
        <v>15</v>
      </c>
      <c r="E16" s="525"/>
      <c r="F16" s="497"/>
      <c r="G16" s="526"/>
      <c r="H16" s="497"/>
      <c r="I16" s="527"/>
      <c r="J16" s="528"/>
      <c r="K16" s="501"/>
      <c r="L16" s="529"/>
      <c r="M16" s="527"/>
      <c r="N16" s="496"/>
      <c r="O16" s="503"/>
      <c r="P16" s="496"/>
      <c r="Q16" s="503"/>
      <c r="R16" s="497"/>
      <c r="S16" s="526"/>
      <c r="T16" s="496"/>
      <c r="U16" s="503"/>
      <c r="V16" s="496"/>
      <c r="W16" s="503"/>
      <c r="X16" s="530"/>
      <c r="Y16" s="505"/>
      <c r="Z16" s="506">
        <f t="shared" ref="Z16" ca="1" si="106">UDayCou(1,ROW())</f>
        <v>6</v>
      </c>
      <c r="AA16" s="507">
        <f t="shared" ref="AA16" ca="1" si="107">UNightCou(1,ROW())</f>
        <v>4</v>
      </c>
      <c r="AB16" s="508">
        <f t="shared" ref="AB16" ca="1" si="108">UNewCou(1,ROW())</f>
        <v>2</v>
      </c>
      <c r="AC16" s="509">
        <f t="shared" ref="AC16:AC78" ca="1" si="109">$A16</f>
        <v>45688</v>
      </c>
      <c r="AD16" s="531" t="str">
        <f t="shared" ref="AD16:AD78" ca="1" si="110">$B16</f>
        <v>金</v>
      </c>
      <c r="AE16" s="496"/>
      <c r="AF16" s="503"/>
      <c r="AG16" s="497"/>
      <c r="AH16" s="501"/>
      <c r="AI16" s="532"/>
      <c r="AJ16" s="533"/>
      <c r="AK16" s="496"/>
      <c r="AL16" s="503"/>
      <c r="AM16" s="528"/>
      <c r="AN16" s="501"/>
      <c r="AO16" s="497"/>
      <c r="AP16" s="500"/>
      <c r="AQ16" s="529"/>
      <c r="AR16" s="527"/>
      <c r="AS16" s="497"/>
      <c r="AT16" s="526"/>
      <c r="AU16" s="496"/>
      <c r="AV16" s="500"/>
      <c r="AW16" s="497"/>
      <c r="AX16" s="526"/>
      <c r="AY16" s="512"/>
      <c r="AZ16" s="513"/>
      <c r="BA16" s="506">
        <f ca="1">UDayCou(2,ROW())</f>
        <v>6</v>
      </c>
      <c r="BB16" s="507">
        <f ca="1">UNightCou(2,ROW())</f>
        <v>4</v>
      </c>
      <c r="BC16" s="508">
        <f ca="1">UNewCou(2,ROW())</f>
        <v>3</v>
      </c>
      <c r="BD16" s="491">
        <f t="shared" ref="BD16:BD76" ca="1" si="111">$A16</f>
        <v>45688</v>
      </c>
      <c r="BE16" s="531" t="str">
        <f t="shared" ref="BE16:BE78" ca="1" si="112">$B16</f>
        <v>金</v>
      </c>
      <c r="BF16" s="514"/>
      <c r="BG16" s="515"/>
      <c r="BH16" s="494"/>
      <c r="BI16" s="515"/>
      <c r="BJ16" s="494"/>
      <c r="BK16" s="515"/>
      <c r="BL16" s="494"/>
      <c r="BM16" s="515"/>
      <c r="BN16" s="494"/>
      <c r="BO16" s="515"/>
      <c r="BP16" s="494"/>
      <c r="BQ16" s="515"/>
      <c r="BR16" s="494"/>
      <c r="BS16" s="515"/>
      <c r="BT16" s="494"/>
      <c r="BU16" s="515"/>
      <c r="BV16" s="494"/>
      <c r="BW16" s="515"/>
      <c r="BX16" s="494"/>
      <c r="BY16" s="515"/>
      <c r="BZ16" s="530"/>
      <c r="CA16" s="505"/>
      <c r="CB16" s="506">
        <f ca="1">UDayCou(3,ROW())</f>
        <v>0</v>
      </c>
      <c r="CC16" s="507">
        <f ca="1">UNightCou(3,ROW())</f>
        <v>0</v>
      </c>
      <c r="CD16" s="508">
        <f ca="1">UNewCou(3,ROW())</f>
        <v>0</v>
      </c>
      <c r="CE16" s="491">
        <f t="shared" ref="CE16:CE78" ca="1" si="113">$A16</f>
        <v>45688</v>
      </c>
      <c r="CF16" s="531" t="str">
        <f t="shared" ref="CF16:CF78" ca="1" si="114">$B16</f>
        <v>金</v>
      </c>
      <c r="CG16" s="516">
        <f t="shared" ref="CG16" ca="1" si="115">Z16+BA16+CB16</f>
        <v>12</v>
      </c>
      <c r="CH16" s="517">
        <f t="shared" ref="CH16" ca="1" si="116">AA16+BB16+CC16</f>
        <v>8</v>
      </c>
      <c r="CI16" s="518">
        <f t="shared" ref="CI16" ca="1" si="117">AB16+BC16+CD16</f>
        <v>5</v>
      </c>
      <c r="CJ16" s="519">
        <f ca="1">COUNTIF(INDIRECT("D64:CA65"),"*●*")</f>
        <v>0</v>
      </c>
      <c r="CK16" s="520">
        <f ca="1">COUNTIF(INDIRECT("D64:CA65"),"*㋷*")</f>
        <v>0</v>
      </c>
      <c r="CL16" s="191">
        <f ca="1">CL13/CL10</f>
        <v>2.5483870967741935</v>
      </c>
      <c r="CM16" s="181">
        <f ca="1">(CL13-CM13)/CL10</f>
        <v>1.8064516129032258</v>
      </c>
      <c r="CN16" s="164">
        <f t="shared" ref="CN16:CN78" ca="1" si="118">$A16</f>
        <v>45688</v>
      </c>
      <c r="CO16" s="165" t="str">
        <f t="shared" ref="CO16:CO78" ca="1" si="119">$B16</f>
        <v>金</v>
      </c>
      <c r="CP16" s="521"/>
      <c r="CQ16" s="522"/>
      <c r="CR16" s="523"/>
      <c r="CS16" s="522"/>
      <c r="CT16" s="523"/>
      <c r="CU16" s="522"/>
      <c r="CZ16" s="73">
        <v>1</v>
      </c>
      <c r="DA16" s="73">
        <v>1</v>
      </c>
      <c r="DB16" s="73">
        <v>31</v>
      </c>
      <c r="DC16" s="74">
        <f t="shared" ca="1" si="16"/>
        <v>45688</v>
      </c>
      <c r="DD16" s="68" t="str">
        <f t="shared" ca="1" si="17"/>
        <v>金</v>
      </c>
      <c r="DF16" s="155">
        <f t="shared" ref="DF16" ca="1" si="120">$DC16</f>
        <v>45688</v>
      </c>
      <c r="DG16" s="156" t="str">
        <f ca="1">IF($CH16&gt;=設定!$E$12,"✕",IF(SS予約表!$CG16&gt;=設定!$E$12,"△","○"))</f>
        <v>○</v>
      </c>
    </row>
    <row r="17" spans="1:112" ht="30" customHeight="1" thickBot="1">
      <c r="A17" s="284"/>
      <c r="B17" s="285"/>
      <c r="C17" s="286" t="s">
        <v>28</v>
      </c>
      <c r="D17" s="305"/>
      <c r="E17" s="323"/>
      <c r="F17" s="319"/>
      <c r="G17" s="323"/>
      <c r="H17" s="320"/>
      <c r="I17" s="324"/>
      <c r="J17" s="320"/>
      <c r="K17" s="321"/>
      <c r="L17" s="360"/>
      <c r="M17" s="324"/>
      <c r="N17" s="299"/>
      <c r="O17" s="300"/>
      <c r="P17" s="319"/>
      <c r="Q17" s="323"/>
      <c r="R17" s="319"/>
      <c r="S17" s="318"/>
      <c r="T17" s="320"/>
      <c r="U17" s="324"/>
      <c r="V17" s="319"/>
      <c r="W17" s="323"/>
      <c r="X17" s="306"/>
      <c r="Y17" s="304"/>
      <c r="Z17" s="294"/>
      <c r="AA17" s="295"/>
      <c r="AB17" s="296"/>
      <c r="AC17" s="297"/>
      <c r="AD17" s="298"/>
      <c r="AE17" s="319"/>
      <c r="AF17" s="323"/>
      <c r="AG17" s="319"/>
      <c r="AH17" s="323"/>
      <c r="AI17" s="391"/>
      <c r="AJ17" s="392"/>
      <c r="AK17" s="299"/>
      <c r="AL17" s="300"/>
      <c r="AM17" s="320"/>
      <c r="AN17" s="321"/>
      <c r="AO17" s="320"/>
      <c r="AP17" s="324"/>
      <c r="AQ17" s="360"/>
      <c r="AR17" s="324"/>
      <c r="AS17" s="320"/>
      <c r="AT17" s="321"/>
      <c r="AU17" s="319"/>
      <c r="AV17" s="318"/>
      <c r="AW17" s="320"/>
      <c r="AX17" s="321"/>
      <c r="AY17" s="325"/>
      <c r="AZ17" s="326"/>
      <c r="BA17" s="294"/>
      <c r="BB17" s="295"/>
      <c r="BC17" s="296"/>
      <c r="BD17" s="284"/>
      <c r="BE17" s="298"/>
      <c r="BF17" s="305"/>
      <c r="BG17" s="302"/>
      <c r="BH17" s="301"/>
      <c r="BI17" s="302"/>
      <c r="BJ17" s="301"/>
      <c r="BK17" s="302"/>
      <c r="BL17" s="301"/>
      <c r="BM17" s="302"/>
      <c r="BN17" s="301"/>
      <c r="BO17" s="302"/>
      <c r="BP17" s="301"/>
      <c r="BQ17" s="302"/>
      <c r="BR17" s="301"/>
      <c r="BS17" s="302"/>
      <c r="BT17" s="301"/>
      <c r="BU17" s="302"/>
      <c r="BV17" s="301"/>
      <c r="BW17" s="302"/>
      <c r="BX17" s="301"/>
      <c r="BY17" s="302"/>
      <c r="BZ17" s="306"/>
      <c r="CA17" s="304"/>
      <c r="CB17" s="294"/>
      <c r="CC17" s="295"/>
      <c r="CD17" s="296"/>
      <c r="CE17" s="284"/>
      <c r="CF17" s="298"/>
      <c r="CG17" s="307"/>
      <c r="CH17" s="308"/>
      <c r="CI17" s="309"/>
      <c r="CJ17" s="310"/>
      <c r="CK17" s="311"/>
      <c r="CL17" s="192"/>
      <c r="CM17" s="182"/>
      <c r="CN17" s="161"/>
      <c r="CO17" s="163"/>
      <c r="CP17" s="315"/>
      <c r="CQ17" s="316"/>
      <c r="CR17" s="317"/>
      <c r="CS17" s="316"/>
      <c r="CT17" s="317"/>
      <c r="CU17" s="316"/>
      <c r="CZ17" s="73">
        <v>1</v>
      </c>
      <c r="DA17" s="73">
        <v>1</v>
      </c>
      <c r="DB17" s="73">
        <v>31</v>
      </c>
      <c r="DC17" s="74">
        <f t="shared" ca="1" si="16"/>
        <v>45688</v>
      </c>
      <c r="DD17" s="68" t="str">
        <f t="shared" ca="1" si="17"/>
        <v>金</v>
      </c>
      <c r="DF17" s="156"/>
      <c r="DG17" s="156"/>
    </row>
    <row r="18" spans="1:112" ht="28.5" customHeight="1">
      <c r="A18" s="491">
        <f t="shared" ca="1" si="104"/>
        <v>45689</v>
      </c>
      <c r="B18" s="534" t="str">
        <f t="shared" ca="1" si="105"/>
        <v>土</v>
      </c>
      <c r="C18" s="493" t="s">
        <v>27</v>
      </c>
      <c r="D18" s="514"/>
      <c r="E18" s="503"/>
      <c r="F18" s="496"/>
      <c r="G18" s="503"/>
      <c r="H18" s="496"/>
      <c r="I18" s="502"/>
      <c r="J18" s="496"/>
      <c r="K18" s="503"/>
      <c r="L18" s="535"/>
      <c r="M18" s="502"/>
      <c r="N18" s="499"/>
      <c r="O18" s="511"/>
      <c r="P18" s="496"/>
      <c r="Q18" s="503"/>
      <c r="R18" s="496"/>
      <c r="S18" s="502"/>
      <c r="T18" s="497"/>
      <c r="U18" s="501"/>
      <c r="V18" s="496"/>
      <c r="W18" s="503"/>
      <c r="X18" s="530"/>
      <c r="Y18" s="505"/>
      <c r="Z18" s="506">
        <f t="shared" ref="Z18" ca="1" si="121">UDayCou(1,ROW())</f>
        <v>10</v>
      </c>
      <c r="AA18" s="507">
        <f t="shared" ref="AA18" ca="1" si="122">UNightCou(1,ROW())</f>
        <v>9</v>
      </c>
      <c r="AB18" s="508">
        <f t="shared" ref="AB18" ca="1" si="123">UNewCou(1,ROW())</f>
        <v>2</v>
      </c>
      <c r="AC18" s="509">
        <f t="shared" ca="1" si="109"/>
        <v>45689</v>
      </c>
      <c r="AD18" s="536" t="str">
        <f t="shared" ca="1" si="110"/>
        <v>土</v>
      </c>
      <c r="AE18" s="496"/>
      <c r="AF18" s="503"/>
      <c r="AG18" s="496"/>
      <c r="AH18" s="503"/>
      <c r="AI18" s="537"/>
      <c r="AJ18" s="538"/>
      <c r="AK18" s="499"/>
      <c r="AL18" s="511"/>
      <c r="AM18" s="496"/>
      <c r="AN18" s="503"/>
      <c r="AO18" s="497"/>
      <c r="AP18" s="501"/>
      <c r="AQ18" s="529"/>
      <c r="AR18" s="527"/>
      <c r="AS18" s="496"/>
      <c r="AT18" s="503"/>
      <c r="AU18" s="496"/>
      <c r="AV18" s="502"/>
      <c r="AW18" s="497"/>
      <c r="AX18" s="526"/>
      <c r="AY18" s="512"/>
      <c r="AZ18" s="513"/>
      <c r="BA18" s="506">
        <f ca="1">UDayCou(2,ROW())</f>
        <v>10</v>
      </c>
      <c r="BB18" s="507">
        <f ca="1">UNightCou(2,ROW())</f>
        <v>9</v>
      </c>
      <c r="BC18" s="508">
        <f ca="1">UNewCou(2,ROW())</f>
        <v>2</v>
      </c>
      <c r="BD18" s="491">
        <f t="shared" ca="1" si="111"/>
        <v>45689</v>
      </c>
      <c r="BE18" s="536" t="str">
        <f t="shared" ca="1" si="112"/>
        <v>土</v>
      </c>
      <c r="BF18" s="514"/>
      <c r="BG18" s="515"/>
      <c r="BH18" s="494"/>
      <c r="BI18" s="515"/>
      <c r="BJ18" s="494"/>
      <c r="BK18" s="515"/>
      <c r="BL18" s="494"/>
      <c r="BM18" s="515"/>
      <c r="BN18" s="494"/>
      <c r="BO18" s="515"/>
      <c r="BP18" s="494"/>
      <c r="BQ18" s="515"/>
      <c r="BR18" s="494"/>
      <c r="BS18" s="515"/>
      <c r="BT18" s="494"/>
      <c r="BU18" s="515"/>
      <c r="BV18" s="494"/>
      <c r="BW18" s="515"/>
      <c r="BX18" s="494"/>
      <c r="BY18" s="515"/>
      <c r="BZ18" s="530"/>
      <c r="CA18" s="505"/>
      <c r="CB18" s="506">
        <f ca="1">UDayCou(3,ROW())</f>
        <v>0</v>
      </c>
      <c r="CC18" s="507">
        <f ca="1">UNightCou(3,ROW())</f>
        <v>0</v>
      </c>
      <c r="CD18" s="508">
        <f ca="1">UNewCou(3,ROW())</f>
        <v>0</v>
      </c>
      <c r="CE18" s="491">
        <f t="shared" ca="1" si="113"/>
        <v>45689</v>
      </c>
      <c r="CF18" s="536" t="str">
        <f t="shared" ca="1" si="114"/>
        <v>土</v>
      </c>
      <c r="CG18" s="516">
        <f t="shared" ref="CG18" ca="1" si="124">Z18+BA18+CB18</f>
        <v>20</v>
      </c>
      <c r="CH18" s="517">
        <f t="shared" ref="CH18" ca="1" si="125">AA18+BB18+CC18</f>
        <v>18</v>
      </c>
      <c r="CI18" s="518">
        <f t="shared" ref="CI18" ca="1" si="126">AB18+BC18+CD18</f>
        <v>4</v>
      </c>
      <c r="CJ18" s="519">
        <f ca="1">COUNTIF(INDIRECT("D66:CA67"),"*●*")</f>
        <v>0</v>
      </c>
      <c r="CK18" s="520">
        <f ca="1">COUNTIF(INDIRECT("D66:CA67"),"*㋷*")</f>
        <v>0</v>
      </c>
      <c r="CL18" s="76"/>
      <c r="CM18" s="77"/>
      <c r="CN18" s="164">
        <f t="shared" ca="1" si="118"/>
        <v>45689</v>
      </c>
      <c r="CO18" s="169" t="str">
        <f t="shared" ca="1" si="119"/>
        <v>土</v>
      </c>
      <c r="CP18" s="521"/>
      <c r="CQ18" s="522"/>
      <c r="CR18" s="523"/>
      <c r="CS18" s="522"/>
      <c r="CT18" s="523"/>
      <c r="CU18" s="522"/>
      <c r="CZ18" s="73">
        <v>2</v>
      </c>
      <c r="DA18" s="73">
        <v>2</v>
      </c>
      <c r="DB18" s="73">
        <v>1</v>
      </c>
      <c r="DC18" s="74">
        <f t="shared" ca="1" si="16"/>
        <v>45689</v>
      </c>
      <c r="DD18" s="68" t="str">
        <f t="shared" ca="1" si="17"/>
        <v>土</v>
      </c>
      <c r="DF18" s="155">
        <f t="shared" ref="DF18" ca="1" si="127">$DC18</f>
        <v>45689</v>
      </c>
      <c r="DG18" s="156" t="str">
        <f ca="1">IF($CH18&gt;=設定!$E$12,"✕",IF(SS予約表!$CG18&gt;=設定!$E$12,"△","○"))</f>
        <v>△</v>
      </c>
      <c r="DH18" s="68" t="s">
        <v>36</v>
      </c>
    </row>
    <row r="19" spans="1:112" ht="29.25" customHeight="1">
      <c r="A19" s="284"/>
      <c r="B19" s="285"/>
      <c r="C19" s="286" t="s">
        <v>28</v>
      </c>
      <c r="D19" s="319">
        <v>10</v>
      </c>
      <c r="E19" s="318"/>
      <c r="F19" s="319"/>
      <c r="G19" s="318"/>
      <c r="H19" s="319"/>
      <c r="I19" s="318"/>
      <c r="J19" s="376"/>
      <c r="K19" s="318"/>
      <c r="L19" s="376"/>
      <c r="M19" s="318"/>
      <c r="N19" s="397"/>
      <c r="O19" s="318"/>
      <c r="P19" s="319"/>
      <c r="Q19" s="323"/>
      <c r="R19" s="319"/>
      <c r="S19" s="318"/>
      <c r="T19" s="319"/>
      <c r="U19" s="318"/>
      <c r="V19" s="319"/>
      <c r="W19" s="318"/>
      <c r="X19" s="306"/>
      <c r="Y19" s="304"/>
      <c r="Z19" s="294"/>
      <c r="AA19" s="295"/>
      <c r="AB19" s="296"/>
      <c r="AC19" s="297"/>
      <c r="AD19" s="298"/>
      <c r="AE19" s="319">
        <v>10</v>
      </c>
      <c r="AF19" s="318"/>
      <c r="AG19" s="319"/>
      <c r="AH19" s="318"/>
      <c r="AI19" s="391"/>
      <c r="AJ19" s="392"/>
      <c r="AK19" s="319"/>
      <c r="AL19" s="318"/>
      <c r="AM19" s="319"/>
      <c r="AN19" s="318"/>
      <c r="AO19" s="319"/>
      <c r="AP19" s="323"/>
      <c r="AQ19" s="376"/>
      <c r="AR19" s="318"/>
      <c r="AS19" s="319"/>
      <c r="AT19" s="318"/>
      <c r="AU19" s="319"/>
      <c r="AV19" s="318"/>
      <c r="AW19" s="301"/>
      <c r="AX19" s="318"/>
      <c r="AY19" s="319"/>
      <c r="AZ19" s="323"/>
      <c r="BA19" s="294"/>
      <c r="BB19" s="295"/>
      <c r="BC19" s="296"/>
      <c r="BD19" s="284"/>
      <c r="BE19" s="298"/>
      <c r="BF19" s="305"/>
      <c r="BG19" s="302"/>
      <c r="BH19" s="301"/>
      <c r="BI19" s="302"/>
      <c r="BJ19" s="301"/>
      <c r="BK19" s="302"/>
      <c r="BL19" s="301"/>
      <c r="BM19" s="302"/>
      <c r="BN19" s="301"/>
      <c r="BO19" s="302"/>
      <c r="BP19" s="301"/>
      <c r="BQ19" s="302"/>
      <c r="BR19" s="301"/>
      <c r="BS19" s="302"/>
      <c r="BT19" s="301"/>
      <c r="BU19" s="302"/>
      <c r="BV19" s="301"/>
      <c r="BW19" s="302"/>
      <c r="BX19" s="301"/>
      <c r="BY19" s="302"/>
      <c r="BZ19" s="306"/>
      <c r="CA19" s="304"/>
      <c r="CB19" s="294"/>
      <c r="CC19" s="295"/>
      <c r="CD19" s="296"/>
      <c r="CE19" s="284"/>
      <c r="CF19" s="298"/>
      <c r="CG19" s="307"/>
      <c r="CH19" s="308"/>
      <c r="CI19" s="309"/>
      <c r="CJ19" s="310"/>
      <c r="CK19" s="311"/>
      <c r="CL19" s="75"/>
      <c r="CN19" s="161"/>
      <c r="CO19" s="163"/>
      <c r="CP19" s="315"/>
      <c r="CQ19" s="316"/>
      <c r="CR19" s="317"/>
      <c r="CS19" s="316"/>
      <c r="CT19" s="317"/>
      <c r="CU19" s="316"/>
      <c r="CZ19" s="73">
        <v>2</v>
      </c>
      <c r="DA19" s="73">
        <v>2</v>
      </c>
      <c r="DB19" s="73">
        <v>1</v>
      </c>
      <c r="DC19" s="74">
        <f t="shared" ca="1" si="16"/>
        <v>45689</v>
      </c>
      <c r="DD19" s="68" t="str">
        <f t="shared" ca="1" si="17"/>
        <v>土</v>
      </c>
      <c r="DF19" s="156"/>
      <c r="DG19" s="156"/>
    </row>
    <row r="20" spans="1:112" ht="28.5" customHeight="1">
      <c r="A20" s="327">
        <f t="shared" ca="1" si="104"/>
        <v>45690</v>
      </c>
      <c r="B20" s="328" t="str">
        <f t="shared" ca="1" si="105"/>
        <v>日</v>
      </c>
      <c r="C20" s="329" t="s">
        <v>27</v>
      </c>
      <c r="D20" s="332"/>
      <c r="E20" s="336"/>
      <c r="F20" s="332"/>
      <c r="G20" s="336"/>
      <c r="H20" s="332"/>
      <c r="I20" s="366"/>
      <c r="J20" s="380"/>
      <c r="K20" s="338"/>
      <c r="L20" s="380"/>
      <c r="M20" s="336"/>
      <c r="N20" s="398"/>
      <c r="O20" s="338"/>
      <c r="P20" s="332"/>
      <c r="Q20" s="339"/>
      <c r="R20" s="332"/>
      <c r="S20" s="336"/>
      <c r="T20" s="332"/>
      <c r="U20" s="338"/>
      <c r="V20" s="332"/>
      <c r="W20" s="336"/>
      <c r="X20" s="389"/>
      <c r="Y20" s="341"/>
      <c r="Z20" s="342">
        <f t="shared" ref="Z20" ca="1" si="128">UDayCou(1,ROW())</f>
        <v>9</v>
      </c>
      <c r="AA20" s="343">
        <f t="shared" ref="AA20" ca="1" si="129">UNightCou(1,ROW())</f>
        <v>8</v>
      </c>
      <c r="AB20" s="344">
        <f t="shared" ref="AB20" ca="1" si="130">UNewCou(1,ROW())</f>
        <v>2</v>
      </c>
      <c r="AC20" s="345">
        <f t="shared" ca="1" si="109"/>
        <v>45690</v>
      </c>
      <c r="AD20" s="346" t="str">
        <f t="shared" ca="1" si="110"/>
        <v>日</v>
      </c>
      <c r="AE20" s="332"/>
      <c r="AF20" s="338"/>
      <c r="AG20" s="332"/>
      <c r="AH20" s="338"/>
      <c r="AI20" s="399"/>
      <c r="AJ20" s="400"/>
      <c r="AK20" s="332"/>
      <c r="AL20" s="338"/>
      <c r="AM20" s="332"/>
      <c r="AN20" s="338"/>
      <c r="AO20" s="332"/>
      <c r="AP20" s="339"/>
      <c r="AQ20" s="380"/>
      <c r="AR20" s="331"/>
      <c r="AS20" s="332"/>
      <c r="AT20" s="336"/>
      <c r="AU20" s="332"/>
      <c r="AV20" s="338"/>
      <c r="AW20" s="330"/>
      <c r="AX20" s="338"/>
      <c r="AY20" s="332"/>
      <c r="AZ20" s="378"/>
      <c r="BA20" s="342">
        <f ca="1">UDayCou(2,ROW())</f>
        <v>10</v>
      </c>
      <c r="BB20" s="343">
        <f ca="1">UNightCou(2,ROW())</f>
        <v>9</v>
      </c>
      <c r="BC20" s="344">
        <f ca="1">UNewCou(2,ROW())</f>
        <v>2</v>
      </c>
      <c r="BD20" s="327">
        <f t="shared" ca="1" si="111"/>
        <v>45690</v>
      </c>
      <c r="BE20" s="346" t="str">
        <f t="shared" ca="1" si="112"/>
        <v>日</v>
      </c>
      <c r="BF20" s="350"/>
      <c r="BG20" s="351"/>
      <c r="BH20" s="330"/>
      <c r="BI20" s="351"/>
      <c r="BJ20" s="330"/>
      <c r="BK20" s="351"/>
      <c r="BL20" s="330"/>
      <c r="BM20" s="351"/>
      <c r="BN20" s="330"/>
      <c r="BO20" s="351"/>
      <c r="BP20" s="330"/>
      <c r="BQ20" s="351"/>
      <c r="BR20" s="330"/>
      <c r="BS20" s="351"/>
      <c r="BT20" s="330"/>
      <c r="BU20" s="351"/>
      <c r="BV20" s="330"/>
      <c r="BW20" s="351"/>
      <c r="BX20" s="330"/>
      <c r="BY20" s="351"/>
      <c r="BZ20" s="389"/>
      <c r="CA20" s="341"/>
      <c r="CB20" s="342">
        <f ca="1">UDayCou(3,ROW())</f>
        <v>0</v>
      </c>
      <c r="CC20" s="343">
        <f ca="1">UNightCou(3,ROW())</f>
        <v>0</v>
      </c>
      <c r="CD20" s="344">
        <f ca="1">UNewCou(3,ROW())</f>
        <v>0</v>
      </c>
      <c r="CE20" s="327">
        <f t="shared" ca="1" si="113"/>
        <v>45690</v>
      </c>
      <c r="CF20" s="346" t="str">
        <f t="shared" ca="1" si="114"/>
        <v>日</v>
      </c>
      <c r="CG20" s="352">
        <f t="shared" ref="CG20" ca="1" si="131">Z20+BA20+CB20</f>
        <v>19</v>
      </c>
      <c r="CH20" s="353">
        <f t="shared" ref="CH20" ca="1" si="132">AA20+BB20+CC20</f>
        <v>17</v>
      </c>
      <c r="CI20" s="354">
        <f t="shared" ref="CI20" ca="1" si="133">AB20+BC20+CD20</f>
        <v>4</v>
      </c>
      <c r="CJ20" s="355">
        <f ca="1">COUNTIF(INDIRECT("D68:CA69"),"*●*")</f>
        <v>6</v>
      </c>
      <c r="CK20" s="356">
        <f ca="1">COUNTIF(INDIRECT("D68:CA69"),"*㋷*")</f>
        <v>0</v>
      </c>
      <c r="CL20" s="75"/>
      <c r="CN20" s="160">
        <f t="shared" ca="1" si="118"/>
        <v>45690</v>
      </c>
      <c r="CO20" s="168" t="str">
        <f t="shared" ca="1" si="119"/>
        <v>日</v>
      </c>
      <c r="CP20" s="357"/>
      <c r="CQ20" s="358"/>
      <c r="CR20" s="359"/>
      <c r="CS20" s="358"/>
      <c r="CT20" s="359"/>
      <c r="CU20" s="358"/>
      <c r="CZ20" s="73">
        <v>2</v>
      </c>
      <c r="DA20" s="73">
        <v>2</v>
      </c>
      <c r="DB20" s="73">
        <v>2</v>
      </c>
      <c r="DC20" s="74">
        <f t="shared" ca="1" si="16"/>
        <v>45690</v>
      </c>
      <c r="DD20" s="68" t="str">
        <f t="shared" ca="1" si="17"/>
        <v>日</v>
      </c>
      <c r="DF20" s="155">
        <f t="shared" ref="DF20" ca="1" si="134">$DC20</f>
        <v>45690</v>
      </c>
      <c r="DG20" s="156" t="str">
        <f ca="1">IF($CH20&gt;=設定!$E$12,"✕",IF(SS予約表!$CG20&gt;=設定!$E$12,"△","○"))</f>
        <v>○</v>
      </c>
    </row>
    <row r="21" spans="1:112" ht="29.25" customHeight="1">
      <c r="A21" s="284"/>
      <c r="B21" s="285"/>
      <c r="C21" s="286" t="s">
        <v>28</v>
      </c>
      <c r="D21" s="319"/>
      <c r="E21" s="318"/>
      <c r="F21" s="319"/>
      <c r="G21" s="318"/>
      <c r="H21" s="319"/>
      <c r="I21" s="323"/>
      <c r="J21" s="376"/>
      <c r="K21" s="318"/>
      <c r="L21" s="376"/>
      <c r="M21" s="318"/>
      <c r="N21" s="397"/>
      <c r="O21" s="401"/>
      <c r="P21" s="319"/>
      <c r="Q21" s="323"/>
      <c r="R21" s="319"/>
      <c r="S21" s="318"/>
      <c r="T21" s="319"/>
      <c r="U21" s="318"/>
      <c r="V21" s="319"/>
      <c r="W21" s="318"/>
      <c r="X21" s="306"/>
      <c r="Y21" s="304"/>
      <c r="Z21" s="294"/>
      <c r="AA21" s="295"/>
      <c r="AB21" s="296"/>
      <c r="AC21" s="297"/>
      <c r="AD21" s="298"/>
      <c r="AE21" s="319"/>
      <c r="AF21" s="318"/>
      <c r="AG21" s="319"/>
      <c r="AH21" s="318"/>
      <c r="AI21" s="319"/>
      <c r="AJ21" s="323"/>
      <c r="AK21" s="319"/>
      <c r="AL21" s="318"/>
      <c r="AM21" s="319"/>
      <c r="AN21" s="318"/>
      <c r="AO21" s="319"/>
      <c r="AP21" s="318"/>
      <c r="AQ21" s="376"/>
      <c r="AR21" s="318"/>
      <c r="AS21" s="319"/>
      <c r="AT21" s="318"/>
      <c r="AU21" s="319"/>
      <c r="AV21" s="318"/>
      <c r="AW21" s="301"/>
      <c r="AX21" s="318"/>
      <c r="AY21" s="319"/>
      <c r="AZ21" s="323"/>
      <c r="BA21" s="294"/>
      <c r="BB21" s="295"/>
      <c r="BC21" s="296"/>
      <c r="BD21" s="284"/>
      <c r="BE21" s="298"/>
      <c r="BF21" s="305"/>
      <c r="BG21" s="302"/>
      <c r="BH21" s="301"/>
      <c r="BI21" s="302"/>
      <c r="BJ21" s="301"/>
      <c r="BK21" s="302"/>
      <c r="BL21" s="301"/>
      <c r="BM21" s="302"/>
      <c r="BN21" s="301"/>
      <c r="BO21" s="302"/>
      <c r="BP21" s="301"/>
      <c r="BQ21" s="302"/>
      <c r="BR21" s="301"/>
      <c r="BS21" s="302"/>
      <c r="BT21" s="301"/>
      <c r="BU21" s="302"/>
      <c r="BV21" s="301"/>
      <c r="BW21" s="302"/>
      <c r="BX21" s="301"/>
      <c r="BY21" s="302"/>
      <c r="BZ21" s="306"/>
      <c r="CA21" s="304"/>
      <c r="CB21" s="294"/>
      <c r="CC21" s="295"/>
      <c r="CD21" s="296"/>
      <c r="CE21" s="284"/>
      <c r="CF21" s="298"/>
      <c r="CG21" s="307"/>
      <c r="CH21" s="308"/>
      <c r="CI21" s="309"/>
      <c r="CJ21" s="310"/>
      <c r="CK21" s="311"/>
      <c r="CL21" s="75"/>
      <c r="CN21" s="161"/>
      <c r="CO21" s="163"/>
      <c r="CP21" s="315"/>
      <c r="CQ21" s="316"/>
      <c r="CR21" s="317"/>
      <c r="CS21" s="316"/>
      <c r="CT21" s="317"/>
      <c r="CU21" s="316"/>
      <c r="CZ21" s="73">
        <v>2</v>
      </c>
      <c r="DA21" s="73">
        <v>2</v>
      </c>
      <c r="DB21" s="73">
        <v>2</v>
      </c>
      <c r="DC21" s="74">
        <f t="shared" ca="1" si="16"/>
        <v>45690</v>
      </c>
      <c r="DD21" s="68" t="str">
        <f t="shared" ref="DD21:DD84" ca="1" si="135">TEXT($DC21,"aaa")</f>
        <v>日</v>
      </c>
      <c r="DF21" s="156"/>
      <c r="DG21" s="156"/>
    </row>
    <row r="22" spans="1:112" ht="28.5" customHeight="1">
      <c r="A22" s="327">
        <f t="shared" ca="1" si="104"/>
        <v>45691</v>
      </c>
      <c r="B22" s="365" t="str">
        <f t="shared" ca="1" si="105"/>
        <v>月</v>
      </c>
      <c r="C22" s="329" t="s">
        <v>27</v>
      </c>
      <c r="D22" s="332">
        <v>15</v>
      </c>
      <c r="E22" s="366"/>
      <c r="F22" s="332"/>
      <c r="G22" s="366"/>
      <c r="H22" s="332"/>
      <c r="I22" s="339"/>
      <c r="J22" s="380"/>
      <c r="K22" s="336"/>
      <c r="L22" s="380"/>
      <c r="M22" s="338"/>
      <c r="N22" s="398"/>
      <c r="O22" s="338"/>
      <c r="P22" s="332"/>
      <c r="Q22" s="339"/>
      <c r="R22" s="332"/>
      <c r="S22" s="366"/>
      <c r="T22" s="332"/>
      <c r="U22" s="338"/>
      <c r="V22" s="332"/>
      <c r="W22" s="338"/>
      <c r="X22" s="389"/>
      <c r="Y22" s="341"/>
      <c r="Z22" s="342">
        <f t="shared" ref="Z22" ca="1" si="136">UDayCou(1,ROW())</f>
        <v>10</v>
      </c>
      <c r="AA22" s="343">
        <f t="shared" ref="AA22" ca="1" si="137">UNightCou(1,ROW())</f>
        <v>7</v>
      </c>
      <c r="AB22" s="344">
        <f t="shared" ref="AB22" ca="1" si="138">UNewCou(1,ROW())</f>
        <v>2</v>
      </c>
      <c r="AC22" s="345">
        <f t="shared" ca="1" si="109"/>
        <v>45691</v>
      </c>
      <c r="AD22" s="371" t="str">
        <f t="shared" ca="1" si="110"/>
        <v>月</v>
      </c>
      <c r="AE22" s="332"/>
      <c r="AF22" s="338"/>
      <c r="AG22" s="332"/>
      <c r="AH22" s="336"/>
      <c r="AI22" s="332"/>
      <c r="AJ22" s="339"/>
      <c r="AK22" s="332"/>
      <c r="AL22" s="366"/>
      <c r="AM22" s="332"/>
      <c r="AN22" s="336"/>
      <c r="AO22" s="332"/>
      <c r="AP22" s="338"/>
      <c r="AQ22" s="380"/>
      <c r="AR22" s="338"/>
      <c r="AS22" s="332"/>
      <c r="AT22" s="366"/>
      <c r="AU22" s="332"/>
      <c r="AV22" s="331"/>
      <c r="AW22" s="330"/>
      <c r="AX22" s="366"/>
      <c r="AY22" s="332"/>
      <c r="AZ22" s="339"/>
      <c r="BA22" s="342">
        <f ca="1">UDayCou(2,ROW())</f>
        <v>11</v>
      </c>
      <c r="BB22" s="343">
        <f ca="1">UNightCou(2,ROW())</f>
        <v>8</v>
      </c>
      <c r="BC22" s="344">
        <f ca="1">UNewCou(2,ROW())</f>
        <v>1</v>
      </c>
      <c r="BD22" s="327">
        <f t="shared" ca="1" si="111"/>
        <v>45691</v>
      </c>
      <c r="BE22" s="371" t="str">
        <f t="shared" ca="1" si="112"/>
        <v>月</v>
      </c>
      <c r="BF22" s="350"/>
      <c r="BG22" s="351"/>
      <c r="BH22" s="330"/>
      <c r="BI22" s="351"/>
      <c r="BJ22" s="330"/>
      <c r="BK22" s="351"/>
      <c r="BL22" s="330"/>
      <c r="BM22" s="351"/>
      <c r="BN22" s="330"/>
      <c r="BO22" s="351"/>
      <c r="BP22" s="330"/>
      <c r="BQ22" s="351"/>
      <c r="BR22" s="330"/>
      <c r="BS22" s="351"/>
      <c r="BT22" s="330"/>
      <c r="BU22" s="351"/>
      <c r="BV22" s="330"/>
      <c r="BW22" s="351"/>
      <c r="BX22" s="330"/>
      <c r="BY22" s="351"/>
      <c r="BZ22" s="389"/>
      <c r="CA22" s="341"/>
      <c r="CB22" s="342">
        <f ca="1">UDayCou(3,ROW())</f>
        <v>0</v>
      </c>
      <c r="CC22" s="343">
        <f ca="1">UNightCou(3,ROW())</f>
        <v>0</v>
      </c>
      <c r="CD22" s="344">
        <f ca="1">UNewCou(3,ROW())</f>
        <v>0</v>
      </c>
      <c r="CE22" s="327">
        <f t="shared" ca="1" si="113"/>
        <v>45691</v>
      </c>
      <c r="CF22" s="371" t="str">
        <f t="shared" ca="1" si="114"/>
        <v>月</v>
      </c>
      <c r="CG22" s="352">
        <f t="shared" ref="CG22" ca="1" si="139">Z22+BA22+CB22</f>
        <v>21</v>
      </c>
      <c r="CH22" s="353">
        <f t="shared" ref="CH22" ca="1" si="140">AA22+BB22+CC22</f>
        <v>15</v>
      </c>
      <c r="CI22" s="354">
        <f t="shared" ref="CI22" ca="1" si="141">AB22+BC22+CD22</f>
        <v>3</v>
      </c>
      <c r="CJ22" s="355">
        <f ca="1">COUNTIF(INDIRECT("D70:CA71"),"*●*")</f>
        <v>6</v>
      </c>
      <c r="CK22" s="356">
        <f ca="1">COUNTIF(INDIRECT("D70:CA71"),"*㋷*")</f>
        <v>0</v>
      </c>
      <c r="CL22" s="75"/>
      <c r="CN22" s="160">
        <f t="shared" ca="1" si="118"/>
        <v>45691</v>
      </c>
      <c r="CO22" s="162" t="str">
        <f t="shared" ca="1" si="119"/>
        <v>月</v>
      </c>
      <c r="CP22" s="357"/>
      <c r="CQ22" s="358"/>
      <c r="CR22" s="359"/>
      <c r="CS22" s="358"/>
      <c r="CT22" s="359"/>
      <c r="CU22" s="358"/>
      <c r="CZ22" s="73">
        <v>2</v>
      </c>
      <c r="DA22" s="73">
        <v>2</v>
      </c>
      <c r="DB22" s="73">
        <v>3</v>
      </c>
      <c r="DC22" s="74">
        <f t="shared" ca="1" si="16"/>
        <v>45691</v>
      </c>
      <c r="DD22" s="68" t="str">
        <f t="shared" ca="1" si="135"/>
        <v>月</v>
      </c>
      <c r="DF22" s="155">
        <f t="shared" ref="DF22" ca="1" si="142">$DC22</f>
        <v>45691</v>
      </c>
      <c r="DG22" s="156" t="str">
        <f ca="1">IF($CH22&gt;=設定!$E$12,"✕",IF(SS予約表!$CG22&gt;=設定!$E$12,"△","○"))</f>
        <v>△</v>
      </c>
    </row>
    <row r="23" spans="1:112" ht="29.25" customHeight="1">
      <c r="A23" s="284"/>
      <c r="B23" s="285"/>
      <c r="C23" s="286" t="s">
        <v>28</v>
      </c>
      <c r="D23" s="362"/>
      <c r="E23" s="321"/>
      <c r="F23" s="299"/>
      <c r="G23" s="300"/>
      <c r="H23" s="319"/>
      <c r="I23" s="318"/>
      <c r="J23" s="376"/>
      <c r="K23" s="318"/>
      <c r="L23" s="376"/>
      <c r="M23" s="318"/>
      <c r="N23" s="397"/>
      <c r="O23" s="318"/>
      <c r="P23" s="362"/>
      <c r="Q23" s="324"/>
      <c r="R23" s="319"/>
      <c r="S23" s="323"/>
      <c r="T23" s="319"/>
      <c r="U23" s="318"/>
      <c r="V23" s="319"/>
      <c r="W23" s="318"/>
      <c r="X23" s="306"/>
      <c r="Y23" s="304"/>
      <c r="Z23" s="294"/>
      <c r="AA23" s="295"/>
      <c r="AB23" s="296"/>
      <c r="AC23" s="297"/>
      <c r="AD23" s="298"/>
      <c r="AE23" s="319"/>
      <c r="AF23" s="318"/>
      <c r="AG23" s="319"/>
      <c r="AH23" s="318"/>
      <c r="AI23" s="319"/>
      <c r="AJ23" s="318"/>
      <c r="AK23" s="319"/>
      <c r="AL23" s="323"/>
      <c r="AM23" s="319"/>
      <c r="AN23" s="318"/>
      <c r="AO23" s="319"/>
      <c r="AP23" s="318"/>
      <c r="AQ23" s="376"/>
      <c r="AR23" s="318"/>
      <c r="AS23" s="319"/>
      <c r="AT23" s="318"/>
      <c r="AU23" s="319"/>
      <c r="AV23" s="318"/>
      <c r="AW23" s="319"/>
      <c r="AX23" s="323"/>
      <c r="AY23" s="319"/>
      <c r="AZ23" s="323"/>
      <c r="BA23" s="294"/>
      <c r="BB23" s="295"/>
      <c r="BC23" s="296"/>
      <c r="BD23" s="284"/>
      <c r="BE23" s="298"/>
      <c r="BF23" s="305"/>
      <c r="BG23" s="302"/>
      <c r="BH23" s="301"/>
      <c r="BI23" s="302"/>
      <c r="BJ23" s="301"/>
      <c r="BK23" s="302"/>
      <c r="BL23" s="301"/>
      <c r="BM23" s="302"/>
      <c r="BN23" s="301"/>
      <c r="BO23" s="302"/>
      <c r="BP23" s="301"/>
      <c r="BQ23" s="302"/>
      <c r="BR23" s="301"/>
      <c r="BS23" s="302"/>
      <c r="BT23" s="301"/>
      <c r="BU23" s="302"/>
      <c r="BV23" s="301"/>
      <c r="BW23" s="302"/>
      <c r="BX23" s="301"/>
      <c r="BY23" s="302"/>
      <c r="BZ23" s="306"/>
      <c r="CA23" s="304"/>
      <c r="CB23" s="294"/>
      <c r="CC23" s="295"/>
      <c r="CD23" s="296"/>
      <c r="CE23" s="284"/>
      <c r="CF23" s="298"/>
      <c r="CG23" s="307"/>
      <c r="CH23" s="308"/>
      <c r="CI23" s="309"/>
      <c r="CJ23" s="310"/>
      <c r="CK23" s="311"/>
      <c r="CL23" s="75"/>
      <c r="CN23" s="161"/>
      <c r="CO23" s="163"/>
      <c r="CP23" s="315"/>
      <c r="CQ23" s="316"/>
      <c r="CR23" s="317"/>
      <c r="CS23" s="316"/>
      <c r="CT23" s="317"/>
      <c r="CU23" s="316"/>
      <c r="CZ23" s="73">
        <v>2</v>
      </c>
      <c r="DA23" s="73">
        <v>2</v>
      </c>
      <c r="DB23" s="73">
        <v>3</v>
      </c>
      <c r="DC23" s="74">
        <f t="shared" ca="1" si="16"/>
        <v>45691</v>
      </c>
      <c r="DD23" s="68" t="str">
        <f t="shared" ca="1" si="135"/>
        <v>月</v>
      </c>
      <c r="DF23" s="156"/>
      <c r="DG23" s="156"/>
    </row>
    <row r="24" spans="1:112" ht="28.5" customHeight="1">
      <c r="A24" s="327">
        <f t="shared" ca="1" si="104"/>
        <v>45692</v>
      </c>
      <c r="B24" s="365" t="str">
        <f t="shared" ca="1" si="105"/>
        <v>火</v>
      </c>
      <c r="C24" s="329" t="s">
        <v>27</v>
      </c>
      <c r="D24" s="370"/>
      <c r="E24" s="381"/>
      <c r="F24" s="335"/>
      <c r="G24" s="347"/>
      <c r="H24" s="332"/>
      <c r="I24" s="336"/>
      <c r="J24" s="402"/>
      <c r="K24" s="366"/>
      <c r="L24" s="380"/>
      <c r="M24" s="336"/>
      <c r="N24" s="398"/>
      <c r="O24" s="336"/>
      <c r="P24" s="370"/>
      <c r="Q24" s="377"/>
      <c r="R24" s="332"/>
      <c r="S24" s="378"/>
      <c r="T24" s="332"/>
      <c r="U24" s="336"/>
      <c r="V24" s="332"/>
      <c r="W24" s="338"/>
      <c r="X24" s="389"/>
      <c r="Y24" s="341"/>
      <c r="Z24" s="342">
        <f t="shared" ref="Z24" ca="1" si="143">UDayCou(1,ROW())</f>
        <v>7</v>
      </c>
      <c r="AA24" s="343">
        <f t="shared" ref="AA24" ca="1" si="144">UNightCou(1,ROW())</f>
        <v>6</v>
      </c>
      <c r="AB24" s="344">
        <f t="shared" ref="AB24" ca="1" si="145">UNewCou(1,ROW())</f>
        <v>2</v>
      </c>
      <c r="AC24" s="345">
        <f t="shared" ca="1" si="109"/>
        <v>45692</v>
      </c>
      <c r="AD24" s="371" t="str">
        <f t="shared" ca="1" si="110"/>
        <v>火</v>
      </c>
      <c r="AE24" s="332"/>
      <c r="AF24" s="338"/>
      <c r="AG24" s="332"/>
      <c r="AH24" s="366"/>
      <c r="AI24" s="332"/>
      <c r="AJ24" s="338"/>
      <c r="AK24" s="332"/>
      <c r="AL24" s="339"/>
      <c r="AM24" s="332"/>
      <c r="AN24" s="336"/>
      <c r="AO24" s="332"/>
      <c r="AP24" s="338"/>
      <c r="AQ24" s="402"/>
      <c r="AR24" s="336"/>
      <c r="AS24" s="332"/>
      <c r="AT24" s="338"/>
      <c r="AU24" s="332"/>
      <c r="AV24" s="336"/>
      <c r="AW24" s="332"/>
      <c r="AX24" s="339"/>
      <c r="AY24" s="332"/>
      <c r="AZ24" s="339"/>
      <c r="BA24" s="342">
        <f ca="1">UDayCou(2,ROW())</f>
        <v>9</v>
      </c>
      <c r="BB24" s="343">
        <f ca="1">UNightCou(2,ROW())</f>
        <v>8</v>
      </c>
      <c r="BC24" s="344">
        <f ca="1">UNewCou(2,ROW())</f>
        <v>2</v>
      </c>
      <c r="BD24" s="327">
        <f t="shared" ca="1" si="111"/>
        <v>45692</v>
      </c>
      <c r="BE24" s="371" t="str">
        <f t="shared" ca="1" si="112"/>
        <v>火</v>
      </c>
      <c r="BF24" s="350"/>
      <c r="BG24" s="351"/>
      <c r="BH24" s="330"/>
      <c r="BI24" s="351"/>
      <c r="BJ24" s="330"/>
      <c r="BK24" s="351"/>
      <c r="BL24" s="330"/>
      <c r="BM24" s="351"/>
      <c r="BN24" s="330"/>
      <c r="BO24" s="351"/>
      <c r="BP24" s="330"/>
      <c r="BQ24" s="351"/>
      <c r="BR24" s="330"/>
      <c r="BS24" s="351"/>
      <c r="BT24" s="330"/>
      <c r="BU24" s="351"/>
      <c r="BV24" s="330"/>
      <c r="BW24" s="351"/>
      <c r="BX24" s="330"/>
      <c r="BY24" s="351"/>
      <c r="BZ24" s="389"/>
      <c r="CA24" s="341"/>
      <c r="CB24" s="342">
        <f ca="1">UDayCou(3,ROW())</f>
        <v>0</v>
      </c>
      <c r="CC24" s="343">
        <f ca="1">UNightCou(3,ROW())</f>
        <v>0</v>
      </c>
      <c r="CD24" s="344">
        <f ca="1">UNewCou(3,ROW())</f>
        <v>0</v>
      </c>
      <c r="CE24" s="327">
        <f t="shared" ca="1" si="113"/>
        <v>45692</v>
      </c>
      <c r="CF24" s="371" t="str">
        <f t="shared" ca="1" si="114"/>
        <v>火</v>
      </c>
      <c r="CG24" s="352">
        <f t="shared" ref="CG24" ca="1" si="146">Z24+BA24+CB24</f>
        <v>16</v>
      </c>
      <c r="CH24" s="353">
        <f t="shared" ref="CH24" ca="1" si="147">AA24+BB24+CC24</f>
        <v>14</v>
      </c>
      <c r="CI24" s="354">
        <f t="shared" ref="CI24" ca="1" si="148">AB24+BC24+CD24</f>
        <v>4</v>
      </c>
      <c r="CJ24" s="355">
        <f ca="1">COUNTIF(INDIRECT("D72:CA73"),"*●*")</f>
        <v>0</v>
      </c>
      <c r="CK24" s="356">
        <f ca="1">COUNTIF(INDIRECT("D72:CA73"),"*㋷*")</f>
        <v>0</v>
      </c>
      <c r="CL24" s="75"/>
      <c r="CN24" s="160">
        <f t="shared" ca="1" si="118"/>
        <v>45692</v>
      </c>
      <c r="CO24" s="162" t="str">
        <f t="shared" ca="1" si="119"/>
        <v>火</v>
      </c>
      <c r="CP24" s="357"/>
      <c r="CQ24" s="358"/>
      <c r="CR24" s="359"/>
      <c r="CS24" s="358"/>
      <c r="CT24" s="359"/>
      <c r="CU24" s="358"/>
      <c r="CZ24" s="73">
        <v>2</v>
      </c>
      <c r="DA24" s="73">
        <v>2</v>
      </c>
      <c r="DB24" s="73">
        <v>4</v>
      </c>
      <c r="DC24" s="74">
        <f t="shared" ca="1" si="16"/>
        <v>45692</v>
      </c>
      <c r="DD24" s="68" t="str">
        <f t="shared" ca="1" si="135"/>
        <v>火</v>
      </c>
      <c r="DF24" s="155">
        <f t="shared" ref="DF24" ca="1" si="149">$DC24</f>
        <v>45692</v>
      </c>
      <c r="DG24" s="156" t="str">
        <f ca="1">IF($CH24&gt;=設定!$E$12,"✕",IF(SS予約表!$CG24&gt;=設定!$E$12,"△","○"))</f>
        <v>○</v>
      </c>
    </row>
    <row r="25" spans="1:112" ht="29.25" customHeight="1">
      <c r="A25" s="284"/>
      <c r="B25" s="285"/>
      <c r="C25" s="286" t="s">
        <v>28</v>
      </c>
      <c r="D25" s="305"/>
      <c r="E25" s="323"/>
      <c r="F25" s="287"/>
      <c r="G25" s="321"/>
      <c r="H25" s="319"/>
      <c r="I25" s="318"/>
      <c r="J25" s="319"/>
      <c r="K25" s="323"/>
      <c r="L25" s="376"/>
      <c r="M25" s="318"/>
      <c r="N25" s="397"/>
      <c r="O25" s="318"/>
      <c r="P25" s="305"/>
      <c r="Q25" s="318"/>
      <c r="R25" s="319"/>
      <c r="S25" s="323"/>
      <c r="T25" s="319"/>
      <c r="U25" s="318"/>
      <c r="V25" s="319"/>
      <c r="W25" s="318"/>
      <c r="X25" s="306"/>
      <c r="Y25" s="304"/>
      <c r="Z25" s="294"/>
      <c r="AA25" s="295"/>
      <c r="AB25" s="296"/>
      <c r="AC25" s="297"/>
      <c r="AD25" s="298"/>
      <c r="AE25" s="319"/>
      <c r="AF25" s="318"/>
      <c r="AG25" s="319"/>
      <c r="AH25" s="323"/>
      <c r="AI25" s="319"/>
      <c r="AJ25" s="318"/>
      <c r="AK25" s="403"/>
      <c r="AL25" s="404"/>
      <c r="AM25" s="319"/>
      <c r="AN25" s="318"/>
      <c r="AO25" s="319"/>
      <c r="AP25" s="318"/>
      <c r="AQ25" s="319"/>
      <c r="AR25" s="318"/>
      <c r="AS25" s="319"/>
      <c r="AT25" s="318"/>
      <c r="AU25" s="319"/>
      <c r="AV25" s="318"/>
      <c r="AW25" s="319"/>
      <c r="AX25" s="323"/>
      <c r="AY25" s="319"/>
      <c r="AZ25" s="323"/>
      <c r="BA25" s="294"/>
      <c r="BB25" s="295"/>
      <c r="BC25" s="296"/>
      <c r="BD25" s="284"/>
      <c r="BE25" s="298"/>
      <c r="BF25" s="305"/>
      <c r="BG25" s="302"/>
      <c r="BH25" s="301"/>
      <c r="BI25" s="302"/>
      <c r="BJ25" s="301"/>
      <c r="BK25" s="302"/>
      <c r="BL25" s="301"/>
      <c r="BM25" s="302"/>
      <c r="BN25" s="301"/>
      <c r="BO25" s="302"/>
      <c r="BP25" s="301"/>
      <c r="BQ25" s="302"/>
      <c r="BR25" s="301"/>
      <c r="BS25" s="302"/>
      <c r="BT25" s="301"/>
      <c r="BU25" s="302"/>
      <c r="BV25" s="301"/>
      <c r="BW25" s="302"/>
      <c r="BX25" s="301"/>
      <c r="BY25" s="302"/>
      <c r="BZ25" s="306"/>
      <c r="CA25" s="304"/>
      <c r="CB25" s="294"/>
      <c r="CC25" s="295"/>
      <c r="CD25" s="296"/>
      <c r="CE25" s="284"/>
      <c r="CF25" s="298"/>
      <c r="CG25" s="307"/>
      <c r="CH25" s="308"/>
      <c r="CI25" s="309"/>
      <c r="CJ25" s="310"/>
      <c r="CK25" s="311"/>
      <c r="CL25" s="75"/>
      <c r="CN25" s="161"/>
      <c r="CO25" s="163"/>
      <c r="CP25" s="315"/>
      <c r="CQ25" s="316"/>
      <c r="CR25" s="317"/>
      <c r="CS25" s="316"/>
      <c r="CT25" s="317"/>
      <c r="CU25" s="316"/>
      <c r="CZ25" s="73">
        <v>2</v>
      </c>
      <c r="DA25" s="73">
        <v>2</v>
      </c>
      <c r="DB25" s="73">
        <v>4</v>
      </c>
      <c r="DC25" s="74">
        <f t="shared" ca="1" si="16"/>
        <v>45692</v>
      </c>
      <c r="DD25" s="68" t="str">
        <f t="shared" ca="1" si="135"/>
        <v>火</v>
      </c>
      <c r="DF25" s="156"/>
      <c r="DG25" s="156"/>
    </row>
    <row r="26" spans="1:112" ht="28.5" customHeight="1">
      <c r="A26" s="327">
        <f t="shared" ca="1" si="104"/>
        <v>45693</v>
      </c>
      <c r="B26" s="365" t="str">
        <f t="shared" ca="1" si="105"/>
        <v>水</v>
      </c>
      <c r="C26" s="329" t="s">
        <v>27</v>
      </c>
      <c r="D26" s="350"/>
      <c r="E26" s="378"/>
      <c r="F26" s="405"/>
      <c r="G26" s="381"/>
      <c r="H26" s="332"/>
      <c r="I26" s="338"/>
      <c r="J26" s="332"/>
      <c r="K26" s="339"/>
      <c r="L26" s="380"/>
      <c r="M26" s="336"/>
      <c r="N26" s="398"/>
      <c r="O26" s="366"/>
      <c r="P26" s="350"/>
      <c r="Q26" s="336"/>
      <c r="R26" s="332"/>
      <c r="S26" s="339"/>
      <c r="T26" s="332"/>
      <c r="U26" s="336"/>
      <c r="V26" s="332"/>
      <c r="W26" s="336"/>
      <c r="X26" s="389"/>
      <c r="Y26" s="341"/>
      <c r="Z26" s="342">
        <f t="shared" ref="Z26" ca="1" si="150">UDayCou(1,ROW())</f>
        <v>8</v>
      </c>
      <c r="AA26" s="343">
        <f t="shared" ref="AA26" ca="1" si="151">UNightCou(1,ROW())</f>
        <v>7</v>
      </c>
      <c r="AB26" s="344">
        <f t="shared" ref="AB26" ca="1" si="152">UNewCou(1,ROW())</f>
        <v>1</v>
      </c>
      <c r="AC26" s="345">
        <f t="shared" ca="1" si="109"/>
        <v>45693</v>
      </c>
      <c r="AD26" s="371" t="str">
        <f t="shared" ca="1" si="110"/>
        <v>水</v>
      </c>
      <c r="AE26" s="332"/>
      <c r="AF26" s="336"/>
      <c r="AG26" s="332"/>
      <c r="AH26" s="339"/>
      <c r="AI26" s="332"/>
      <c r="AJ26" s="336"/>
      <c r="AK26" s="406"/>
      <c r="AL26" s="407"/>
      <c r="AM26" s="332"/>
      <c r="AN26" s="338"/>
      <c r="AO26" s="332"/>
      <c r="AP26" s="336"/>
      <c r="AQ26" s="332"/>
      <c r="AR26" s="366"/>
      <c r="AS26" s="332"/>
      <c r="AT26" s="338"/>
      <c r="AU26" s="332"/>
      <c r="AV26" s="336"/>
      <c r="AW26" s="332"/>
      <c r="AX26" s="378"/>
      <c r="AY26" s="332"/>
      <c r="AZ26" s="378"/>
      <c r="BA26" s="342">
        <f ca="1">UDayCou(2,ROW())</f>
        <v>8</v>
      </c>
      <c r="BB26" s="343">
        <f ca="1">UNightCou(2,ROW())</f>
        <v>7</v>
      </c>
      <c r="BC26" s="344">
        <f ca="1">UNewCou(2,ROW())</f>
        <v>1</v>
      </c>
      <c r="BD26" s="327">
        <f t="shared" ca="1" si="111"/>
        <v>45693</v>
      </c>
      <c r="BE26" s="371" t="str">
        <f t="shared" ca="1" si="112"/>
        <v>水</v>
      </c>
      <c r="BF26" s="350"/>
      <c r="BG26" s="351"/>
      <c r="BH26" s="330"/>
      <c r="BI26" s="351"/>
      <c r="BJ26" s="330"/>
      <c r="BK26" s="351"/>
      <c r="BL26" s="330"/>
      <c r="BM26" s="351"/>
      <c r="BN26" s="330"/>
      <c r="BO26" s="351"/>
      <c r="BP26" s="330"/>
      <c r="BQ26" s="351"/>
      <c r="BR26" s="330"/>
      <c r="BS26" s="351"/>
      <c r="BT26" s="330"/>
      <c r="BU26" s="351"/>
      <c r="BV26" s="330"/>
      <c r="BW26" s="351"/>
      <c r="BX26" s="330"/>
      <c r="BY26" s="351"/>
      <c r="BZ26" s="389"/>
      <c r="CA26" s="341"/>
      <c r="CB26" s="342">
        <f ca="1">UDayCou(3,ROW())</f>
        <v>0</v>
      </c>
      <c r="CC26" s="343">
        <f ca="1">UNightCou(3,ROW())</f>
        <v>0</v>
      </c>
      <c r="CD26" s="344">
        <f ca="1">UNewCou(3,ROW())</f>
        <v>0</v>
      </c>
      <c r="CE26" s="327">
        <f t="shared" ca="1" si="113"/>
        <v>45693</v>
      </c>
      <c r="CF26" s="371" t="str">
        <f t="shared" ca="1" si="114"/>
        <v>水</v>
      </c>
      <c r="CG26" s="352">
        <f t="shared" ref="CG26" ca="1" si="153">Z26+BA26+CB26</f>
        <v>16</v>
      </c>
      <c r="CH26" s="353">
        <f t="shared" ref="CH26" ca="1" si="154">AA26+BB26+CC26</f>
        <v>14</v>
      </c>
      <c r="CI26" s="354">
        <f t="shared" ref="CI26" ca="1" si="155">AB26+BC26+CD26</f>
        <v>2</v>
      </c>
      <c r="CJ26" s="355">
        <f ca="1">COUNTIF(INDIRECT("D74:CA75"),"*●*")</f>
        <v>0</v>
      </c>
      <c r="CK26" s="356">
        <f ca="1">COUNTIF(INDIRECT("D74:CA75"),"*㋷*")</f>
        <v>0</v>
      </c>
      <c r="CL26" s="75"/>
      <c r="CN26" s="160">
        <f t="shared" ca="1" si="118"/>
        <v>45693</v>
      </c>
      <c r="CO26" s="162" t="str">
        <f t="shared" ca="1" si="119"/>
        <v>水</v>
      </c>
      <c r="CP26" s="357"/>
      <c r="CQ26" s="358"/>
      <c r="CR26" s="359"/>
      <c r="CS26" s="358"/>
      <c r="CT26" s="359"/>
      <c r="CU26" s="358"/>
      <c r="CZ26" s="73">
        <v>2</v>
      </c>
      <c r="DA26" s="73">
        <v>2</v>
      </c>
      <c r="DB26" s="73">
        <v>5</v>
      </c>
      <c r="DC26" s="74">
        <f t="shared" ca="1" si="16"/>
        <v>45693</v>
      </c>
      <c r="DD26" s="68" t="str">
        <f t="shared" ca="1" si="135"/>
        <v>水</v>
      </c>
      <c r="DF26" s="155">
        <f t="shared" ref="DF26" ca="1" si="156">$DC26</f>
        <v>45693</v>
      </c>
      <c r="DG26" s="156" t="str">
        <f ca="1">IF($CH26&gt;=設定!$E$12,"✕",IF(SS予約表!$CG26&gt;=設定!$E$12,"△","○"))</f>
        <v>○</v>
      </c>
    </row>
    <row r="27" spans="1:112" ht="29.25" customHeight="1" thickBot="1">
      <c r="A27" s="284"/>
      <c r="B27" s="285"/>
      <c r="C27" s="286" t="s">
        <v>28</v>
      </c>
      <c r="D27" s="305"/>
      <c r="E27" s="323"/>
      <c r="F27" s="319"/>
      <c r="G27" s="318"/>
      <c r="H27" s="319"/>
      <c r="I27" s="318"/>
      <c r="J27" s="319"/>
      <c r="K27" s="318"/>
      <c r="L27" s="376"/>
      <c r="M27" s="318"/>
      <c r="N27" s="319"/>
      <c r="O27" s="323"/>
      <c r="P27" s="305"/>
      <c r="Q27" s="318"/>
      <c r="R27" s="319"/>
      <c r="S27" s="323"/>
      <c r="T27" s="319"/>
      <c r="U27" s="318"/>
      <c r="V27" s="319"/>
      <c r="W27" s="318"/>
      <c r="X27" s="306"/>
      <c r="Y27" s="304"/>
      <c r="Z27" s="294"/>
      <c r="AA27" s="295"/>
      <c r="AB27" s="296"/>
      <c r="AC27" s="297"/>
      <c r="AD27" s="298"/>
      <c r="AE27" s="319"/>
      <c r="AF27" s="318"/>
      <c r="AG27" s="319"/>
      <c r="AH27" s="323"/>
      <c r="AI27" s="319"/>
      <c r="AJ27" s="318"/>
      <c r="AK27" s="403"/>
      <c r="AL27" s="404"/>
      <c r="AM27" s="319"/>
      <c r="AN27" s="318"/>
      <c r="AO27" s="319"/>
      <c r="AP27" s="318"/>
      <c r="AQ27" s="319"/>
      <c r="AR27" s="323"/>
      <c r="AS27" s="319"/>
      <c r="AT27" s="318"/>
      <c r="AU27" s="319"/>
      <c r="AV27" s="318"/>
      <c r="AW27" s="319"/>
      <c r="AX27" s="323"/>
      <c r="AY27" s="319"/>
      <c r="AZ27" s="323"/>
      <c r="BA27" s="294"/>
      <c r="BB27" s="295"/>
      <c r="BC27" s="296"/>
      <c r="BD27" s="284"/>
      <c r="BE27" s="298"/>
      <c r="BF27" s="305"/>
      <c r="BG27" s="302"/>
      <c r="BH27" s="301"/>
      <c r="BI27" s="302"/>
      <c r="BJ27" s="301"/>
      <c r="BK27" s="302"/>
      <c r="BL27" s="301"/>
      <c r="BM27" s="302"/>
      <c r="BN27" s="301"/>
      <c r="BO27" s="302"/>
      <c r="BP27" s="301"/>
      <c r="BQ27" s="302"/>
      <c r="BR27" s="301"/>
      <c r="BS27" s="302"/>
      <c r="BT27" s="301"/>
      <c r="BU27" s="302"/>
      <c r="BV27" s="301"/>
      <c r="BW27" s="302"/>
      <c r="BX27" s="301"/>
      <c r="BY27" s="302"/>
      <c r="BZ27" s="306"/>
      <c r="CA27" s="304"/>
      <c r="CB27" s="294"/>
      <c r="CC27" s="295"/>
      <c r="CD27" s="296"/>
      <c r="CE27" s="284"/>
      <c r="CF27" s="298"/>
      <c r="CG27" s="307"/>
      <c r="CH27" s="308"/>
      <c r="CI27" s="309"/>
      <c r="CJ27" s="310"/>
      <c r="CK27" s="311"/>
      <c r="CL27" s="75"/>
      <c r="CN27" s="161"/>
      <c r="CO27" s="163"/>
      <c r="CP27" s="315"/>
      <c r="CQ27" s="316"/>
      <c r="CR27" s="317"/>
      <c r="CS27" s="316"/>
      <c r="CT27" s="317"/>
      <c r="CU27" s="316"/>
      <c r="CZ27" s="73">
        <v>2</v>
      </c>
      <c r="DA27" s="73">
        <v>2</v>
      </c>
      <c r="DB27" s="73">
        <v>5</v>
      </c>
      <c r="DC27" s="74">
        <f t="shared" ca="1" si="16"/>
        <v>45693</v>
      </c>
      <c r="DD27" s="68" t="str">
        <f t="shared" ca="1" si="135"/>
        <v>水</v>
      </c>
      <c r="DF27" s="156"/>
      <c r="DG27" s="156"/>
    </row>
    <row r="28" spans="1:112" ht="28.5" customHeight="1">
      <c r="A28" s="491">
        <f t="shared" ca="1" si="104"/>
        <v>45694</v>
      </c>
      <c r="B28" s="524" t="str">
        <f t="shared" ca="1" si="105"/>
        <v>木</v>
      </c>
      <c r="C28" s="493" t="s">
        <v>27</v>
      </c>
      <c r="D28" s="514"/>
      <c r="E28" s="503"/>
      <c r="F28" s="496"/>
      <c r="G28" s="500"/>
      <c r="H28" s="496"/>
      <c r="I28" s="500"/>
      <c r="J28" s="496"/>
      <c r="K28" s="525"/>
      <c r="L28" s="535"/>
      <c r="M28" s="500"/>
      <c r="N28" s="496"/>
      <c r="O28" s="503"/>
      <c r="P28" s="514"/>
      <c r="Q28" s="502"/>
      <c r="R28" s="496"/>
      <c r="S28" s="503"/>
      <c r="T28" s="496"/>
      <c r="U28" s="525"/>
      <c r="V28" s="496"/>
      <c r="W28" s="500"/>
      <c r="X28" s="530"/>
      <c r="Y28" s="505"/>
      <c r="Z28" s="506">
        <f t="shared" ref="Z28" ca="1" si="157">UDayCou(1,ROW())</f>
        <v>8</v>
      </c>
      <c r="AA28" s="507">
        <f t="shared" ref="AA28" ca="1" si="158">UNightCou(1,ROW())</f>
        <v>6</v>
      </c>
      <c r="AB28" s="508">
        <f t="shared" ref="AB28" ca="1" si="159">UNewCou(1,ROW())</f>
        <v>1</v>
      </c>
      <c r="AC28" s="509">
        <f t="shared" ca="1" si="109"/>
        <v>45694</v>
      </c>
      <c r="AD28" s="531" t="str">
        <f t="shared" ca="1" si="110"/>
        <v>木</v>
      </c>
      <c r="AE28" s="496">
        <v>15</v>
      </c>
      <c r="AF28" s="525"/>
      <c r="AG28" s="496"/>
      <c r="AH28" s="539"/>
      <c r="AI28" s="496"/>
      <c r="AJ28" s="525"/>
      <c r="AK28" s="540"/>
      <c r="AL28" s="541"/>
      <c r="AM28" s="496"/>
      <c r="AN28" s="502"/>
      <c r="AO28" s="496"/>
      <c r="AP28" s="502"/>
      <c r="AQ28" s="496"/>
      <c r="AR28" s="503"/>
      <c r="AS28" s="496"/>
      <c r="AT28" s="502"/>
      <c r="AU28" s="496"/>
      <c r="AV28" s="495"/>
      <c r="AW28" s="499"/>
      <c r="AX28" s="511"/>
      <c r="AY28" s="496"/>
      <c r="AZ28" s="503"/>
      <c r="BA28" s="506">
        <f ca="1">UDayCou(2,ROW())</f>
        <v>8</v>
      </c>
      <c r="BB28" s="507">
        <f ca="1">UNightCou(2,ROW())</f>
        <v>6</v>
      </c>
      <c r="BC28" s="508">
        <f ca="1">UNewCou(2,ROW())</f>
        <v>1</v>
      </c>
      <c r="BD28" s="491">
        <f t="shared" ca="1" si="111"/>
        <v>45694</v>
      </c>
      <c r="BE28" s="531" t="str">
        <f t="shared" ca="1" si="112"/>
        <v>木</v>
      </c>
      <c r="BF28" s="514"/>
      <c r="BG28" s="515"/>
      <c r="BH28" s="494"/>
      <c r="BI28" s="515"/>
      <c r="BJ28" s="494"/>
      <c r="BK28" s="515"/>
      <c r="BL28" s="494"/>
      <c r="BM28" s="515"/>
      <c r="BN28" s="494"/>
      <c r="BO28" s="515"/>
      <c r="BP28" s="494"/>
      <c r="BQ28" s="515"/>
      <c r="BR28" s="494"/>
      <c r="BS28" s="515"/>
      <c r="BT28" s="494"/>
      <c r="BU28" s="515"/>
      <c r="BV28" s="494"/>
      <c r="BW28" s="515"/>
      <c r="BX28" s="494"/>
      <c r="BY28" s="515"/>
      <c r="BZ28" s="530"/>
      <c r="CA28" s="505"/>
      <c r="CB28" s="506">
        <f ca="1">UDayCou(3,ROW())</f>
        <v>0</v>
      </c>
      <c r="CC28" s="507">
        <f ca="1">UNightCou(3,ROW())</f>
        <v>0</v>
      </c>
      <c r="CD28" s="508">
        <f ca="1">UNewCou(3,ROW())</f>
        <v>0</v>
      </c>
      <c r="CE28" s="491">
        <f t="shared" ca="1" si="113"/>
        <v>45694</v>
      </c>
      <c r="CF28" s="531" t="str">
        <f t="shared" ca="1" si="114"/>
        <v>木</v>
      </c>
      <c r="CG28" s="516">
        <f t="shared" ref="CG28" ca="1" si="160">Z28+BA28+CB28</f>
        <v>16</v>
      </c>
      <c r="CH28" s="517">
        <f t="shared" ref="CH28" ca="1" si="161">AA28+BB28+CC28</f>
        <v>12</v>
      </c>
      <c r="CI28" s="518">
        <f t="shared" ref="CI28" ca="1" si="162">AB28+BC28+CD28</f>
        <v>2</v>
      </c>
      <c r="CJ28" s="519">
        <f ca="1">COUNTIF(INDIRECT("D76:CA77"),"*●*")</f>
        <v>4</v>
      </c>
      <c r="CK28" s="520">
        <f ca="1">COUNTIF(INDIRECT("D76:CA77"),"*㋷*")</f>
        <v>0</v>
      </c>
      <c r="CL28" s="75"/>
      <c r="CN28" s="164">
        <f t="shared" ca="1" si="118"/>
        <v>45694</v>
      </c>
      <c r="CO28" s="165" t="str">
        <f t="shared" ca="1" si="119"/>
        <v>木</v>
      </c>
      <c r="CP28" s="521"/>
      <c r="CQ28" s="522"/>
      <c r="CR28" s="523"/>
      <c r="CS28" s="522"/>
      <c r="CT28" s="523"/>
      <c r="CU28" s="522"/>
      <c r="CZ28" s="73">
        <v>2</v>
      </c>
      <c r="DA28" s="73">
        <v>2</v>
      </c>
      <c r="DB28" s="73">
        <v>6</v>
      </c>
      <c r="DC28" s="74">
        <f t="shared" ca="1" si="16"/>
        <v>45694</v>
      </c>
      <c r="DD28" s="68" t="str">
        <f t="shared" ca="1" si="135"/>
        <v>木</v>
      </c>
      <c r="DF28" s="155">
        <f t="shared" ref="DF28" ca="1" si="163">$DC28</f>
        <v>45694</v>
      </c>
      <c r="DG28" s="156" t="str">
        <f ca="1">IF($CH28&gt;=設定!$E$12,"✕",IF(SS予約表!$CG28&gt;=設定!$E$12,"△","○"))</f>
        <v>○</v>
      </c>
    </row>
    <row r="29" spans="1:112" ht="29.25" customHeight="1">
      <c r="A29" s="284"/>
      <c r="B29" s="285"/>
      <c r="C29" s="286" t="s">
        <v>28</v>
      </c>
      <c r="D29" s="305">
        <v>10</v>
      </c>
      <c r="E29" s="318"/>
      <c r="F29" s="319"/>
      <c r="G29" s="318"/>
      <c r="H29" s="319"/>
      <c r="I29" s="318"/>
      <c r="J29" s="319"/>
      <c r="K29" s="323"/>
      <c r="L29" s="376"/>
      <c r="M29" s="318"/>
      <c r="N29" s="319"/>
      <c r="O29" s="323"/>
      <c r="P29" s="305"/>
      <c r="Q29" s="318"/>
      <c r="R29" s="319"/>
      <c r="S29" s="323"/>
      <c r="T29" s="319"/>
      <c r="U29" s="323"/>
      <c r="V29" s="319"/>
      <c r="W29" s="318"/>
      <c r="X29" s="306"/>
      <c r="Y29" s="304"/>
      <c r="Z29" s="294"/>
      <c r="AA29" s="295"/>
      <c r="AB29" s="296"/>
      <c r="AC29" s="297"/>
      <c r="AD29" s="298"/>
      <c r="AE29" s="319"/>
      <c r="AF29" s="323"/>
      <c r="AG29" s="319"/>
      <c r="AH29" s="323"/>
      <c r="AI29" s="319"/>
      <c r="AJ29" s="323"/>
      <c r="AK29" s="403"/>
      <c r="AL29" s="404"/>
      <c r="AM29" s="319"/>
      <c r="AN29" s="318"/>
      <c r="AO29" s="325"/>
      <c r="AP29" s="392"/>
      <c r="AQ29" s="319"/>
      <c r="AR29" s="318"/>
      <c r="AS29" s="319"/>
      <c r="AT29" s="318"/>
      <c r="AU29" s="319"/>
      <c r="AV29" s="318"/>
      <c r="AW29" s="299"/>
      <c r="AX29" s="300"/>
      <c r="AY29" s="325"/>
      <c r="AZ29" s="326"/>
      <c r="BA29" s="294"/>
      <c r="BB29" s="295"/>
      <c r="BC29" s="296"/>
      <c r="BD29" s="284"/>
      <c r="BE29" s="298"/>
      <c r="BF29" s="305"/>
      <c r="BG29" s="302"/>
      <c r="BH29" s="301"/>
      <c r="BI29" s="302"/>
      <c r="BJ29" s="301"/>
      <c r="BK29" s="302"/>
      <c r="BL29" s="301"/>
      <c r="BM29" s="302"/>
      <c r="BN29" s="301"/>
      <c r="BO29" s="302"/>
      <c r="BP29" s="301"/>
      <c r="BQ29" s="302"/>
      <c r="BR29" s="301"/>
      <c r="BS29" s="302"/>
      <c r="BT29" s="301"/>
      <c r="BU29" s="302"/>
      <c r="BV29" s="301"/>
      <c r="BW29" s="302"/>
      <c r="BX29" s="301"/>
      <c r="BY29" s="302"/>
      <c r="BZ29" s="306"/>
      <c r="CA29" s="304"/>
      <c r="CB29" s="294"/>
      <c r="CC29" s="295"/>
      <c r="CD29" s="296"/>
      <c r="CE29" s="284"/>
      <c r="CF29" s="298"/>
      <c r="CG29" s="307"/>
      <c r="CH29" s="308"/>
      <c r="CI29" s="309"/>
      <c r="CJ29" s="310"/>
      <c r="CK29" s="311"/>
      <c r="CL29" s="75"/>
      <c r="CN29" s="161"/>
      <c r="CO29" s="163"/>
      <c r="CP29" s="315"/>
      <c r="CQ29" s="316"/>
      <c r="CR29" s="317"/>
      <c r="CS29" s="316"/>
      <c r="CT29" s="317"/>
      <c r="CU29" s="316"/>
      <c r="CZ29" s="73">
        <v>2</v>
      </c>
      <c r="DA29" s="73">
        <v>2</v>
      </c>
      <c r="DB29" s="73">
        <v>6</v>
      </c>
      <c r="DC29" s="74">
        <f t="shared" ca="1" si="16"/>
        <v>45694</v>
      </c>
      <c r="DD29" s="68" t="str">
        <f t="shared" ca="1" si="135"/>
        <v>木</v>
      </c>
      <c r="DF29" s="156"/>
      <c r="DG29" s="156"/>
    </row>
    <row r="30" spans="1:112" ht="28.5" customHeight="1">
      <c r="A30" s="327">
        <f t="shared" ca="1" si="104"/>
        <v>45695</v>
      </c>
      <c r="B30" s="365" t="str">
        <f t="shared" ca="1" si="105"/>
        <v>金</v>
      </c>
      <c r="C30" s="329" t="s">
        <v>27</v>
      </c>
      <c r="D30" s="350"/>
      <c r="E30" s="336"/>
      <c r="F30" s="332"/>
      <c r="G30" s="366"/>
      <c r="H30" s="332"/>
      <c r="I30" s="375"/>
      <c r="J30" s="335"/>
      <c r="K30" s="347"/>
      <c r="L30" s="402"/>
      <c r="M30" s="366"/>
      <c r="N30" s="332"/>
      <c r="O30" s="339"/>
      <c r="P30" s="350"/>
      <c r="Q30" s="338"/>
      <c r="R30" s="332"/>
      <c r="S30" s="378"/>
      <c r="T30" s="332"/>
      <c r="U30" s="378"/>
      <c r="V30" s="332"/>
      <c r="W30" s="338"/>
      <c r="X30" s="389"/>
      <c r="Y30" s="341"/>
      <c r="Z30" s="342">
        <f t="shared" ref="Z30" ca="1" si="164">UDayCou(1,ROW())</f>
        <v>9</v>
      </c>
      <c r="AA30" s="343">
        <f t="shared" ref="AA30" ca="1" si="165">UNightCou(1,ROW())</f>
        <v>6</v>
      </c>
      <c r="AB30" s="344">
        <f t="shared" ref="AB30" ca="1" si="166">UNewCou(1,ROW())</f>
        <v>1</v>
      </c>
      <c r="AC30" s="345">
        <f t="shared" ca="1" si="109"/>
        <v>45695</v>
      </c>
      <c r="AD30" s="371" t="str">
        <f t="shared" ca="1" si="110"/>
        <v>金</v>
      </c>
      <c r="AE30" s="335"/>
      <c r="AF30" s="347"/>
      <c r="AG30" s="332"/>
      <c r="AH30" s="339"/>
      <c r="AI30" s="332"/>
      <c r="AJ30" s="339"/>
      <c r="AK30" s="406"/>
      <c r="AL30" s="387"/>
      <c r="AM30" s="332"/>
      <c r="AN30" s="336"/>
      <c r="AO30" s="348"/>
      <c r="AP30" s="408"/>
      <c r="AQ30" s="332"/>
      <c r="AR30" s="338"/>
      <c r="AS30" s="332"/>
      <c r="AT30" s="336"/>
      <c r="AU30" s="332"/>
      <c r="AV30" s="366"/>
      <c r="AW30" s="335"/>
      <c r="AX30" s="347"/>
      <c r="AY30" s="348"/>
      <c r="AZ30" s="349"/>
      <c r="BA30" s="342">
        <f ca="1">UDayCou(2,ROW())</f>
        <v>7</v>
      </c>
      <c r="BB30" s="343">
        <f ca="1">UNightCou(2,ROW())</f>
        <v>5</v>
      </c>
      <c r="BC30" s="344">
        <f ca="1">UNewCou(2,ROW())</f>
        <v>2</v>
      </c>
      <c r="BD30" s="327">
        <f t="shared" ca="1" si="111"/>
        <v>45695</v>
      </c>
      <c r="BE30" s="371" t="str">
        <f t="shared" ca="1" si="112"/>
        <v>金</v>
      </c>
      <c r="BF30" s="350"/>
      <c r="BG30" s="351"/>
      <c r="BH30" s="330"/>
      <c r="BI30" s="351"/>
      <c r="BJ30" s="330"/>
      <c r="BK30" s="351"/>
      <c r="BL30" s="330"/>
      <c r="BM30" s="351"/>
      <c r="BN30" s="330"/>
      <c r="BO30" s="351"/>
      <c r="BP30" s="330"/>
      <c r="BQ30" s="351"/>
      <c r="BR30" s="330"/>
      <c r="BS30" s="351"/>
      <c r="BT30" s="330"/>
      <c r="BU30" s="351"/>
      <c r="BV30" s="330"/>
      <c r="BW30" s="351"/>
      <c r="BX30" s="330"/>
      <c r="BY30" s="351"/>
      <c r="BZ30" s="389"/>
      <c r="CA30" s="341"/>
      <c r="CB30" s="342">
        <f ca="1">UDayCou(3,ROW())</f>
        <v>0</v>
      </c>
      <c r="CC30" s="343">
        <f ca="1">UNightCou(3,ROW())</f>
        <v>0</v>
      </c>
      <c r="CD30" s="344">
        <f ca="1">UNewCou(3,ROW())</f>
        <v>0</v>
      </c>
      <c r="CE30" s="327">
        <f t="shared" ca="1" si="113"/>
        <v>45695</v>
      </c>
      <c r="CF30" s="371" t="str">
        <f t="shared" ca="1" si="114"/>
        <v>金</v>
      </c>
      <c r="CG30" s="352">
        <f t="shared" ref="CG30" ca="1" si="167">Z30+BA30+CB30</f>
        <v>16</v>
      </c>
      <c r="CH30" s="353">
        <f t="shared" ref="CH30" ca="1" si="168">AA30+BB30+CC30</f>
        <v>11</v>
      </c>
      <c r="CI30" s="354">
        <f t="shared" ref="CI30" ca="1" si="169">AB30+BC30+CD30</f>
        <v>3</v>
      </c>
      <c r="CJ30" s="355">
        <f ca="1">COUNTIF(INDIRECT("D78:CA79"),"*●*")</f>
        <v>6</v>
      </c>
      <c r="CK30" s="356">
        <f ca="1">COUNTIF(INDIRECT("D78:CA79"),"*㋷*")</f>
        <v>0</v>
      </c>
      <c r="CL30" s="75"/>
      <c r="CN30" s="160">
        <f t="shared" ca="1" si="118"/>
        <v>45695</v>
      </c>
      <c r="CO30" s="162" t="str">
        <f t="shared" ca="1" si="119"/>
        <v>金</v>
      </c>
      <c r="CP30" s="357"/>
      <c r="CQ30" s="358"/>
      <c r="CR30" s="359"/>
      <c r="CS30" s="358"/>
      <c r="CT30" s="359"/>
      <c r="CU30" s="358"/>
      <c r="CZ30" s="73">
        <v>2</v>
      </c>
      <c r="DA30" s="73">
        <v>2</v>
      </c>
      <c r="DB30" s="73">
        <v>7</v>
      </c>
      <c r="DC30" s="74">
        <f t="shared" ca="1" si="16"/>
        <v>45695</v>
      </c>
      <c r="DD30" s="68" t="str">
        <f t="shared" ca="1" si="135"/>
        <v>金</v>
      </c>
      <c r="DF30" s="155">
        <f t="shared" ref="DF30" ca="1" si="170">$DC30</f>
        <v>45695</v>
      </c>
      <c r="DG30" s="156" t="str">
        <f ca="1">IF($CH30&gt;=設定!$E$12,"✕",IF(SS予約表!$CG30&gt;=設定!$E$12,"△","○"))</f>
        <v>○</v>
      </c>
    </row>
    <row r="31" spans="1:112" ht="29.25" customHeight="1">
      <c r="A31" s="284"/>
      <c r="B31" s="285"/>
      <c r="C31" s="286" t="s">
        <v>28</v>
      </c>
      <c r="D31" s="305"/>
      <c r="E31" s="318"/>
      <c r="F31" s="287"/>
      <c r="G31" s="321"/>
      <c r="H31" s="299"/>
      <c r="I31" s="300"/>
      <c r="J31" s="299"/>
      <c r="K31" s="300"/>
      <c r="L31" s="319"/>
      <c r="M31" s="323"/>
      <c r="N31" s="319"/>
      <c r="O31" s="318"/>
      <c r="P31" s="305"/>
      <c r="Q31" s="318"/>
      <c r="R31" s="319"/>
      <c r="S31" s="318"/>
      <c r="T31" s="299"/>
      <c r="U31" s="324"/>
      <c r="V31" s="319"/>
      <c r="W31" s="318"/>
      <c r="X31" s="319"/>
      <c r="Y31" s="323"/>
      <c r="Z31" s="294"/>
      <c r="AA31" s="295"/>
      <c r="AB31" s="296"/>
      <c r="AC31" s="297"/>
      <c r="AD31" s="298"/>
      <c r="AE31" s="299"/>
      <c r="AF31" s="300"/>
      <c r="AG31" s="299"/>
      <c r="AH31" s="321"/>
      <c r="AI31" s="376"/>
      <c r="AJ31" s="318"/>
      <c r="AK31" s="376"/>
      <c r="AL31" s="318"/>
      <c r="AM31" s="319"/>
      <c r="AN31" s="318"/>
      <c r="AO31" s="319"/>
      <c r="AP31" s="323"/>
      <c r="AQ31" s="319"/>
      <c r="AR31" s="318"/>
      <c r="AS31" s="319"/>
      <c r="AT31" s="318"/>
      <c r="AU31" s="319"/>
      <c r="AV31" s="323"/>
      <c r="AW31" s="299"/>
      <c r="AX31" s="300"/>
      <c r="AY31" s="299"/>
      <c r="AZ31" s="300"/>
      <c r="BA31" s="294"/>
      <c r="BB31" s="295"/>
      <c r="BC31" s="296"/>
      <c r="BD31" s="284"/>
      <c r="BE31" s="298"/>
      <c r="BF31" s="305"/>
      <c r="BG31" s="302"/>
      <c r="BH31" s="301"/>
      <c r="BI31" s="302"/>
      <c r="BJ31" s="301"/>
      <c r="BK31" s="302"/>
      <c r="BL31" s="301"/>
      <c r="BM31" s="302"/>
      <c r="BN31" s="301"/>
      <c r="BO31" s="302"/>
      <c r="BP31" s="301"/>
      <c r="BQ31" s="302"/>
      <c r="BR31" s="301"/>
      <c r="BS31" s="302"/>
      <c r="BT31" s="301"/>
      <c r="BU31" s="302"/>
      <c r="BV31" s="301"/>
      <c r="BW31" s="302"/>
      <c r="BX31" s="301"/>
      <c r="BY31" s="302"/>
      <c r="BZ31" s="306"/>
      <c r="CA31" s="304"/>
      <c r="CB31" s="294"/>
      <c r="CC31" s="295"/>
      <c r="CD31" s="296"/>
      <c r="CE31" s="284"/>
      <c r="CF31" s="298"/>
      <c r="CG31" s="307"/>
      <c r="CH31" s="308"/>
      <c r="CI31" s="309"/>
      <c r="CJ31" s="310"/>
      <c r="CK31" s="311"/>
      <c r="CL31" s="75"/>
      <c r="CN31" s="161"/>
      <c r="CO31" s="163"/>
      <c r="CP31" s="315"/>
      <c r="CQ31" s="316"/>
      <c r="CR31" s="317"/>
      <c r="CS31" s="316"/>
      <c r="CT31" s="317"/>
      <c r="CU31" s="316"/>
      <c r="CZ31" s="73">
        <v>2</v>
      </c>
      <c r="DA31" s="73">
        <v>2</v>
      </c>
      <c r="DB31" s="73">
        <v>7</v>
      </c>
      <c r="DC31" s="74">
        <f t="shared" ca="1" si="16"/>
        <v>45695</v>
      </c>
      <c r="DD31" s="68" t="str">
        <f t="shared" ca="1" si="135"/>
        <v>金</v>
      </c>
      <c r="DF31" s="156"/>
      <c r="DG31" s="156"/>
    </row>
    <row r="32" spans="1:112" ht="28.5" customHeight="1">
      <c r="A32" s="327">
        <f t="shared" si="104"/>
        <v>45696</v>
      </c>
      <c r="B32" s="393" t="str">
        <f t="shared" si="105"/>
        <v>土</v>
      </c>
      <c r="C32" s="329" t="s">
        <v>27</v>
      </c>
      <c r="D32" s="350">
        <v>15</v>
      </c>
      <c r="E32" s="375"/>
      <c r="F32" s="405"/>
      <c r="G32" s="381"/>
      <c r="H32" s="335"/>
      <c r="I32" s="347"/>
      <c r="J32" s="335"/>
      <c r="K32" s="347"/>
      <c r="L32" s="332"/>
      <c r="M32" s="339"/>
      <c r="N32" s="332"/>
      <c r="O32" s="338"/>
      <c r="P32" s="350"/>
      <c r="Q32" s="336"/>
      <c r="R32" s="332"/>
      <c r="S32" s="338"/>
      <c r="T32" s="335"/>
      <c r="U32" s="409"/>
      <c r="V32" s="332"/>
      <c r="W32" s="336"/>
      <c r="X32" s="332"/>
      <c r="Y32" s="339"/>
      <c r="Z32" s="342">
        <f t="shared" ref="Z32" ca="1" si="171">UDayCou(1,ROW())</f>
        <v>9</v>
      </c>
      <c r="AA32" s="343">
        <f t="shared" ref="AA32" ca="1" si="172">UNightCou(1,ROW())</f>
        <v>8</v>
      </c>
      <c r="AB32" s="344">
        <f t="shared" ref="AB32" ca="1" si="173">UNewCou(1,ROW())</f>
        <v>0</v>
      </c>
      <c r="AC32" s="345">
        <f t="shared" si="109"/>
        <v>45696</v>
      </c>
      <c r="AD32" s="394" t="str">
        <f t="shared" si="110"/>
        <v>土</v>
      </c>
      <c r="AE32" s="335"/>
      <c r="AF32" s="347"/>
      <c r="AG32" s="335"/>
      <c r="AH32" s="347"/>
      <c r="AI32" s="380"/>
      <c r="AJ32" s="336"/>
      <c r="AK32" s="380"/>
      <c r="AL32" s="338"/>
      <c r="AM32" s="332"/>
      <c r="AN32" s="366"/>
      <c r="AO32" s="332"/>
      <c r="AP32" s="339"/>
      <c r="AQ32" s="332"/>
      <c r="AR32" s="336"/>
      <c r="AS32" s="332"/>
      <c r="AT32" s="366"/>
      <c r="AU32" s="332"/>
      <c r="AV32" s="339"/>
      <c r="AW32" s="335"/>
      <c r="AX32" s="347"/>
      <c r="AY32" s="335"/>
      <c r="AZ32" s="347"/>
      <c r="BA32" s="342">
        <f ca="1">UDayCou(2,ROW())</f>
        <v>11</v>
      </c>
      <c r="BB32" s="343">
        <f ca="1">UNightCou(2,ROW())</f>
        <v>9</v>
      </c>
      <c r="BC32" s="344">
        <f ca="1">UNewCou(2,ROW())</f>
        <v>2</v>
      </c>
      <c r="BD32" s="327">
        <f t="shared" si="111"/>
        <v>45696</v>
      </c>
      <c r="BE32" s="394" t="str">
        <f t="shared" si="112"/>
        <v>土</v>
      </c>
      <c r="BF32" s="350"/>
      <c r="BG32" s="351"/>
      <c r="BH32" s="330"/>
      <c r="BI32" s="351"/>
      <c r="BJ32" s="330"/>
      <c r="BK32" s="351"/>
      <c r="BL32" s="330"/>
      <c r="BM32" s="351"/>
      <c r="BN32" s="330"/>
      <c r="BO32" s="351"/>
      <c r="BP32" s="330"/>
      <c r="BQ32" s="351"/>
      <c r="BR32" s="330"/>
      <c r="BS32" s="351"/>
      <c r="BT32" s="330"/>
      <c r="BU32" s="351"/>
      <c r="BV32" s="330"/>
      <c r="BW32" s="351"/>
      <c r="BX32" s="330"/>
      <c r="BY32" s="351"/>
      <c r="BZ32" s="389"/>
      <c r="CA32" s="341"/>
      <c r="CB32" s="342">
        <f ca="1">UDayCou(3,ROW())</f>
        <v>0</v>
      </c>
      <c r="CC32" s="343">
        <f ca="1">UNightCou(3,ROW())</f>
        <v>0</v>
      </c>
      <c r="CD32" s="344">
        <f ca="1">UNewCou(3,ROW())</f>
        <v>0</v>
      </c>
      <c r="CE32" s="327">
        <f t="shared" si="113"/>
        <v>45696</v>
      </c>
      <c r="CF32" s="394" t="str">
        <f t="shared" si="114"/>
        <v>土</v>
      </c>
      <c r="CG32" s="352">
        <f t="shared" ref="CG32" ca="1" si="174">Z32+BA32+CB32</f>
        <v>20</v>
      </c>
      <c r="CH32" s="353">
        <f t="shared" ref="CH32" ca="1" si="175">AA32+BB32+CC32</f>
        <v>17</v>
      </c>
      <c r="CI32" s="354">
        <f t="shared" ref="CI32" ca="1" si="176">AB32+BC32+CD32</f>
        <v>2</v>
      </c>
      <c r="CJ32" s="355">
        <f ca="1">COUNTIF(INDIRECT("D80:CA81"),"*●*")</f>
        <v>5</v>
      </c>
      <c r="CK32" s="356">
        <f ca="1">COUNTIF(INDIRECT("D80:CA81"),"*㋷*")</f>
        <v>0</v>
      </c>
      <c r="CL32" s="75"/>
      <c r="CN32" s="160">
        <f t="shared" si="118"/>
        <v>45696</v>
      </c>
      <c r="CO32" s="167" t="str">
        <f t="shared" si="119"/>
        <v>土</v>
      </c>
      <c r="CP32" s="357"/>
      <c r="CQ32" s="358"/>
      <c r="CR32" s="359"/>
      <c r="CS32" s="358"/>
      <c r="CT32" s="359"/>
      <c r="CU32" s="358"/>
      <c r="CZ32" s="73">
        <v>2</v>
      </c>
      <c r="DA32" s="73">
        <v>2</v>
      </c>
      <c r="DB32" s="73">
        <v>8</v>
      </c>
      <c r="DC32" s="74">
        <f t="shared" si="16"/>
        <v>45696</v>
      </c>
      <c r="DD32" s="68" t="str">
        <f t="shared" si="135"/>
        <v>土</v>
      </c>
      <c r="DF32" s="155">
        <f t="shared" ref="DF32" si="177">$DC32</f>
        <v>45696</v>
      </c>
      <c r="DG32" s="156" t="e">
        <f ca="1">IF($CH32&gt;=設定!$E$12,"✕",IF(SS予約表!$CG32&gt;=設定!$E$12,"△","○"))</f>
        <v>#NAME?</v>
      </c>
    </row>
    <row r="33" spans="1:111" ht="29.25" customHeight="1">
      <c r="A33" s="284"/>
      <c r="B33" s="285"/>
      <c r="C33" s="286" t="s">
        <v>28</v>
      </c>
      <c r="D33" s="319"/>
      <c r="E33" s="323"/>
      <c r="F33" s="319"/>
      <c r="G33" s="318"/>
      <c r="H33" s="287"/>
      <c r="I33" s="324"/>
      <c r="J33" s="319"/>
      <c r="K33" s="318"/>
      <c r="L33" s="299"/>
      <c r="M33" s="300"/>
      <c r="N33" s="319"/>
      <c r="O33" s="318"/>
      <c r="P33" s="305"/>
      <c r="Q33" s="318"/>
      <c r="R33" s="319"/>
      <c r="S33" s="401"/>
      <c r="T33" s="299"/>
      <c r="U33" s="322"/>
      <c r="V33" s="319"/>
      <c r="W33" s="318"/>
      <c r="X33" s="319"/>
      <c r="Y33" s="323"/>
      <c r="Z33" s="294"/>
      <c r="AA33" s="295"/>
      <c r="AB33" s="296"/>
      <c r="AC33" s="297"/>
      <c r="AD33" s="298"/>
      <c r="AE33" s="319">
        <v>10</v>
      </c>
      <c r="AF33" s="318"/>
      <c r="AG33" s="320"/>
      <c r="AH33" s="401"/>
      <c r="AI33" s="376"/>
      <c r="AJ33" s="318"/>
      <c r="AK33" s="376"/>
      <c r="AL33" s="318"/>
      <c r="AM33" s="319"/>
      <c r="AN33" s="318"/>
      <c r="AO33" s="319"/>
      <c r="AP33" s="318"/>
      <c r="AQ33" s="319"/>
      <c r="AR33" s="318"/>
      <c r="AS33" s="319"/>
      <c r="AT33" s="323"/>
      <c r="AU33" s="319"/>
      <c r="AV33" s="318"/>
      <c r="AW33" s="319"/>
      <c r="AX33" s="318"/>
      <c r="AY33" s="299"/>
      <c r="AZ33" s="300"/>
      <c r="BA33" s="294"/>
      <c r="BB33" s="295"/>
      <c r="BC33" s="296"/>
      <c r="BD33" s="284"/>
      <c r="BE33" s="298"/>
      <c r="BF33" s="305"/>
      <c r="BG33" s="302"/>
      <c r="BH33" s="301"/>
      <c r="BI33" s="302"/>
      <c r="BJ33" s="301"/>
      <c r="BK33" s="302"/>
      <c r="BL33" s="301"/>
      <c r="BM33" s="302"/>
      <c r="BN33" s="301"/>
      <c r="BO33" s="302"/>
      <c r="BP33" s="301"/>
      <c r="BQ33" s="302"/>
      <c r="BR33" s="301"/>
      <c r="BS33" s="302"/>
      <c r="BT33" s="301"/>
      <c r="BU33" s="302"/>
      <c r="BV33" s="301"/>
      <c r="BW33" s="302"/>
      <c r="BX33" s="301"/>
      <c r="BY33" s="302"/>
      <c r="BZ33" s="306"/>
      <c r="CA33" s="304"/>
      <c r="CB33" s="294"/>
      <c r="CC33" s="295"/>
      <c r="CD33" s="296"/>
      <c r="CE33" s="284"/>
      <c r="CF33" s="298"/>
      <c r="CG33" s="307"/>
      <c r="CH33" s="308"/>
      <c r="CI33" s="309"/>
      <c r="CJ33" s="310"/>
      <c r="CK33" s="311"/>
      <c r="CL33" s="75"/>
      <c r="CN33" s="161"/>
      <c r="CO33" s="163"/>
      <c r="CP33" s="315"/>
      <c r="CQ33" s="316"/>
      <c r="CR33" s="317"/>
      <c r="CS33" s="316"/>
      <c r="CT33" s="317"/>
      <c r="CU33" s="316"/>
      <c r="CZ33" s="73">
        <v>2</v>
      </c>
      <c r="DA33" s="73">
        <v>2</v>
      </c>
      <c r="DB33" s="73">
        <v>8</v>
      </c>
      <c r="DC33" s="74">
        <f t="shared" si="16"/>
        <v>45696</v>
      </c>
      <c r="DD33" s="68" t="str">
        <f t="shared" si="135"/>
        <v>土</v>
      </c>
      <c r="DF33" s="156"/>
      <c r="DG33" s="156"/>
    </row>
    <row r="34" spans="1:111" ht="28.5" customHeight="1">
      <c r="A34" s="327">
        <f t="shared" si="104"/>
        <v>45697</v>
      </c>
      <c r="B34" s="328" t="str">
        <f t="shared" si="105"/>
        <v>日</v>
      </c>
      <c r="C34" s="329" t="s">
        <v>27</v>
      </c>
      <c r="D34" s="332"/>
      <c r="E34" s="334"/>
      <c r="F34" s="332"/>
      <c r="G34" s="336"/>
      <c r="H34" s="405"/>
      <c r="I34" s="377"/>
      <c r="J34" s="332"/>
      <c r="K34" s="331"/>
      <c r="L34" s="335"/>
      <c r="M34" s="347"/>
      <c r="N34" s="332"/>
      <c r="O34" s="338"/>
      <c r="P34" s="350"/>
      <c r="Q34" s="338"/>
      <c r="R34" s="332"/>
      <c r="S34" s="338"/>
      <c r="T34" s="335"/>
      <c r="U34" s="409"/>
      <c r="V34" s="332"/>
      <c r="W34" s="336"/>
      <c r="X34" s="332"/>
      <c r="Y34" s="334"/>
      <c r="Z34" s="342">
        <f t="shared" ref="Z34" ca="1" si="178">UDayCou(1,ROW())</f>
        <v>9</v>
      </c>
      <c r="AA34" s="343">
        <f t="shared" ref="AA34" ca="1" si="179">UNightCou(1,ROW())</f>
        <v>9</v>
      </c>
      <c r="AB34" s="344">
        <f t="shared" ref="AB34" ca="1" si="180">UNewCou(1,ROW())</f>
        <v>0</v>
      </c>
      <c r="AC34" s="345">
        <f t="shared" si="109"/>
        <v>45697</v>
      </c>
      <c r="AD34" s="346" t="str">
        <f t="shared" si="110"/>
        <v>日</v>
      </c>
      <c r="AE34" s="332"/>
      <c r="AF34" s="338"/>
      <c r="AG34" s="333"/>
      <c r="AH34" s="336"/>
      <c r="AI34" s="380"/>
      <c r="AJ34" s="338"/>
      <c r="AK34" s="380"/>
      <c r="AL34" s="336"/>
      <c r="AM34" s="332"/>
      <c r="AN34" s="331"/>
      <c r="AO34" s="332"/>
      <c r="AP34" s="336"/>
      <c r="AQ34" s="332"/>
      <c r="AR34" s="336"/>
      <c r="AS34" s="332"/>
      <c r="AT34" s="339"/>
      <c r="AU34" s="332"/>
      <c r="AV34" s="336"/>
      <c r="AW34" s="332"/>
      <c r="AX34" s="336"/>
      <c r="AY34" s="335"/>
      <c r="AZ34" s="347"/>
      <c r="BA34" s="342">
        <f ca="1">UDayCou(2,ROW())</f>
        <v>9</v>
      </c>
      <c r="BB34" s="343">
        <f ca="1">UNightCou(2,ROW())</f>
        <v>9</v>
      </c>
      <c r="BC34" s="344">
        <f ca="1">UNewCou(2,ROW())</f>
        <v>2</v>
      </c>
      <c r="BD34" s="327">
        <f t="shared" si="111"/>
        <v>45697</v>
      </c>
      <c r="BE34" s="346" t="str">
        <f t="shared" si="112"/>
        <v>日</v>
      </c>
      <c r="BF34" s="350"/>
      <c r="BG34" s="351"/>
      <c r="BH34" s="330"/>
      <c r="BI34" s="351"/>
      <c r="BJ34" s="330"/>
      <c r="BK34" s="351"/>
      <c r="BL34" s="330"/>
      <c r="BM34" s="351"/>
      <c r="BN34" s="330"/>
      <c r="BO34" s="351"/>
      <c r="BP34" s="330"/>
      <c r="BQ34" s="351"/>
      <c r="BR34" s="330"/>
      <c r="BS34" s="351"/>
      <c r="BT34" s="330"/>
      <c r="BU34" s="351"/>
      <c r="BV34" s="330"/>
      <c r="BW34" s="351"/>
      <c r="BX34" s="330"/>
      <c r="BY34" s="351"/>
      <c r="BZ34" s="389"/>
      <c r="CA34" s="341"/>
      <c r="CB34" s="342">
        <f ca="1">UDayCou(3,ROW())</f>
        <v>0</v>
      </c>
      <c r="CC34" s="343">
        <f ca="1">UNightCou(3,ROW())</f>
        <v>0</v>
      </c>
      <c r="CD34" s="344">
        <f ca="1">UNewCou(3,ROW())</f>
        <v>0</v>
      </c>
      <c r="CE34" s="327">
        <f t="shared" si="113"/>
        <v>45697</v>
      </c>
      <c r="CF34" s="346" t="str">
        <f t="shared" si="114"/>
        <v>日</v>
      </c>
      <c r="CG34" s="352">
        <f t="shared" ref="CG34" ca="1" si="181">Z34+BA34+CB34</f>
        <v>18</v>
      </c>
      <c r="CH34" s="353">
        <f t="shared" ref="CH34" ca="1" si="182">AA34+BB34+CC34</f>
        <v>18</v>
      </c>
      <c r="CI34" s="354">
        <f t="shared" ref="CI34" ca="1" si="183">AB34+BC34+CD34</f>
        <v>2</v>
      </c>
      <c r="CJ34" s="355">
        <f ca="1">COUNTIF(INDIRECT("D82:CA83"),"*●*")</f>
        <v>2</v>
      </c>
      <c r="CK34" s="356">
        <f ca="1">COUNTIF(INDIRECT("D82:CA83"),"*㋷*")</f>
        <v>0</v>
      </c>
      <c r="CL34" s="75"/>
      <c r="CN34" s="160">
        <f t="shared" si="118"/>
        <v>45697</v>
      </c>
      <c r="CO34" s="168" t="str">
        <f t="shared" si="119"/>
        <v>日</v>
      </c>
      <c r="CP34" s="357"/>
      <c r="CQ34" s="358"/>
      <c r="CR34" s="359"/>
      <c r="CS34" s="358"/>
      <c r="CT34" s="359"/>
      <c r="CU34" s="358"/>
      <c r="CZ34" s="73">
        <v>2</v>
      </c>
      <c r="DA34" s="73">
        <v>2</v>
      </c>
      <c r="DB34" s="73">
        <v>9</v>
      </c>
      <c r="DC34" s="74">
        <f t="shared" si="16"/>
        <v>45697</v>
      </c>
      <c r="DD34" s="68" t="str">
        <f t="shared" si="135"/>
        <v>日</v>
      </c>
      <c r="DF34" s="155">
        <f t="shared" ref="DF34" si="184">$DC34</f>
        <v>45697</v>
      </c>
      <c r="DG34" s="156" t="e">
        <f ca="1">IF($CH34&gt;=設定!$E$12,"✕",IF(SS予約表!$CG34&gt;=設定!$E$12,"△","○"))</f>
        <v>#NAME?</v>
      </c>
    </row>
    <row r="35" spans="1:111" ht="29.25" customHeight="1">
      <c r="A35" s="284"/>
      <c r="B35" s="285"/>
      <c r="C35" s="286" t="s">
        <v>28</v>
      </c>
      <c r="D35" s="319">
        <v>10</v>
      </c>
      <c r="E35" s="318"/>
      <c r="F35" s="319"/>
      <c r="G35" s="318"/>
      <c r="H35" s="287"/>
      <c r="I35" s="324"/>
      <c r="J35" s="319"/>
      <c r="K35" s="318"/>
      <c r="L35" s="319"/>
      <c r="M35" s="323"/>
      <c r="N35" s="319"/>
      <c r="O35" s="318"/>
      <c r="P35" s="305"/>
      <c r="Q35" s="318"/>
      <c r="R35" s="319"/>
      <c r="S35" s="318"/>
      <c r="T35" s="299"/>
      <c r="U35" s="322"/>
      <c r="V35" s="319"/>
      <c r="W35" s="318"/>
      <c r="X35" s="319"/>
      <c r="Y35" s="323"/>
      <c r="Z35" s="294"/>
      <c r="AA35" s="295"/>
      <c r="AB35" s="296"/>
      <c r="AC35" s="297"/>
      <c r="AD35" s="298"/>
      <c r="AE35" s="319"/>
      <c r="AF35" s="318"/>
      <c r="AG35" s="319"/>
      <c r="AH35" s="318"/>
      <c r="AI35" s="376"/>
      <c r="AJ35" s="318"/>
      <c r="AK35" s="376"/>
      <c r="AL35" s="318"/>
      <c r="AM35" s="319"/>
      <c r="AN35" s="318"/>
      <c r="AO35" s="319"/>
      <c r="AP35" s="318"/>
      <c r="AQ35" s="319"/>
      <c r="AR35" s="318"/>
      <c r="AS35" s="319"/>
      <c r="AT35" s="323"/>
      <c r="AU35" s="319"/>
      <c r="AV35" s="318"/>
      <c r="AW35" s="319"/>
      <c r="AX35" s="318"/>
      <c r="AY35" s="299"/>
      <c r="AZ35" s="300"/>
      <c r="BA35" s="294"/>
      <c r="BB35" s="295"/>
      <c r="BC35" s="296"/>
      <c r="BD35" s="284"/>
      <c r="BE35" s="298"/>
      <c r="BF35" s="305"/>
      <c r="BG35" s="302"/>
      <c r="BH35" s="301"/>
      <c r="BI35" s="302"/>
      <c r="BJ35" s="301"/>
      <c r="BK35" s="302"/>
      <c r="BL35" s="301"/>
      <c r="BM35" s="302"/>
      <c r="BN35" s="301"/>
      <c r="BO35" s="302"/>
      <c r="BP35" s="301"/>
      <c r="BQ35" s="302"/>
      <c r="BR35" s="301"/>
      <c r="BS35" s="302"/>
      <c r="BT35" s="301"/>
      <c r="BU35" s="302"/>
      <c r="BV35" s="301"/>
      <c r="BW35" s="302"/>
      <c r="BX35" s="301"/>
      <c r="BY35" s="302"/>
      <c r="BZ35" s="306"/>
      <c r="CA35" s="304"/>
      <c r="CB35" s="294"/>
      <c r="CC35" s="295"/>
      <c r="CD35" s="296"/>
      <c r="CE35" s="284"/>
      <c r="CF35" s="298"/>
      <c r="CG35" s="307"/>
      <c r="CH35" s="308"/>
      <c r="CI35" s="309"/>
      <c r="CJ35" s="310"/>
      <c r="CK35" s="311"/>
      <c r="CL35" s="75"/>
      <c r="CN35" s="161"/>
      <c r="CO35" s="163"/>
      <c r="CP35" s="299"/>
      <c r="CQ35" s="300"/>
      <c r="CR35" s="317"/>
      <c r="CS35" s="316"/>
      <c r="CT35" s="317"/>
      <c r="CU35" s="316"/>
      <c r="CZ35" s="73">
        <v>2</v>
      </c>
      <c r="DA35" s="73">
        <v>2</v>
      </c>
      <c r="DB35" s="73">
        <v>9</v>
      </c>
      <c r="DC35" s="74">
        <f t="shared" si="16"/>
        <v>45697</v>
      </c>
      <c r="DD35" s="68" t="str">
        <f t="shared" si="135"/>
        <v>日</v>
      </c>
      <c r="DF35" s="156"/>
      <c r="DG35" s="156"/>
    </row>
    <row r="36" spans="1:111" ht="28.5" customHeight="1">
      <c r="A36" s="327">
        <f t="shared" si="104"/>
        <v>45698</v>
      </c>
      <c r="B36" s="365" t="str">
        <f t="shared" si="105"/>
        <v>月</v>
      </c>
      <c r="C36" s="329" t="s">
        <v>27</v>
      </c>
      <c r="D36" s="332"/>
      <c r="E36" s="338"/>
      <c r="F36" s="332"/>
      <c r="G36" s="366"/>
      <c r="H36" s="405"/>
      <c r="I36" s="336"/>
      <c r="J36" s="332"/>
      <c r="K36" s="338"/>
      <c r="L36" s="332"/>
      <c r="M36" s="339"/>
      <c r="N36" s="332"/>
      <c r="O36" s="336"/>
      <c r="P36" s="350"/>
      <c r="Q36" s="338"/>
      <c r="R36" s="332"/>
      <c r="S36" s="338"/>
      <c r="T36" s="335"/>
      <c r="U36" s="336"/>
      <c r="V36" s="332"/>
      <c r="W36" s="338"/>
      <c r="X36" s="332"/>
      <c r="Y36" s="339"/>
      <c r="Z36" s="342">
        <f t="shared" ref="Z36" ca="1" si="185">UDayCou(1,ROW())</f>
        <v>9</v>
      </c>
      <c r="AA36" s="343">
        <f t="shared" ref="AA36" ca="1" si="186">UNightCou(1,ROW())</f>
        <v>8</v>
      </c>
      <c r="AB36" s="344">
        <f t="shared" ref="AB36" ca="1" si="187">UNewCou(1,ROW())</f>
        <v>0</v>
      </c>
      <c r="AC36" s="345">
        <f t="shared" si="109"/>
        <v>45698</v>
      </c>
      <c r="AD36" s="371" t="str">
        <f t="shared" si="110"/>
        <v>月</v>
      </c>
      <c r="AE36" s="332">
        <v>15</v>
      </c>
      <c r="AF36" s="366"/>
      <c r="AG36" s="332"/>
      <c r="AH36" s="338"/>
      <c r="AI36" s="380"/>
      <c r="AJ36" s="338"/>
      <c r="AK36" s="402"/>
      <c r="AL36" s="366"/>
      <c r="AM36" s="332"/>
      <c r="AN36" s="336"/>
      <c r="AO36" s="332"/>
      <c r="AP36" s="366"/>
      <c r="AQ36" s="332"/>
      <c r="AR36" s="336"/>
      <c r="AS36" s="335"/>
      <c r="AT36" s="347"/>
      <c r="AU36" s="332"/>
      <c r="AV36" s="366"/>
      <c r="AW36" s="332"/>
      <c r="AX36" s="338"/>
      <c r="AY36" s="335"/>
      <c r="AZ36" s="347"/>
      <c r="BA36" s="342">
        <f ca="1">UDayCou(2,ROW())</f>
        <v>10</v>
      </c>
      <c r="BB36" s="343">
        <f ca="1">UNightCou(2,ROW())</f>
        <v>6</v>
      </c>
      <c r="BC36" s="344">
        <f ca="1">UNewCou(2,ROW())</f>
        <v>3</v>
      </c>
      <c r="BD36" s="327">
        <f t="shared" si="111"/>
        <v>45698</v>
      </c>
      <c r="BE36" s="371" t="str">
        <f t="shared" si="112"/>
        <v>月</v>
      </c>
      <c r="BF36" s="350"/>
      <c r="BG36" s="351"/>
      <c r="BH36" s="330"/>
      <c r="BI36" s="351"/>
      <c r="BJ36" s="330"/>
      <c r="BK36" s="351"/>
      <c r="BL36" s="330"/>
      <c r="BM36" s="351"/>
      <c r="BN36" s="330"/>
      <c r="BO36" s="351"/>
      <c r="BP36" s="330"/>
      <c r="BQ36" s="351"/>
      <c r="BR36" s="330"/>
      <c r="BS36" s="351"/>
      <c r="BT36" s="330"/>
      <c r="BU36" s="351"/>
      <c r="BV36" s="330"/>
      <c r="BW36" s="351"/>
      <c r="BX36" s="330"/>
      <c r="BY36" s="351"/>
      <c r="BZ36" s="389"/>
      <c r="CA36" s="341"/>
      <c r="CB36" s="342">
        <f ca="1">UDayCou(3,ROW())</f>
        <v>0</v>
      </c>
      <c r="CC36" s="343">
        <f ca="1">UNightCou(3,ROW())</f>
        <v>0</v>
      </c>
      <c r="CD36" s="344">
        <f ca="1">UNewCou(3,ROW())</f>
        <v>0</v>
      </c>
      <c r="CE36" s="327">
        <f t="shared" si="113"/>
        <v>45698</v>
      </c>
      <c r="CF36" s="371" t="str">
        <f t="shared" si="114"/>
        <v>月</v>
      </c>
      <c r="CG36" s="352">
        <f t="shared" ref="CG36" ca="1" si="188">Z36+BA36+CB36</f>
        <v>19</v>
      </c>
      <c r="CH36" s="353">
        <f t="shared" ref="CH36" ca="1" si="189">AA36+BB36+CC36</f>
        <v>14</v>
      </c>
      <c r="CI36" s="354">
        <f t="shared" ref="CI36" ca="1" si="190">AB36+BC36+CD36</f>
        <v>3</v>
      </c>
      <c r="CJ36" s="355">
        <f ca="1">COUNTIF(INDIRECT("D84:CA85"),"*●*")</f>
        <v>5</v>
      </c>
      <c r="CK36" s="356">
        <f ca="1">COUNTIF(INDIRECT("D84:CA85"),"*㋷*")</f>
        <v>0</v>
      </c>
      <c r="CL36" s="75"/>
      <c r="CN36" s="160">
        <f t="shared" si="118"/>
        <v>45698</v>
      </c>
      <c r="CO36" s="162" t="str">
        <f t="shared" si="119"/>
        <v>月</v>
      </c>
      <c r="CP36" s="335"/>
      <c r="CQ36" s="347"/>
      <c r="CR36" s="359"/>
      <c r="CS36" s="358"/>
      <c r="CT36" s="359"/>
      <c r="CU36" s="358"/>
      <c r="CZ36" s="73">
        <v>2</v>
      </c>
      <c r="DA36" s="73">
        <v>2</v>
      </c>
      <c r="DB36" s="73">
        <v>10</v>
      </c>
      <c r="DC36" s="74">
        <f t="shared" ref="DC36:DC67" si="191">DATE($A$2,$DA36,$DB36)</f>
        <v>45698</v>
      </c>
      <c r="DD36" s="68" t="str">
        <f t="shared" si="135"/>
        <v>月</v>
      </c>
      <c r="DF36" s="155">
        <f t="shared" ref="DF36" si="192">$DC36</f>
        <v>45698</v>
      </c>
      <c r="DG36" s="156" t="e">
        <f ca="1">IF($CH36&gt;=設定!$E$12,"✕",IF(SS予約表!$CG36&gt;=設定!$E$12,"△","○"))</f>
        <v>#NAME?</v>
      </c>
    </row>
    <row r="37" spans="1:111" ht="29.25" customHeight="1" thickBot="1">
      <c r="A37" s="284"/>
      <c r="B37" s="285"/>
      <c r="C37" s="286" t="s">
        <v>28</v>
      </c>
      <c r="D37" s="319"/>
      <c r="E37" s="401"/>
      <c r="F37" s="319"/>
      <c r="G37" s="323"/>
      <c r="H37" s="287"/>
      <c r="I37" s="324"/>
      <c r="J37" s="299"/>
      <c r="K37" s="324"/>
      <c r="L37" s="325"/>
      <c r="M37" s="326"/>
      <c r="N37" s="319"/>
      <c r="O37" s="318"/>
      <c r="P37" s="305"/>
      <c r="Q37" s="318"/>
      <c r="R37" s="319"/>
      <c r="S37" s="318"/>
      <c r="T37" s="319"/>
      <c r="U37" s="318"/>
      <c r="V37" s="319"/>
      <c r="W37" s="318"/>
      <c r="X37" s="299"/>
      <c r="Y37" s="321"/>
      <c r="Z37" s="294"/>
      <c r="AA37" s="295"/>
      <c r="AB37" s="296"/>
      <c r="AC37" s="297"/>
      <c r="AD37" s="298"/>
      <c r="AE37" s="319"/>
      <c r="AF37" s="323"/>
      <c r="AG37" s="319"/>
      <c r="AH37" s="318"/>
      <c r="AI37" s="376"/>
      <c r="AJ37" s="318"/>
      <c r="AK37" s="391"/>
      <c r="AL37" s="392"/>
      <c r="AM37" s="299"/>
      <c r="AN37" s="324"/>
      <c r="AO37" s="319"/>
      <c r="AP37" s="323"/>
      <c r="AQ37" s="319"/>
      <c r="AR37" s="318"/>
      <c r="AS37" s="299"/>
      <c r="AT37" s="300"/>
      <c r="AU37" s="319"/>
      <c r="AV37" s="323"/>
      <c r="AW37" s="319"/>
      <c r="AX37" s="318"/>
      <c r="AY37" s="325"/>
      <c r="AZ37" s="326"/>
      <c r="BA37" s="294"/>
      <c r="BB37" s="295"/>
      <c r="BC37" s="296"/>
      <c r="BD37" s="284"/>
      <c r="BE37" s="298"/>
      <c r="BF37" s="305"/>
      <c r="BG37" s="302"/>
      <c r="BH37" s="301"/>
      <c r="BI37" s="302"/>
      <c r="BJ37" s="301"/>
      <c r="BK37" s="302"/>
      <c r="BL37" s="301"/>
      <c r="BM37" s="302"/>
      <c r="BN37" s="301"/>
      <c r="BO37" s="302"/>
      <c r="BP37" s="301"/>
      <c r="BQ37" s="302"/>
      <c r="BR37" s="301"/>
      <c r="BS37" s="302"/>
      <c r="BT37" s="301"/>
      <c r="BU37" s="302"/>
      <c r="BV37" s="301"/>
      <c r="BW37" s="302"/>
      <c r="BX37" s="301"/>
      <c r="BY37" s="302"/>
      <c r="BZ37" s="306"/>
      <c r="CA37" s="304"/>
      <c r="CB37" s="294"/>
      <c r="CC37" s="295"/>
      <c r="CD37" s="296"/>
      <c r="CE37" s="284"/>
      <c r="CF37" s="298"/>
      <c r="CG37" s="307"/>
      <c r="CH37" s="308"/>
      <c r="CI37" s="309"/>
      <c r="CJ37" s="310"/>
      <c r="CK37" s="311"/>
      <c r="CL37" s="75"/>
      <c r="CN37" s="161"/>
      <c r="CO37" s="163"/>
      <c r="CP37" s="411"/>
      <c r="CQ37" s="300"/>
      <c r="CR37" s="317"/>
      <c r="CS37" s="316"/>
      <c r="CT37" s="317"/>
      <c r="CU37" s="316"/>
      <c r="CZ37" s="73">
        <v>2</v>
      </c>
      <c r="DA37" s="73">
        <v>2</v>
      </c>
      <c r="DB37" s="73">
        <v>10</v>
      </c>
      <c r="DC37" s="74">
        <f t="shared" si="191"/>
        <v>45698</v>
      </c>
      <c r="DD37" s="68" t="str">
        <f t="shared" si="135"/>
        <v>月</v>
      </c>
      <c r="DF37" s="156"/>
      <c r="DG37" s="156"/>
    </row>
    <row r="38" spans="1:111" ht="28.5" customHeight="1">
      <c r="A38" s="491">
        <f t="shared" si="104"/>
        <v>45699</v>
      </c>
      <c r="B38" s="524" t="str">
        <f t="shared" si="105"/>
        <v>火</v>
      </c>
      <c r="C38" s="493" t="s">
        <v>27</v>
      </c>
      <c r="D38" s="496"/>
      <c r="E38" s="502"/>
      <c r="F38" s="496"/>
      <c r="G38" s="503"/>
      <c r="H38" s="542"/>
      <c r="I38" s="501"/>
      <c r="J38" s="499"/>
      <c r="K38" s="500"/>
      <c r="L38" s="512"/>
      <c r="M38" s="543"/>
      <c r="N38" s="496"/>
      <c r="O38" s="525"/>
      <c r="P38" s="514"/>
      <c r="Q38" s="500"/>
      <c r="R38" s="496"/>
      <c r="S38" s="500"/>
      <c r="T38" s="496"/>
      <c r="U38" s="525"/>
      <c r="V38" s="496"/>
      <c r="W38" s="500"/>
      <c r="X38" s="499"/>
      <c r="Y38" s="526"/>
      <c r="Z38" s="506">
        <f t="shared" ref="Z38" ca="1" si="193">UDayCou(1,ROW())</f>
        <v>10</v>
      </c>
      <c r="AA38" s="507">
        <f t="shared" ref="AA38" ca="1" si="194">UNightCou(1,ROW())</f>
        <v>7</v>
      </c>
      <c r="AB38" s="508">
        <f t="shared" ref="AB38" ca="1" si="195">UNewCou(1,ROW())</f>
        <v>0</v>
      </c>
      <c r="AC38" s="509">
        <f t="shared" si="109"/>
        <v>45699</v>
      </c>
      <c r="AD38" s="531" t="str">
        <f t="shared" si="110"/>
        <v>火</v>
      </c>
      <c r="AE38" s="496"/>
      <c r="AF38" s="503"/>
      <c r="AG38" s="496"/>
      <c r="AH38" s="500"/>
      <c r="AI38" s="535"/>
      <c r="AJ38" s="500"/>
      <c r="AK38" s="537"/>
      <c r="AL38" s="541"/>
      <c r="AM38" s="499"/>
      <c r="AN38" s="500"/>
      <c r="AO38" s="496"/>
      <c r="AP38" s="503"/>
      <c r="AQ38" s="496"/>
      <c r="AR38" s="525"/>
      <c r="AS38" s="499"/>
      <c r="AT38" s="511"/>
      <c r="AU38" s="496"/>
      <c r="AV38" s="503"/>
      <c r="AW38" s="496"/>
      <c r="AX38" s="525"/>
      <c r="AY38" s="512"/>
      <c r="AZ38" s="513"/>
      <c r="BA38" s="506">
        <f ca="1">UDayCou(2,ROW())</f>
        <v>7</v>
      </c>
      <c r="BB38" s="507">
        <f ca="1">UNightCou(2,ROW())</f>
        <v>5</v>
      </c>
      <c r="BC38" s="508">
        <f ca="1">UNewCou(2,ROW())</f>
        <v>2</v>
      </c>
      <c r="BD38" s="491">
        <f t="shared" si="111"/>
        <v>45699</v>
      </c>
      <c r="BE38" s="531" t="str">
        <f t="shared" si="112"/>
        <v>火</v>
      </c>
      <c r="BF38" s="514"/>
      <c r="BG38" s="515"/>
      <c r="BH38" s="494"/>
      <c r="BI38" s="515"/>
      <c r="BJ38" s="494"/>
      <c r="BK38" s="515"/>
      <c r="BL38" s="494"/>
      <c r="BM38" s="515"/>
      <c r="BN38" s="494"/>
      <c r="BO38" s="515"/>
      <c r="BP38" s="494"/>
      <c r="BQ38" s="515"/>
      <c r="BR38" s="494"/>
      <c r="BS38" s="515"/>
      <c r="BT38" s="494"/>
      <c r="BU38" s="515"/>
      <c r="BV38" s="494"/>
      <c r="BW38" s="515"/>
      <c r="BX38" s="494"/>
      <c r="BY38" s="515"/>
      <c r="BZ38" s="530"/>
      <c r="CA38" s="505"/>
      <c r="CB38" s="506">
        <f ca="1">UDayCou(3,ROW())</f>
        <v>0</v>
      </c>
      <c r="CC38" s="507">
        <f ca="1">UNightCou(3,ROW())</f>
        <v>0</v>
      </c>
      <c r="CD38" s="508">
        <f ca="1">UNewCou(3,ROW())</f>
        <v>0</v>
      </c>
      <c r="CE38" s="491">
        <f t="shared" si="113"/>
        <v>45699</v>
      </c>
      <c r="CF38" s="531" t="str">
        <f t="shared" si="114"/>
        <v>火</v>
      </c>
      <c r="CG38" s="516">
        <f t="shared" ref="CG38" ca="1" si="196">Z38+BA38+CB38</f>
        <v>17</v>
      </c>
      <c r="CH38" s="517">
        <f t="shared" ref="CH38" ca="1" si="197">AA38+BB38+CC38</f>
        <v>12</v>
      </c>
      <c r="CI38" s="518">
        <f t="shared" ref="CI38" ca="1" si="198">AB38+BC38+CD38</f>
        <v>2</v>
      </c>
      <c r="CJ38" s="519">
        <f ca="1">COUNTIF(INDIRECT("D86:CA87"),"*●*")</f>
        <v>5</v>
      </c>
      <c r="CK38" s="520">
        <f ca="1">COUNTIF(INDIRECT("D86:CA87"),"*㋷*")</f>
        <v>0</v>
      </c>
      <c r="CL38" s="75"/>
      <c r="CN38" s="164">
        <f t="shared" si="118"/>
        <v>45699</v>
      </c>
      <c r="CO38" s="165" t="str">
        <f t="shared" si="119"/>
        <v>火</v>
      </c>
      <c r="CP38" s="521"/>
      <c r="CQ38" s="522"/>
      <c r="CR38" s="523"/>
      <c r="CS38" s="522"/>
      <c r="CT38" s="523"/>
      <c r="CU38" s="522"/>
      <c r="CZ38" s="73">
        <v>2</v>
      </c>
      <c r="DA38" s="73">
        <v>2</v>
      </c>
      <c r="DB38" s="73">
        <v>11</v>
      </c>
      <c r="DC38" s="74">
        <f t="shared" si="191"/>
        <v>45699</v>
      </c>
      <c r="DD38" s="68" t="str">
        <f t="shared" si="135"/>
        <v>火</v>
      </c>
      <c r="DF38" s="155">
        <f t="shared" ref="DF38" si="199">$DC38</f>
        <v>45699</v>
      </c>
      <c r="DG38" s="156" t="e">
        <f ca="1">IF($CH38&gt;=設定!$E$12,"✕",IF(SS予約表!$CG38&gt;=設定!$E$12,"△","○"))</f>
        <v>#NAME?</v>
      </c>
    </row>
    <row r="39" spans="1:111" ht="29.25" customHeight="1">
      <c r="A39" s="284"/>
      <c r="B39" s="285"/>
      <c r="C39" s="286" t="s">
        <v>28</v>
      </c>
      <c r="D39" s="319"/>
      <c r="E39" s="318"/>
      <c r="F39" s="319"/>
      <c r="G39" s="318"/>
      <c r="H39" s="299"/>
      <c r="I39" s="300"/>
      <c r="J39" s="299"/>
      <c r="K39" s="324"/>
      <c r="L39" s="320"/>
      <c r="M39" s="324"/>
      <c r="N39" s="319"/>
      <c r="O39" s="323"/>
      <c r="P39" s="305"/>
      <c r="Q39" s="318"/>
      <c r="R39" s="319"/>
      <c r="S39" s="318"/>
      <c r="T39" s="319"/>
      <c r="U39" s="323"/>
      <c r="V39" s="319"/>
      <c r="W39" s="318"/>
      <c r="X39" s="320"/>
      <c r="Y39" s="321"/>
      <c r="Z39" s="294"/>
      <c r="AA39" s="295"/>
      <c r="AB39" s="296"/>
      <c r="AC39" s="297"/>
      <c r="AD39" s="298"/>
      <c r="AE39" s="319"/>
      <c r="AF39" s="323"/>
      <c r="AG39" s="319"/>
      <c r="AH39" s="318"/>
      <c r="AI39" s="376"/>
      <c r="AJ39" s="318"/>
      <c r="AK39" s="391"/>
      <c r="AL39" s="392"/>
      <c r="AM39" s="319"/>
      <c r="AN39" s="318"/>
      <c r="AO39" s="319"/>
      <c r="AP39" s="318"/>
      <c r="AQ39" s="319"/>
      <c r="AR39" s="323"/>
      <c r="AS39" s="319"/>
      <c r="AT39" s="323"/>
      <c r="AU39" s="319"/>
      <c r="AV39" s="323"/>
      <c r="AW39" s="299"/>
      <c r="AX39" s="300"/>
      <c r="AY39" s="325"/>
      <c r="AZ39" s="326"/>
      <c r="BA39" s="294"/>
      <c r="BB39" s="295"/>
      <c r="BC39" s="296"/>
      <c r="BD39" s="284"/>
      <c r="BE39" s="298"/>
      <c r="BF39" s="305"/>
      <c r="BG39" s="302"/>
      <c r="BH39" s="301"/>
      <c r="BI39" s="302"/>
      <c r="BJ39" s="301"/>
      <c r="BK39" s="302"/>
      <c r="BL39" s="301"/>
      <c r="BM39" s="302"/>
      <c r="BN39" s="301"/>
      <c r="BO39" s="302"/>
      <c r="BP39" s="301"/>
      <c r="BQ39" s="302"/>
      <c r="BR39" s="301"/>
      <c r="BS39" s="302"/>
      <c r="BT39" s="301"/>
      <c r="BU39" s="302"/>
      <c r="BV39" s="301"/>
      <c r="BW39" s="302"/>
      <c r="BX39" s="301"/>
      <c r="BY39" s="302"/>
      <c r="BZ39" s="306"/>
      <c r="CA39" s="304"/>
      <c r="CB39" s="294"/>
      <c r="CC39" s="295"/>
      <c r="CD39" s="296"/>
      <c r="CE39" s="284"/>
      <c r="CF39" s="298"/>
      <c r="CG39" s="307"/>
      <c r="CH39" s="308"/>
      <c r="CI39" s="309"/>
      <c r="CJ39" s="310"/>
      <c r="CK39" s="311"/>
      <c r="CL39" s="75"/>
      <c r="CN39" s="161"/>
      <c r="CO39" s="163"/>
      <c r="CP39" s="315"/>
      <c r="CQ39" s="316"/>
      <c r="CR39" s="317"/>
      <c r="CS39" s="316"/>
      <c r="CT39" s="299"/>
      <c r="CU39" s="300"/>
      <c r="CZ39" s="73">
        <v>2</v>
      </c>
      <c r="DA39" s="73">
        <v>2</v>
      </c>
      <c r="DB39" s="73">
        <v>11</v>
      </c>
      <c r="DC39" s="74">
        <f t="shared" si="191"/>
        <v>45699</v>
      </c>
      <c r="DD39" s="68" t="str">
        <f t="shared" si="135"/>
        <v>火</v>
      </c>
      <c r="DF39" s="156"/>
      <c r="DG39" s="156"/>
    </row>
    <row r="40" spans="1:111" ht="28.5" customHeight="1">
      <c r="A40" s="327">
        <f t="shared" si="104"/>
        <v>45700</v>
      </c>
      <c r="B40" s="365" t="str">
        <f t="shared" si="105"/>
        <v>水</v>
      </c>
      <c r="C40" s="329" t="s">
        <v>27</v>
      </c>
      <c r="D40" s="332"/>
      <c r="E40" s="336"/>
      <c r="F40" s="332"/>
      <c r="G40" s="338"/>
      <c r="H40" s="335"/>
      <c r="I40" s="347"/>
      <c r="J40" s="335"/>
      <c r="K40" s="337"/>
      <c r="L40" s="333"/>
      <c r="M40" s="377"/>
      <c r="N40" s="332"/>
      <c r="O40" s="339"/>
      <c r="P40" s="350"/>
      <c r="Q40" s="338"/>
      <c r="R40" s="332"/>
      <c r="S40" s="366"/>
      <c r="T40" s="332"/>
      <c r="U40" s="339"/>
      <c r="V40" s="332"/>
      <c r="W40" s="336"/>
      <c r="X40" s="333"/>
      <c r="Y40" s="381"/>
      <c r="Z40" s="342">
        <f t="shared" ref="Z40" ca="1" si="200">UDayCou(1,ROW())</f>
        <v>9</v>
      </c>
      <c r="AA40" s="343">
        <f t="shared" ref="AA40" ca="1" si="201">UNightCou(1,ROW())</f>
        <v>7</v>
      </c>
      <c r="AB40" s="344">
        <f t="shared" ref="AB40" ca="1" si="202">UNewCou(1,ROW())</f>
        <v>0</v>
      </c>
      <c r="AC40" s="345">
        <f t="shared" si="109"/>
        <v>45700</v>
      </c>
      <c r="AD40" s="371" t="str">
        <f t="shared" si="110"/>
        <v>水</v>
      </c>
      <c r="AE40" s="332"/>
      <c r="AF40" s="339"/>
      <c r="AG40" s="332"/>
      <c r="AH40" s="366"/>
      <c r="AI40" s="402"/>
      <c r="AJ40" s="366"/>
      <c r="AK40" s="395"/>
      <c r="AL40" s="387"/>
      <c r="AM40" s="332"/>
      <c r="AN40" s="338"/>
      <c r="AO40" s="332"/>
      <c r="AP40" s="338"/>
      <c r="AQ40" s="332"/>
      <c r="AR40" s="339"/>
      <c r="AS40" s="332"/>
      <c r="AT40" s="339"/>
      <c r="AU40" s="332"/>
      <c r="AV40" s="339"/>
      <c r="AW40" s="335"/>
      <c r="AX40" s="347"/>
      <c r="AY40" s="348"/>
      <c r="AZ40" s="349"/>
      <c r="BA40" s="342">
        <f ca="1">UDayCou(2,ROW())</f>
        <v>6</v>
      </c>
      <c r="BB40" s="343">
        <f ca="1">UNightCou(2,ROW())</f>
        <v>4</v>
      </c>
      <c r="BC40" s="344">
        <f ca="1">UNewCou(2,ROW())</f>
        <v>2</v>
      </c>
      <c r="BD40" s="327">
        <f t="shared" si="111"/>
        <v>45700</v>
      </c>
      <c r="BE40" s="371" t="str">
        <f t="shared" si="112"/>
        <v>水</v>
      </c>
      <c r="BF40" s="350"/>
      <c r="BG40" s="351"/>
      <c r="BH40" s="330"/>
      <c r="BI40" s="351"/>
      <c r="BJ40" s="330"/>
      <c r="BK40" s="351"/>
      <c r="BL40" s="330"/>
      <c r="BM40" s="351"/>
      <c r="BN40" s="330"/>
      <c r="BO40" s="351"/>
      <c r="BP40" s="330"/>
      <c r="BQ40" s="351"/>
      <c r="BR40" s="330"/>
      <c r="BS40" s="351"/>
      <c r="BT40" s="330"/>
      <c r="BU40" s="351"/>
      <c r="BV40" s="330"/>
      <c r="BW40" s="351"/>
      <c r="BX40" s="330"/>
      <c r="BY40" s="351"/>
      <c r="BZ40" s="389"/>
      <c r="CA40" s="341"/>
      <c r="CB40" s="342">
        <f ca="1">UDayCou(3,ROW())</f>
        <v>0</v>
      </c>
      <c r="CC40" s="343">
        <f ca="1">UNightCou(3,ROW())</f>
        <v>0</v>
      </c>
      <c r="CD40" s="344">
        <f ca="1">UNewCou(3,ROW())</f>
        <v>0</v>
      </c>
      <c r="CE40" s="327">
        <f t="shared" si="113"/>
        <v>45700</v>
      </c>
      <c r="CF40" s="371" t="str">
        <f t="shared" si="114"/>
        <v>水</v>
      </c>
      <c r="CG40" s="352">
        <f t="shared" ref="CG40" ca="1" si="203">Z40+BA40+CB40</f>
        <v>15</v>
      </c>
      <c r="CH40" s="353">
        <f t="shared" ref="CH40" ca="1" si="204">AA40+BB40+CC40</f>
        <v>11</v>
      </c>
      <c r="CI40" s="354">
        <f t="shared" ref="CI40" ca="1" si="205">AB40+BC40+CD40</f>
        <v>2</v>
      </c>
      <c r="CJ40" s="355">
        <f ca="1">COUNTIF(INDIRECT("D88:CA89"),"*●*")</f>
        <v>2</v>
      </c>
      <c r="CK40" s="356">
        <f ca="1">COUNTIF(INDIRECT("D88:CA89"),"*㋷*")</f>
        <v>0</v>
      </c>
      <c r="CL40" s="75"/>
      <c r="CN40" s="160">
        <f t="shared" si="118"/>
        <v>45700</v>
      </c>
      <c r="CO40" s="162" t="str">
        <f t="shared" si="119"/>
        <v>水</v>
      </c>
      <c r="CP40" s="357"/>
      <c r="CQ40" s="358"/>
      <c r="CR40" s="359"/>
      <c r="CS40" s="358"/>
      <c r="CT40" s="335"/>
      <c r="CU40" s="347"/>
      <c r="CZ40" s="73">
        <v>2</v>
      </c>
      <c r="DA40" s="73">
        <v>2</v>
      </c>
      <c r="DB40" s="73">
        <v>12</v>
      </c>
      <c r="DC40" s="74">
        <f t="shared" si="191"/>
        <v>45700</v>
      </c>
      <c r="DD40" s="68" t="str">
        <f t="shared" si="135"/>
        <v>水</v>
      </c>
      <c r="DF40" s="155">
        <f t="shared" ref="DF40" si="206">$DC40</f>
        <v>45700</v>
      </c>
      <c r="DG40" s="156" t="e">
        <f ca="1">IF($CH40&gt;=設定!$E$12,"✕",IF(SS予約表!$CG40&gt;=設定!$E$12,"△","○"))</f>
        <v>#NAME?</v>
      </c>
    </row>
    <row r="41" spans="1:111" ht="29.25" customHeight="1">
      <c r="A41" s="284"/>
      <c r="B41" s="285"/>
      <c r="C41" s="286" t="s">
        <v>28</v>
      </c>
      <c r="D41" s="319"/>
      <c r="E41" s="318"/>
      <c r="F41" s="319"/>
      <c r="G41" s="318"/>
      <c r="H41" s="287"/>
      <c r="I41" s="324"/>
      <c r="J41" s="319"/>
      <c r="K41" s="323"/>
      <c r="L41" s="320"/>
      <c r="M41" s="324"/>
      <c r="N41" s="319"/>
      <c r="O41" s="318"/>
      <c r="P41" s="305"/>
      <c r="Q41" s="318"/>
      <c r="R41" s="319"/>
      <c r="S41" s="323"/>
      <c r="T41" s="319"/>
      <c r="U41" s="323"/>
      <c r="V41" s="319"/>
      <c r="W41" s="318"/>
      <c r="X41" s="320"/>
      <c r="Y41" s="321"/>
      <c r="Z41" s="294"/>
      <c r="AA41" s="295"/>
      <c r="AB41" s="296"/>
      <c r="AC41" s="297"/>
      <c r="AD41" s="298"/>
      <c r="AE41" s="299">
        <v>10</v>
      </c>
      <c r="AF41" s="324"/>
      <c r="AG41" s="319"/>
      <c r="AH41" s="323"/>
      <c r="AI41" s="299"/>
      <c r="AJ41" s="300"/>
      <c r="AK41" s="391"/>
      <c r="AL41" s="392"/>
      <c r="AM41" s="319"/>
      <c r="AN41" s="318"/>
      <c r="AO41" s="319"/>
      <c r="AP41" s="318"/>
      <c r="AQ41" s="319"/>
      <c r="AR41" s="323"/>
      <c r="AS41" s="319"/>
      <c r="AT41" s="323"/>
      <c r="AU41" s="319"/>
      <c r="AV41" s="323"/>
      <c r="AW41" s="299"/>
      <c r="AX41" s="300"/>
      <c r="AY41" s="325"/>
      <c r="AZ41" s="326"/>
      <c r="BA41" s="294"/>
      <c r="BB41" s="295"/>
      <c r="BC41" s="296"/>
      <c r="BD41" s="284"/>
      <c r="BE41" s="298"/>
      <c r="BF41" s="305"/>
      <c r="BG41" s="302"/>
      <c r="BH41" s="301"/>
      <c r="BI41" s="302"/>
      <c r="BJ41" s="301"/>
      <c r="BK41" s="302"/>
      <c r="BL41" s="301"/>
      <c r="BM41" s="302"/>
      <c r="BN41" s="301"/>
      <c r="BO41" s="302"/>
      <c r="BP41" s="301"/>
      <c r="BQ41" s="302"/>
      <c r="BR41" s="301"/>
      <c r="BS41" s="302"/>
      <c r="BT41" s="301"/>
      <c r="BU41" s="302"/>
      <c r="BV41" s="301"/>
      <c r="BW41" s="302"/>
      <c r="BX41" s="301"/>
      <c r="BY41" s="302"/>
      <c r="BZ41" s="306"/>
      <c r="CA41" s="304"/>
      <c r="CB41" s="294"/>
      <c r="CC41" s="295"/>
      <c r="CD41" s="296"/>
      <c r="CE41" s="284"/>
      <c r="CF41" s="298"/>
      <c r="CG41" s="307"/>
      <c r="CH41" s="308"/>
      <c r="CI41" s="309"/>
      <c r="CJ41" s="310"/>
      <c r="CK41" s="311"/>
      <c r="CL41" s="75"/>
      <c r="CN41" s="161"/>
      <c r="CO41" s="163"/>
      <c r="CP41" s="315"/>
      <c r="CQ41" s="316"/>
      <c r="CR41" s="317"/>
      <c r="CS41" s="316"/>
      <c r="CT41" s="299"/>
      <c r="CU41" s="300"/>
      <c r="CZ41" s="73">
        <v>2</v>
      </c>
      <c r="DA41" s="73">
        <v>2</v>
      </c>
      <c r="DB41" s="73">
        <v>12</v>
      </c>
      <c r="DC41" s="74">
        <f t="shared" si="191"/>
        <v>45700</v>
      </c>
      <c r="DD41" s="68" t="str">
        <f t="shared" si="135"/>
        <v>水</v>
      </c>
      <c r="DF41" s="156"/>
      <c r="DG41" s="156"/>
    </row>
    <row r="42" spans="1:111" ht="28.5" customHeight="1">
      <c r="A42" s="327">
        <f t="shared" si="104"/>
        <v>45701</v>
      </c>
      <c r="B42" s="365" t="str">
        <f t="shared" si="105"/>
        <v>木</v>
      </c>
      <c r="C42" s="329" t="s">
        <v>27</v>
      </c>
      <c r="D42" s="332">
        <v>15</v>
      </c>
      <c r="E42" s="366"/>
      <c r="F42" s="332"/>
      <c r="G42" s="338"/>
      <c r="H42" s="405"/>
      <c r="I42" s="336"/>
      <c r="J42" s="332"/>
      <c r="K42" s="339"/>
      <c r="L42" s="333"/>
      <c r="M42" s="336"/>
      <c r="N42" s="332"/>
      <c r="O42" s="338"/>
      <c r="P42" s="350"/>
      <c r="Q42" s="338"/>
      <c r="R42" s="332"/>
      <c r="S42" s="339"/>
      <c r="T42" s="332"/>
      <c r="U42" s="339"/>
      <c r="V42" s="332"/>
      <c r="W42" s="338"/>
      <c r="X42" s="333"/>
      <c r="Y42" s="378"/>
      <c r="Z42" s="342">
        <f t="shared" ref="Z42" ca="1" si="207">UDayCou(1,ROW())</f>
        <v>7</v>
      </c>
      <c r="AA42" s="343">
        <f t="shared" ref="AA42" ca="1" si="208">UNightCou(1,ROW())</f>
        <v>6</v>
      </c>
      <c r="AB42" s="344">
        <f t="shared" ref="AB42" ca="1" si="209">UNewCou(1,ROW())</f>
        <v>0</v>
      </c>
      <c r="AC42" s="345">
        <f t="shared" si="109"/>
        <v>45701</v>
      </c>
      <c r="AD42" s="371" t="str">
        <f t="shared" si="110"/>
        <v>木</v>
      </c>
      <c r="AE42" s="335">
        <v>15</v>
      </c>
      <c r="AF42" s="337"/>
      <c r="AG42" s="332"/>
      <c r="AH42" s="339"/>
      <c r="AI42" s="335"/>
      <c r="AJ42" s="381"/>
      <c r="AK42" s="395"/>
      <c r="AL42" s="396"/>
      <c r="AM42" s="332"/>
      <c r="AN42" s="336"/>
      <c r="AO42" s="332"/>
      <c r="AP42" s="336"/>
      <c r="AQ42" s="332"/>
      <c r="AR42" s="339"/>
      <c r="AS42" s="332"/>
      <c r="AT42" s="339"/>
      <c r="AU42" s="332"/>
      <c r="AV42" s="339"/>
      <c r="AW42" s="335"/>
      <c r="AX42" s="347"/>
      <c r="AY42" s="348"/>
      <c r="AZ42" s="349"/>
      <c r="BA42" s="342">
        <f ca="1">UDayCou(2,ROW())</f>
        <v>6</v>
      </c>
      <c r="BB42" s="343">
        <f ca="1">UNightCou(2,ROW())</f>
        <v>5</v>
      </c>
      <c r="BC42" s="344">
        <f ca="1">UNewCou(2,ROW())</f>
        <v>1</v>
      </c>
      <c r="BD42" s="327">
        <f t="shared" si="111"/>
        <v>45701</v>
      </c>
      <c r="BE42" s="371" t="str">
        <f t="shared" si="112"/>
        <v>木</v>
      </c>
      <c r="BF42" s="350"/>
      <c r="BG42" s="351"/>
      <c r="BH42" s="330"/>
      <c r="BI42" s="351"/>
      <c r="BJ42" s="330"/>
      <c r="BK42" s="351"/>
      <c r="BL42" s="330"/>
      <c r="BM42" s="351"/>
      <c r="BN42" s="330"/>
      <c r="BO42" s="351"/>
      <c r="BP42" s="330"/>
      <c r="BQ42" s="351"/>
      <c r="BR42" s="330"/>
      <c r="BS42" s="351"/>
      <c r="BT42" s="330"/>
      <c r="BU42" s="351"/>
      <c r="BV42" s="330"/>
      <c r="BW42" s="351"/>
      <c r="BX42" s="330"/>
      <c r="BY42" s="351"/>
      <c r="BZ42" s="389"/>
      <c r="CA42" s="341"/>
      <c r="CB42" s="342">
        <f ca="1">UDayCou(3,ROW())</f>
        <v>0</v>
      </c>
      <c r="CC42" s="343">
        <f ca="1">UNightCou(3,ROW())</f>
        <v>0</v>
      </c>
      <c r="CD42" s="344">
        <f ca="1">UNewCou(3,ROW())</f>
        <v>0</v>
      </c>
      <c r="CE42" s="327">
        <f t="shared" si="113"/>
        <v>45701</v>
      </c>
      <c r="CF42" s="371" t="str">
        <f t="shared" si="114"/>
        <v>木</v>
      </c>
      <c r="CG42" s="352">
        <f t="shared" ref="CG42" ca="1" si="210">Z42+BA42+CB42</f>
        <v>13</v>
      </c>
      <c r="CH42" s="353">
        <f t="shared" ref="CH42" ca="1" si="211">AA42+BB42+CC42</f>
        <v>11</v>
      </c>
      <c r="CI42" s="354">
        <f t="shared" ref="CI42" ca="1" si="212">AB42+BC42+CD42</f>
        <v>1</v>
      </c>
      <c r="CJ42" s="355">
        <f ca="1">COUNTIF(INDIRECT("D90:CA91"),"*●*")</f>
        <v>2</v>
      </c>
      <c r="CK42" s="356">
        <f ca="1">COUNTIF(INDIRECT("D90:CA91"),"*㋷*")</f>
        <v>0</v>
      </c>
      <c r="CL42" s="75"/>
      <c r="CN42" s="160">
        <f t="shared" si="118"/>
        <v>45701</v>
      </c>
      <c r="CO42" s="162" t="str">
        <f t="shared" si="119"/>
        <v>木</v>
      </c>
      <c r="CP42" s="357"/>
      <c r="CQ42" s="358"/>
      <c r="CR42" s="359"/>
      <c r="CS42" s="358"/>
      <c r="CT42" s="335"/>
      <c r="CU42" s="347"/>
      <c r="CZ42" s="73">
        <v>2</v>
      </c>
      <c r="DA42" s="73">
        <v>2</v>
      </c>
      <c r="DB42" s="73">
        <v>13</v>
      </c>
      <c r="DC42" s="74">
        <f t="shared" si="191"/>
        <v>45701</v>
      </c>
      <c r="DD42" s="68" t="str">
        <f t="shared" si="135"/>
        <v>木</v>
      </c>
      <c r="DF42" s="155">
        <f t="shared" ref="DF42" si="213">$DC42</f>
        <v>45701</v>
      </c>
      <c r="DG42" s="156" t="e">
        <f ca="1">IF($CH42&gt;=設定!$E$12,"✕",IF(SS予約表!$CG42&gt;=設定!$E$12,"△","○"))</f>
        <v>#NAME?</v>
      </c>
    </row>
    <row r="43" spans="1:111" ht="29.25" customHeight="1">
      <c r="A43" s="284"/>
      <c r="B43" s="285"/>
      <c r="C43" s="286" t="s">
        <v>28</v>
      </c>
      <c r="D43" s="319"/>
      <c r="E43" s="323"/>
      <c r="F43" s="319"/>
      <c r="G43" s="318"/>
      <c r="H43" s="287"/>
      <c r="I43" s="324"/>
      <c r="J43" s="319"/>
      <c r="K43" s="323"/>
      <c r="L43" s="319"/>
      <c r="M43" s="318"/>
      <c r="N43" s="319"/>
      <c r="O43" s="318"/>
      <c r="P43" s="305"/>
      <c r="Q43" s="318"/>
      <c r="R43" s="319"/>
      <c r="S43" s="323"/>
      <c r="T43" s="319"/>
      <c r="U43" s="323"/>
      <c r="V43" s="319"/>
      <c r="W43" s="318"/>
      <c r="X43" s="319"/>
      <c r="Y43" s="323"/>
      <c r="Z43" s="294"/>
      <c r="AA43" s="295"/>
      <c r="AB43" s="296"/>
      <c r="AC43" s="297"/>
      <c r="AD43" s="298"/>
      <c r="AE43" s="299"/>
      <c r="AF43" s="321"/>
      <c r="AG43" s="319"/>
      <c r="AH43" s="323"/>
      <c r="AI43" s="299"/>
      <c r="AJ43" s="412"/>
      <c r="AK43" s="391"/>
      <c r="AL43" s="392"/>
      <c r="AM43" s="319"/>
      <c r="AN43" s="318"/>
      <c r="AO43" s="319"/>
      <c r="AP43" s="318"/>
      <c r="AQ43" s="299"/>
      <c r="AR43" s="413"/>
      <c r="AS43" s="319"/>
      <c r="AT43" s="323"/>
      <c r="AU43" s="319"/>
      <c r="AV43" s="318"/>
      <c r="AW43" s="319"/>
      <c r="AX43" s="323"/>
      <c r="AY43" s="325"/>
      <c r="AZ43" s="326"/>
      <c r="BA43" s="294"/>
      <c r="BB43" s="295"/>
      <c r="BC43" s="296"/>
      <c r="BD43" s="284"/>
      <c r="BE43" s="298"/>
      <c r="BF43" s="305"/>
      <c r="BG43" s="302"/>
      <c r="BH43" s="301"/>
      <c r="BI43" s="302"/>
      <c r="BJ43" s="301"/>
      <c r="BK43" s="302"/>
      <c r="BL43" s="301"/>
      <c r="BM43" s="302"/>
      <c r="BN43" s="301"/>
      <c r="BO43" s="302"/>
      <c r="BP43" s="301"/>
      <c r="BQ43" s="302"/>
      <c r="BR43" s="301"/>
      <c r="BS43" s="302"/>
      <c r="BT43" s="301"/>
      <c r="BU43" s="302"/>
      <c r="BV43" s="301"/>
      <c r="BW43" s="302"/>
      <c r="BX43" s="301"/>
      <c r="BY43" s="302"/>
      <c r="BZ43" s="306"/>
      <c r="CA43" s="304"/>
      <c r="CB43" s="294"/>
      <c r="CC43" s="295"/>
      <c r="CD43" s="296"/>
      <c r="CE43" s="284"/>
      <c r="CF43" s="298"/>
      <c r="CG43" s="307"/>
      <c r="CH43" s="308"/>
      <c r="CI43" s="309"/>
      <c r="CJ43" s="310"/>
      <c r="CK43" s="311"/>
      <c r="CL43" s="75"/>
      <c r="CN43" s="161"/>
      <c r="CO43" s="163"/>
      <c r="CP43" s="315"/>
      <c r="CQ43" s="316"/>
      <c r="CR43" s="317"/>
      <c r="CS43" s="316"/>
      <c r="CT43" s="299"/>
      <c r="CU43" s="300"/>
      <c r="CZ43" s="73">
        <v>2</v>
      </c>
      <c r="DA43" s="73">
        <v>2</v>
      </c>
      <c r="DB43" s="73">
        <v>13</v>
      </c>
      <c r="DC43" s="74">
        <f t="shared" si="191"/>
        <v>45701</v>
      </c>
      <c r="DD43" s="68" t="str">
        <f t="shared" si="135"/>
        <v>木</v>
      </c>
      <c r="DF43" s="156"/>
      <c r="DG43" s="156"/>
    </row>
    <row r="44" spans="1:111" ht="28.5" customHeight="1">
      <c r="A44" s="327">
        <f t="shared" si="104"/>
        <v>45702</v>
      </c>
      <c r="B44" s="365" t="str">
        <f t="shared" si="105"/>
        <v>金</v>
      </c>
      <c r="C44" s="329" t="s">
        <v>27</v>
      </c>
      <c r="D44" s="332"/>
      <c r="E44" s="339"/>
      <c r="F44" s="332"/>
      <c r="G44" s="336"/>
      <c r="H44" s="405"/>
      <c r="I44" s="337"/>
      <c r="J44" s="332"/>
      <c r="K44" s="339"/>
      <c r="L44" s="332"/>
      <c r="M44" s="366"/>
      <c r="N44" s="332"/>
      <c r="O44" s="338"/>
      <c r="P44" s="350"/>
      <c r="Q44" s="336"/>
      <c r="R44" s="332"/>
      <c r="S44" s="339"/>
      <c r="T44" s="332"/>
      <c r="U44" s="339"/>
      <c r="V44" s="332"/>
      <c r="W44" s="338"/>
      <c r="X44" s="332"/>
      <c r="Y44" s="339"/>
      <c r="Z44" s="342">
        <f t="shared" ref="Z44" ca="1" si="214">UDayCou(1,ROW())</f>
        <v>8</v>
      </c>
      <c r="AA44" s="343">
        <f t="shared" ref="AA44" ca="1" si="215">UNightCou(1,ROW())</f>
        <v>6</v>
      </c>
      <c r="AB44" s="344">
        <f t="shared" ref="AB44" ca="1" si="216">UNewCou(1,ROW())</f>
        <v>0</v>
      </c>
      <c r="AC44" s="345">
        <f t="shared" si="109"/>
        <v>45702</v>
      </c>
      <c r="AD44" s="371" t="str">
        <f t="shared" si="110"/>
        <v>金</v>
      </c>
      <c r="AE44" s="335"/>
      <c r="AF44" s="347"/>
      <c r="AG44" s="332"/>
      <c r="AH44" s="339"/>
      <c r="AI44" s="335"/>
      <c r="AJ44" s="414"/>
      <c r="AK44" s="395"/>
      <c r="AL44" s="396"/>
      <c r="AM44" s="332"/>
      <c r="AN44" s="366"/>
      <c r="AO44" s="332"/>
      <c r="AP44" s="366"/>
      <c r="AQ44" s="335"/>
      <c r="AR44" s="415"/>
      <c r="AS44" s="332"/>
      <c r="AT44" s="378"/>
      <c r="AU44" s="332"/>
      <c r="AV44" s="338"/>
      <c r="AW44" s="335"/>
      <c r="AX44" s="347"/>
      <c r="AY44" s="348"/>
      <c r="AZ44" s="349"/>
      <c r="BA44" s="342">
        <f ca="1">UDayCou(2,ROW())</f>
        <v>8</v>
      </c>
      <c r="BB44" s="343">
        <f ca="1">UNightCou(2,ROW())</f>
        <v>6</v>
      </c>
      <c r="BC44" s="344">
        <f ca="1">UNewCou(2,ROW())</f>
        <v>1</v>
      </c>
      <c r="BD44" s="327">
        <f t="shared" si="111"/>
        <v>45702</v>
      </c>
      <c r="BE44" s="371" t="str">
        <f t="shared" si="112"/>
        <v>金</v>
      </c>
      <c r="BF44" s="350"/>
      <c r="BG44" s="351"/>
      <c r="BH44" s="330"/>
      <c r="BI44" s="351"/>
      <c r="BJ44" s="330"/>
      <c r="BK44" s="351"/>
      <c r="BL44" s="330"/>
      <c r="BM44" s="351"/>
      <c r="BN44" s="330"/>
      <c r="BO44" s="351"/>
      <c r="BP44" s="330"/>
      <c r="BQ44" s="351"/>
      <c r="BR44" s="330"/>
      <c r="BS44" s="351"/>
      <c r="BT44" s="330"/>
      <c r="BU44" s="351"/>
      <c r="BV44" s="330"/>
      <c r="BW44" s="351"/>
      <c r="BX44" s="330"/>
      <c r="BY44" s="351"/>
      <c r="BZ44" s="389"/>
      <c r="CA44" s="341"/>
      <c r="CB44" s="342">
        <f ca="1">UDayCou(3,ROW())</f>
        <v>0</v>
      </c>
      <c r="CC44" s="343">
        <f ca="1">UNightCou(3,ROW())</f>
        <v>0</v>
      </c>
      <c r="CD44" s="344">
        <f ca="1">UNewCou(3,ROW())</f>
        <v>0</v>
      </c>
      <c r="CE44" s="327">
        <f t="shared" si="113"/>
        <v>45702</v>
      </c>
      <c r="CF44" s="371" t="str">
        <f t="shared" si="114"/>
        <v>金</v>
      </c>
      <c r="CG44" s="352">
        <f t="shared" ref="CG44" ca="1" si="217">Z44+BA44+CB44</f>
        <v>16</v>
      </c>
      <c r="CH44" s="353">
        <f t="shared" ref="CH44" ca="1" si="218">AA44+BB44+CC44</f>
        <v>12</v>
      </c>
      <c r="CI44" s="354">
        <f t="shared" ref="CI44" ca="1" si="219">AB44+BC44+CD44</f>
        <v>1</v>
      </c>
      <c r="CJ44" s="355">
        <f ca="1">COUNTIF(INDIRECT("D92:CA93"),"*●*")</f>
        <v>7</v>
      </c>
      <c r="CK44" s="356">
        <f ca="1">COUNTIF(INDIRECT("D92:CA93"),"*㋷*")</f>
        <v>0</v>
      </c>
      <c r="CL44" s="75"/>
      <c r="CN44" s="160">
        <f t="shared" si="118"/>
        <v>45702</v>
      </c>
      <c r="CO44" s="162" t="str">
        <f t="shared" si="119"/>
        <v>金</v>
      </c>
      <c r="CP44" s="357"/>
      <c r="CQ44" s="358"/>
      <c r="CR44" s="359"/>
      <c r="CS44" s="358"/>
      <c r="CT44" s="335"/>
      <c r="CU44" s="347"/>
      <c r="CZ44" s="73">
        <v>2</v>
      </c>
      <c r="DA44" s="73">
        <v>2</v>
      </c>
      <c r="DB44" s="73">
        <v>14</v>
      </c>
      <c r="DC44" s="74">
        <f t="shared" si="191"/>
        <v>45702</v>
      </c>
      <c r="DD44" s="68" t="str">
        <f t="shared" si="135"/>
        <v>金</v>
      </c>
      <c r="DF44" s="155">
        <f t="shared" ref="DF44" si="220">$DC44</f>
        <v>45702</v>
      </c>
      <c r="DG44" s="156" t="e">
        <f ca="1">IF($CH44&gt;=設定!$E$12,"✕",IF(SS予約表!$CG44&gt;=設定!$E$12,"△","○"))</f>
        <v>#NAME?</v>
      </c>
    </row>
    <row r="45" spans="1:111" ht="29.25" customHeight="1">
      <c r="A45" s="284"/>
      <c r="B45" s="285"/>
      <c r="C45" s="286" t="s">
        <v>28</v>
      </c>
      <c r="D45" s="317">
        <v>10</v>
      </c>
      <c r="E45" s="318"/>
      <c r="F45" s="319"/>
      <c r="G45" s="318"/>
      <c r="H45" s="299"/>
      <c r="I45" s="300"/>
      <c r="J45" s="299"/>
      <c r="K45" s="324"/>
      <c r="L45" s="299"/>
      <c r="M45" s="300"/>
      <c r="N45" s="319"/>
      <c r="O45" s="318"/>
      <c r="P45" s="305"/>
      <c r="Q45" s="318"/>
      <c r="R45" s="319"/>
      <c r="S45" s="323"/>
      <c r="T45" s="319"/>
      <c r="U45" s="323"/>
      <c r="V45" s="319"/>
      <c r="W45" s="318"/>
      <c r="X45" s="299"/>
      <c r="Y45" s="300"/>
      <c r="Z45" s="294"/>
      <c r="AA45" s="295"/>
      <c r="AB45" s="296"/>
      <c r="AC45" s="297"/>
      <c r="AD45" s="298"/>
      <c r="AE45" s="287">
        <v>10</v>
      </c>
      <c r="AF45" s="324"/>
      <c r="AG45" s="319"/>
      <c r="AH45" s="323"/>
      <c r="AI45" s="319"/>
      <c r="AJ45" s="318"/>
      <c r="AK45" s="391"/>
      <c r="AL45" s="392"/>
      <c r="AM45" s="299"/>
      <c r="AN45" s="321"/>
      <c r="AO45" s="299"/>
      <c r="AP45" s="300"/>
      <c r="AQ45" s="299"/>
      <c r="AR45" s="416"/>
      <c r="AS45" s="319"/>
      <c r="AT45" s="318"/>
      <c r="AU45" s="319"/>
      <c r="AV45" s="318"/>
      <c r="AW45" s="299"/>
      <c r="AX45" s="300"/>
      <c r="AY45" s="325"/>
      <c r="AZ45" s="326"/>
      <c r="BA45" s="294"/>
      <c r="BB45" s="295"/>
      <c r="BC45" s="296"/>
      <c r="BD45" s="284"/>
      <c r="BE45" s="298"/>
      <c r="BF45" s="305"/>
      <c r="BG45" s="302"/>
      <c r="BH45" s="301"/>
      <c r="BI45" s="302"/>
      <c r="BJ45" s="301"/>
      <c r="BK45" s="302"/>
      <c r="BL45" s="301"/>
      <c r="BM45" s="302"/>
      <c r="BN45" s="301"/>
      <c r="BO45" s="302"/>
      <c r="BP45" s="301"/>
      <c r="BQ45" s="302"/>
      <c r="BR45" s="301"/>
      <c r="BS45" s="302"/>
      <c r="BT45" s="301"/>
      <c r="BU45" s="302"/>
      <c r="BV45" s="301"/>
      <c r="BW45" s="302"/>
      <c r="BX45" s="301"/>
      <c r="BY45" s="302"/>
      <c r="BZ45" s="306"/>
      <c r="CA45" s="304"/>
      <c r="CB45" s="294"/>
      <c r="CC45" s="295"/>
      <c r="CD45" s="296"/>
      <c r="CE45" s="284"/>
      <c r="CF45" s="298"/>
      <c r="CG45" s="307"/>
      <c r="CH45" s="308"/>
      <c r="CI45" s="309"/>
      <c r="CJ45" s="310"/>
      <c r="CK45" s="311"/>
      <c r="CL45" s="75"/>
      <c r="CN45" s="161"/>
      <c r="CO45" s="163"/>
      <c r="CP45" s="315"/>
      <c r="CQ45" s="316"/>
      <c r="CR45" s="317"/>
      <c r="CS45" s="316"/>
      <c r="CT45" s="299"/>
      <c r="CU45" s="300"/>
      <c r="CZ45" s="73">
        <v>2</v>
      </c>
      <c r="DA45" s="73">
        <v>2</v>
      </c>
      <c r="DB45" s="73">
        <v>14</v>
      </c>
      <c r="DC45" s="74">
        <f t="shared" si="191"/>
        <v>45702</v>
      </c>
      <c r="DD45" s="68" t="str">
        <f t="shared" si="135"/>
        <v>金</v>
      </c>
      <c r="DF45" s="156"/>
      <c r="DG45" s="156"/>
    </row>
    <row r="46" spans="1:111" ht="28.5" customHeight="1">
      <c r="A46" s="327">
        <f t="shared" si="104"/>
        <v>45703</v>
      </c>
      <c r="B46" s="393" t="str">
        <f t="shared" si="105"/>
        <v>土</v>
      </c>
      <c r="C46" s="329" t="s">
        <v>27</v>
      </c>
      <c r="D46" s="359"/>
      <c r="E46" s="338"/>
      <c r="F46" s="332"/>
      <c r="G46" s="366"/>
      <c r="H46" s="335"/>
      <c r="I46" s="381"/>
      <c r="J46" s="335"/>
      <c r="K46" s="409"/>
      <c r="L46" s="335"/>
      <c r="M46" s="347"/>
      <c r="N46" s="332"/>
      <c r="O46" s="336"/>
      <c r="P46" s="350"/>
      <c r="Q46" s="338"/>
      <c r="R46" s="332"/>
      <c r="S46" s="339"/>
      <c r="T46" s="332"/>
      <c r="U46" s="378"/>
      <c r="V46" s="332"/>
      <c r="W46" s="336"/>
      <c r="X46" s="335"/>
      <c r="Y46" s="347"/>
      <c r="Z46" s="342">
        <f t="shared" ref="Z46" ca="1" si="221">UDayCou(1,ROW())</f>
        <v>10</v>
      </c>
      <c r="AA46" s="343">
        <f t="shared" ref="AA46" ca="1" si="222">UNightCou(1,ROW())</f>
        <v>9</v>
      </c>
      <c r="AB46" s="344">
        <f t="shared" ref="AB46" ca="1" si="223">UNewCou(1,ROW())</f>
        <v>0</v>
      </c>
      <c r="AC46" s="345">
        <f t="shared" si="109"/>
        <v>45703</v>
      </c>
      <c r="AD46" s="394" t="str">
        <f t="shared" si="110"/>
        <v>土</v>
      </c>
      <c r="AE46" s="405"/>
      <c r="AF46" s="377"/>
      <c r="AG46" s="332"/>
      <c r="AH46" s="339"/>
      <c r="AI46" s="332"/>
      <c r="AJ46" s="338"/>
      <c r="AK46" s="395"/>
      <c r="AL46" s="387"/>
      <c r="AM46" s="335"/>
      <c r="AN46" s="347"/>
      <c r="AO46" s="335"/>
      <c r="AP46" s="347"/>
      <c r="AQ46" s="335"/>
      <c r="AR46" s="417"/>
      <c r="AS46" s="332"/>
      <c r="AT46" s="338"/>
      <c r="AU46" s="332"/>
      <c r="AV46" s="336"/>
      <c r="AW46" s="335"/>
      <c r="AX46" s="347"/>
      <c r="AY46" s="348"/>
      <c r="AZ46" s="349"/>
      <c r="BA46" s="342">
        <f ca="1">UDayCou(2,ROW())</f>
        <v>8</v>
      </c>
      <c r="BB46" s="343">
        <f ca="1">UNightCou(2,ROW())</f>
        <v>7</v>
      </c>
      <c r="BC46" s="344">
        <f ca="1">UNewCou(2,ROW())</f>
        <v>1</v>
      </c>
      <c r="BD46" s="327">
        <f t="shared" si="111"/>
        <v>45703</v>
      </c>
      <c r="BE46" s="394" t="str">
        <f t="shared" si="112"/>
        <v>土</v>
      </c>
      <c r="BF46" s="350"/>
      <c r="BG46" s="351"/>
      <c r="BH46" s="330"/>
      <c r="BI46" s="351"/>
      <c r="BJ46" s="330"/>
      <c r="BK46" s="351"/>
      <c r="BL46" s="330"/>
      <c r="BM46" s="351"/>
      <c r="BN46" s="330"/>
      <c r="BO46" s="351"/>
      <c r="BP46" s="330"/>
      <c r="BQ46" s="351"/>
      <c r="BR46" s="330"/>
      <c r="BS46" s="351"/>
      <c r="BT46" s="330"/>
      <c r="BU46" s="351"/>
      <c r="BV46" s="330"/>
      <c r="BW46" s="351"/>
      <c r="BX46" s="330"/>
      <c r="BY46" s="351"/>
      <c r="BZ46" s="389"/>
      <c r="CA46" s="341"/>
      <c r="CB46" s="342">
        <f ca="1">UDayCou(3,ROW())</f>
        <v>0</v>
      </c>
      <c r="CC46" s="343">
        <f ca="1">UNightCou(3,ROW())</f>
        <v>0</v>
      </c>
      <c r="CD46" s="344">
        <f ca="1">UNewCou(3,ROW())</f>
        <v>0</v>
      </c>
      <c r="CE46" s="327">
        <f t="shared" si="113"/>
        <v>45703</v>
      </c>
      <c r="CF46" s="394" t="str">
        <f t="shared" si="114"/>
        <v>土</v>
      </c>
      <c r="CG46" s="352">
        <f t="shared" ref="CG46" ca="1" si="224">Z46+BA46+CB46</f>
        <v>18</v>
      </c>
      <c r="CH46" s="353">
        <f t="shared" ref="CH46" ca="1" si="225">AA46+BB46+CC46</f>
        <v>16</v>
      </c>
      <c r="CI46" s="354">
        <f t="shared" ref="CI46" ca="1" si="226">AB46+BC46+CD46</f>
        <v>1</v>
      </c>
      <c r="CJ46" s="355">
        <f ca="1">COUNTIF(INDIRECT("D94:CA95"),"*●*")</f>
        <v>5</v>
      </c>
      <c r="CK46" s="356">
        <f ca="1">COUNTIF(INDIRECT("D94:CA95"),"*㋷*")</f>
        <v>0</v>
      </c>
      <c r="CL46" s="75"/>
      <c r="CN46" s="160">
        <f t="shared" si="118"/>
        <v>45703</v>
      </c>
      <c r="CO46" s="167" t="str">
        <f t="shared" si="119"/>
        <v>土</v>
      </c>
      <c r="CP46" s="357"/>
      <c r="CQ46" s="358"/>
      <c r="CR46" s="359"/>
      <c r="CS46" s="358"/>
      <c r="CT46" s="335"/>
      <c r="CU46" s="347"/>
      <c r="CZ46" s="73">
        <v>2</v>
      </c>
      <c r="DA46" s="73">
        <v>2</v>
      </c>
      <c r="DB46" s="73">
        <v>15</v>
      </c>
      <c r="DC46" s="74">
        <f t="shared" si="191"/>
        <v>45703</v>
      </c>
      <c r="DD46" s="68" t="str">
        <f t="shared" si="135"/>
        <v>土</v>
      </c>
      <c r="DF46" s="155">
        <f t="shared" ref="DF46" si="227">$DC46</f>
        <v>45703</v>
      </c>
      <c r="DG46" s="156" t="e">
        <f ca="1">IF($CH46&gt;=設定!$E$12,"✕",IF(SS予約表!$CG46&gt;=設定!$E$12,"△","○"))</f>
        <v>#NAME?</v>
      </c>
    </row>
    <row r="47" spans="1:111" ht="29.25" customHeight="1" thickBot="1">
      <c r="A47" s="284"/>
      <c r="B47" s="285"/>
      <c r="C47" s="286" t="s">
        <v>28</v>
      </c>
      <c r="D47" s="317"/>
      <c r="E47" s="318"/>
      <c r="F47" s="319"/>
      <c r="G47" s="318"/>
      <c r="H47" s="299"/>
      <c r="I47" s="324"/>
      <c r="J47" s="299"/>
      <c r="K47" s="322"/>
      <c r="L47" s="319"/>
      <c r="M47" s="323"/>
      <c r="N47" s="319"/>
      <c r="O47" s="318"/>
      <c r="P47" s="305"/>
      <c r="Q47" s="318"/>
      <c r="R47" s="319"/>
      <c r="S47" s="318"/>
      <c r="T47" s="319"/>
      <c r="U47" s="318"/>
      <c r="V47" s="319"/>
      <c r="W47" s="318"/>
      <c r="X47" s="319"/>
      <c r="Y47" s="323"/>
      <c r="Z47" s="294"/>
      <c r="AA47" s="295"/>
      <c r="AB47" s="296"/>
      <c r="AC47" s="297"/>
      <c r="AD47" s="298"/>
      <c r="AE47" s="287"/>
      <c r="AF47" s="324"/>
      <c r="AG47" s="299"/>
      <c r="AH47" s="300"/>
      <c r="AI47" s="319"/>
      <c r="AJ47" s="318"/>
      <c r="AK47" s="418"/>
      <c r="AL47" s="419"/>
      <c r="AM47" s="319"/>
      <c r="AN47" s="318"/>
      <c r="AO47" s="299"/>
      <c r="AP47" s="324"/>
      <c r="AQ47" s="320"/>
      <c r="AR47" s="321"/>
      <c r="AS47" s="319"/>
      <c r="AT47" s="318"/>
      <c r="AU47" s="319"/>
      <c r="AV47" s="318"/>
      <c r="AW47" s="299"/>
      <c r="AX47" s="300"/>
      <c r="AY47" s="317"/>
      <c r="AZ47" s="316"/>
      <c r="BA47" s="294"/>
      <c r="BB47" s="295"/>
      <c r="BC47" s="296"/>
      <c r="BD47" s="284"/>
      <c r="BE47" s="298"/>
      <c r="BF47" s="305"/>
      <c r="BG47" s="302"/>
      <c r="BH47" s="301"/>
      <c r="BI47" s="302"/>
      <c r="BJ47" s="301"/>
      <c r="BK47" s="302"/>
      <c r="BL47" s="301"/>
      <c r="BM47" s="302"/>
      <c r="BN47" s="301"/>
      <c r="BO47" s="302"/>
      <c r="BP47" s="301"/>
      <c r="BQ47" s="302"/>
      <c r="BR47" s="301"/>
      <c r="BS47" s="302"/>
      <c r="BT47" s="301"/>
      <c r="BU47" s="302"/>
      <c r="BV47" s="301"/>
      <c r="BW47" s="302"/>
      <c r="BX47" s="301"/>
      <c r="BY47" s="302"/>
      <c r="BZ47" s="306"/>
      <c r="CA47" s="304"/>
      <c r="CB47" s="294"/>
      <c r="CC47" s="295"/>
      <c r="CD47" s="296"/>
      <c r="CE47" s="284"/>
      <c r="CF47" s="298"/>
      <c r="CG47" s="307"/>
      <c r="CH47" s="308"/>
      <c r="CI47" s="309"/>
      <c r="CJ47" s="310"/>
      <c r="CK47" s="311"/>
      <c r="CL47" s="75"/>
      <c r="CN47" s="161"/>
      <c r="CO47" s="163"/>
      <c r="CP47" s="299"/>
      <c r="CQ47" s="300"/>
      <c r="CR47" s="317"/>
      <c r="CS47" s="316"/>
      <c r="CT47" s="299"/>
      <c r="CU47" s="300"/>
      <c r="CZ47" s="73">
        <v>2</v>
      </c>
      <c r="DA47" s="73">
        <v>2</v>
      </c>
      <c r="DB47" s="73">
        <v>15</v>
      </c>
      <c r="DC47" s="74">
        <f t="shared" si="191"/>
        <v>45703</v>
      </c>
      <c r="DD47" s="68" t="str">
        <f t="shared" si="135"/>
        <v>土</v>
      </c>
      <c r="DF47" s="156"/>
      <c r="DG47" s="156"/>
    </row>
    <row r="48" spans="1:111" ht="28.5" customHeight="1">
      <c r="A48" s="491">
        <f t="shared" si="104"/>
        <v>45704</v>
      </c>
      <c r="B48" s="492" t="str">
        <f t="shared" si="105"/>
        <v>日</v>
      </c>
      <c r="C48" s="493" t="s">
        <v>27</v>
      </c>
      <c r="D48" s="523"/>
      <c r="E48" s="500"/>
      <c r="F48" s="496"/>
      <c r="G48" s="500"/>
      <c r="H48" s="499"/>
      <c r="I48" s="500"/>
      <c r="J48" s="499"/>
      <c r="K48" s="500"/>
      <c r="L48" s="496"/>
      <c r="M48" s="539"/>
      <c r="N48" s="496"/>
      <c r="O48" s="525"/>
      <c r="P48" s="514"/>
      <c r="Q48" s="500"/>
      <c r="R48" s="496"/>
      <c r="S48" s="502"/>
      <c r="T48" s="496"/>
      <c r="U48" s="544"/>
      <c r="V48" s="496"/>
      <c r="W48" s="502"/>
      <c r="X48" s="496"/>
      <c r="Y48" s="539"/>
      <c r="Z48" s="506">
        <f t="shared" ref="Z48" ca="1" si="228">UDayCou(1,ROW())</f>
        <v>9</v>
      </c>
      <c r="AA48" s="507">
        <f t="shared" ref="AA48" ca="1" si="229">UNightCou(1,ROW())</f>
        <v>7</v>
      </c>
      <c r="AB48" s="508">
        <f t="shared" ref="AB48" ca="1" si="230">UNewCou(1,ROW())</f>
        <v>0</v>
      </c>
      <c r="AC48" s="509">
        <f t="shared" si="109"/>
        <v>45704</v>
      </c>
      <c r="AD48" s="510" t="str">
        <f t="shared" si="110"/>
        <v>日</v>
      </c>
      <c r="AE48" s="542"/>
      <c r="AF48" s="500"/>
      <c r="AG48" s="499"/>
      <c r="AH48" s="511"/>
      <c r="AI48" s="496"/>
      <c r="AJ48" s="500"/>
      <c r="AK48" s="545"/>
      <c r="AL48" s="546"/>
      <c r="AM48" s="496"/>
      <c r="AN48" s="502"/>
      <c r="AO48" s="499"/>
      <c r="AP48" s="500"/>
      <c r="AQ48" s="499"/>
      <c r="AR48" s="511"/>
      <c r="AS48" s="496"/>
      <c r="AT48" s="500"/>
      <c r="AU48" s="496"/>
      <c r="AV48" s="525"/>
      <c r="AW48" s="499"/>
      <c r="AX48" s="511"/>
      <c r="AY48" s="523"/>
      <c r="AZ48" s="522"/>
      <c r="BA48" s="506">
        <f ca="1">UDayCou(2,ROW())</f>
        <v>7</v>
      </c>
      <c r="BB48" s="507">
        <f ca="1">UNightCou(2,ROW())</f>
        <v>6</v>
      </c>
      <c r="BC48" s="508">
        <f ca="1">UNewCou(2,ROW())</f>
        <v>1</v>
      </c>
      <c r="BD48" s="491">
        <f t="shared" si="111"/>
        <v>45704</v>
      </c>
      <c r="BE48" s="510" t="str">
        <f t="shared" si="112"/>
        <v>日</v>
      </c>
      <c r="BF48" s="514"/>
      <c r="BG48" s="515"/>
      <c r="BH48" s="494"/>
      <c r="BI48" s="515"/>
      <c r="BJ48" s="494"/>
      <c r="BK48" s="515"/>
      <c r="BL48" s="494"/>
      <c r="BM48" s="515"/>
      <c r="BN48" s="494"/>
      <c r="BO48" s="515"/>
      <c r="BP48" s="494"/>
      <c r="BQ48" s="515"/>
      <c r="BR48" s="494"/>
      <c r="BS48" s="515"/>
      <c r="BT48" s="494"/>
      <c r="BU48" s="515"/>
      <c r="BV48" s="494"/>
      <c r="BW48" s="515"/>
      <c r="BX48" s="494"/>
      <c r="BY48" s="515"/>
      <c r="BZ48" s="530"/>
      <c r="CA48" s="505"/>
      <c r="CB48" s="506">
        <f ca="1">UDayCou(3,ROW())</f>
        <v>0</v>
      </c>
      <c r="CC48" s="507">
        <f ca="1">UNightCou(3,ROW())</f>
        <v>0</v>
      </c>
      <c r="CD48" s="508">
        <f ca="1">UNewCou(3,ROW())</f>
        <v>0</v>
      </c>
      <c r="CE48" s="491">
        <f t="shared" si="113"/>
        <v>45704</v>
      </c>
      <c r="CF48" s="510" t="str">
        <f t="shared" si="114"/>
        <v>日</v>
      </c>
      <c r="CG48" s="516">
        <f t="shared" ref="CG48" ca="1" si="231">Z48+BA48+CB48</f>
        <v>16</v>
      </c>
      <c r="CH48" s="517">
        <f t="shared" ref="CH48" ca="1" si="232">AA48+BB48+CC48</f>
        <v>13</v>
      </c>
      <c r="CI48" s="518">
        <f t="shared" ref="CI48" ca="1" si="233">AB48+BC48+CD48</f>
        <v>1</v>
      </c>
      <c r="CJ48" s="519">
        <f ca="1">COUNTIF(INDIRECT("D96:CA97"),"*●*")</f>
        <v>3</v>
      </c>
      <c r="CK48" s="520">
        <f ca="1">COUNTIF(INDIRECT("D96:CA97"),"*㋷*")</f>
        <v>0</v>
      </c>
      <c r="CL48" s="75"/>
      <c r="CN48" s="164">
        <f t="shared" si="118"/>
        <v>45704</v>
      </c>
      <c r="CO48" s="166" t="str">
        <f t="shared" si="119"/>
        <v>日</v>
      </c>
      <c r="CP48" s="499"/>
      <c r="CQ48" s="511"/>
      <c r="CR48" s="523"/>
      <c r="CS48" s="522"/>
      <c r="CT48" s="499"/>
      <c r="CU48" s="511"/>
      <c r="CZ48" s="73">
        <v>2</v>
      </c>
      <c r="DA48" s="73">
        <v>2</v>
      </c>
      <c r="DB48" s="73">
        <v>16</v>
      </c>
      <c r="DC48" s="74">
        <f t="shared" si="191"/>
        <v>45704</v>
      </c>
      <c r="DD48" s="68" t="str">
        <f t="shared" si="135"/>
        <v>日</v>
      </c>
      <c r="DF48" s="155">
        <f t="shared" ref="DF48" si="234">$DC48</f>
        <v>45704</v>
      </c>
      <c r="DG48" s="156" t="e">
        <f ca="1">IF($CH48&gt;=設定!$E$12,"✕",IF(SS予約表!$CG48&gt;=設定!$E$12,"△","○"))</f>
        <v>#NAME?</v>
      </c>
    </row>
    <row r="49" spans="1:111" ht="29.25" customHeight="1">
      <c r="A49" s="284"/>
      <c r="B49" s="285"/>
      <c r="C49" s="286" t="s">
        <v>28</v>
      </c>
      <c r="D49" s="317"/>
      <c r="E49" s="419"/>
      <c r="F49" s="319"/>
      <c r="G49" s="318"/>
      <c r="H49" s="299"/>
      <c r="I49" s="324"/>
      <c r="J49" s="299"/>
      <c r="K49" s="322"/>
      <c r="L49" s="319"/>
      <c r="M49" s="323"/>
      <c r="N49" s="319"/>
      <c r="O49" s="323"/>
      <c r="P49" s="305"/>
      <c r="Q49" s="318"/>
      <c r="R49" s="319"/>
      <c r="S49" s="318"/>
      <c r="T49" s="299"/>
      <c r="U49" s="321"/>
      <c r="V49" s="319"/>
      <c r="W49" s="318"/>
      <c r="X49" s="319"/>
      <c r="Y49" s="323"/>
      <c r="Z49" s="294"/>
      <c r="AA49" s="295"/>
      <c r="AB49" s="296"/>
      <c r="AC49" s="297"/>
      <c r="AD49" s="298"/>
      <c r="AE49" s="287"/>
      <c r="AF49" s="324"/>
      <c r="AG49" s="299"/>
      <c r="AH49" s="300"/>
      <c r="AI49" s="319"/>
      <c r="AJ49" s="318"/>
      <c r="AK49" s="418"/>
      <c r="AL49" s="419"/>
      <c r="AM49" s="319"/>
      <c r="AN49" s="318"/>
      <c r="AO49" s="299"/>
      <c r="AP49" s="322"/>
      <c r="AQ49" s="299"/>
      <c r="AR49" s="300"/>
      <c r="AS49" s="319"/>
      <c r="AT49" s="318"/>
      <c r="AU49" s="319"/>
      <c r="AV49" s="323"/>
      <c r="AW49" s="299"/>
      <c r="AX49" s="300"/>
      <c r="AY49" s="317"/>
      <c r="AZ49" s="316"/>
      <c r="BA49" s="294"/>
      <c r="BB49" s="295"/>
      <c r="BC49" s="296"/>
      <c r="BD49" s="284"/>
      <c r="BE49" s="298"/>
      <c r="BF49" s="305"/>
      <c r="BG49" s="302"/>
      <c r="BH49" s="301"/>
      <c r="BI49" s="302"/>
      <c r="BJ49" s="301"/>
      <c r="BK49" s="302"/>
      <c r="BL49" s="301"/>
      <c r="BM49" s="302"/>
      <c r="BN49" s="301"/>
      <c r="BO49" s="302"/>
      <c r="BP49" s="301"/>
      <c r="BQ49" s="302"/>
      <c r="BR49" s="301"/>
      <c r="BS49" s="302"/>
      <c r="BT49" s="301"/>
      <c r="BU49" s="302"/>
      <c r="BV49" s="301"/>
      <c r="BW49" s="302"/>
      <c r="BX49" s="301"/>
      <c r="BY49" s="302"/>
      <c r="BZ49" s="306"/>
      <c r="CA49" s="304"/>
      <c r="CB49" s="294"/>
      <c r="CC49" s="295"/>
      <c r="CD49" s="296"/>
      <c r="CE49" s="284"/>
      <c r="CF49" s="298"/>
      <c r="CG49" s="307"/>
      <c r="CH49" s="308"/>
      <c r="CI49" s="309"/>
      <c r="CJ49" s="310"/>
      <c r="CK49" s="311"/>
      <c r="CL49" s="75"/>
      <c r="CN49" s="161"/>
      <c r="CO49" s="163"/>
      <c r="CP49" s="317"/>
      <c r="CQ49" s="316"/>
      <c r="CR49" s="317"/>
      <c r="CS49" s="316"/>
      <c r="CT49" s="299"/>
      <c r="CU49" s="300"/>
      <c r="CZ49" s="73">
        <v>2</v>
      </c>
      <c r="DA49" s="73">
        <v>2</v>
      </c>
      <c r="DB49" s="73">
        <v>16</v>
      </c>
      <c r="DC49" s="74">
        <f t="shared" si="191"/>
        <v>45704</v>
      </c>
      <c r="DD49" s="68" t="str">
        <f t="shared" si="135"/>
        <v>日</v>
      </c>
      <c r="DF49" s="156"/>
      <c r="DG49" s="156"/>
    </row>
    <row r="50" spans="1:111" ht="28.5" customHeight="1">
      <c r="A50" s="327">
        <f t="shared" si="104"/>
        <v>45705</v>
      </c>
      <c r="B50" s="365" t="str">
        <f t="shared" si="105"/>
        <v>月</v>
      </c>
      <c r="C50" s="329" t="s">
        <v>27</v>
      </c>
      <c r="D50" s="359">
        <v>15</v>
      </c>
      <c r="E50" s="366"/>
      <c r="F50" s="332"/>
      <c r="G50" s="366"/>
      <c r="H50" s="335"/>
      <c r="I50" s="377"/>
      <c r="J50" s="335"/>
      <c r="K50" s="336"/>
      <c r="L50" s="332"/>
      <c r="M50" s="339"/>
      <c r="N50" s="332"/>
      <c r="O50" s="339"/>
      <c r="P50" s="350"/>
      <c r="Q50" s="336"/>
      <c r="R50" s="332"/>
      <c r="S50" s="336"/>
      <c r="T50" s="335"/>
      <c r="U50" s="347"/>
      <c r="V50" s="332"/>
      <c r="W50" s="338"/>
      <c r="X50" s="332"/>
      <c r="Y50" s="339"/>
      <c r="Z50" s="342">
        <f t="shared" ref="Z50" ca="1" si="235">UDayCou(1,ROW())</f>
        <v>9</v>
      </c>
      <c r="AA50" s="343">
        <f t="shared" ref="AA50" ca="1" si="236">UNightCou(1,ROW())</f>
        <v>7</v>
      </c>
      <c r="AB50" s="344">
        <f t="shared" ref="AB50" ca="1" si="237">UNewCou(1,ROW())</f>
        <v>1</v>
      </c>
      <c r="AC50" s="345">
        <f t="shared" si="109"/>
        <v>45705</v>
      </c>
      <c r="AD50" s="371" t="str">
        <f t="shared" si="110"/>
        <v>月</v>
      </c>
      <c r="AE50" s="405"/>
      <c r="AF50" s="336"/>
      <c r="AG50" s="335"/>
      <c r="AH50" s="347"/>
      <c r="AI50" s="332"/>
      <c r="AJ50" s="366"/>
      <c r="AK50" s="420"/>
      <c r="AL50" s="366"/>
      <c r="AM50" s="332"/>
      <c r="AN50" s="336"/>
      <c r="AO50" s="335"/>
      <c r="AP50" s="336"/>
      <c r="AQ50" s="335"/>
      <c r="AR50" s="378"/>
      <c r="AS50" s="332"/>
      <c r="AT50" s="366"/>
      <c r="AU50" s="332"/>
      <c r="AV50" s="339"/>
      <c r="AW50" s="335"/>
      <c r="AX50" s="347"/>
      <c r="AY50" s="359"/>
      <c r="AZ50" s="358"/>
      <c r="BA50" s="342">
        <f ca="1">UDayCou(2,ROW())</f>
        <v>8</v>
      </c>
      <c r="BB50" s="343">
        <f ca="1">UNightCou(2,ROW())</f>
        <v>5</v>
      </c>
      <c r="BC50" s="344">
        <f ca="1">UNewCou(2,ROW())</f>
        <v>1</v>
      </c>
      <c r="BD50" s="327">
        <f t="shared" si="111"/>
        <v>45705</v>
      </c>
      <c r="BE50" s="371" t="str">
        <f t="shared" si="112"/>
        <v>月</v>
      </c>
      <c r="BF50" s="350"/>
      <c r="BG50" s="351"/>
      <c r="BH50" s="330"/>
      <c r="BI50" s="351"/>
      <c r="BJ50" s="330"/>
      <c r="BK50" s="351"/>
      <c r="BL50" s="330"/>
      <c r="BM50" s="351"/>
      <c r="BN50" s="330"/>
      <c r="BO50" s="351"/>
      <c r="BP50" s="330"/>
      <c r="BQ50" s="351"/>
      <c r="BR50" s="330"/>
      <c r="BS50" s="351"/>
      <c r="BT50" s="330"/>
      <c r="BU50" s="351"/>
      <c r="BV50" s="330"/>
      <c r="BW50" s="351"/>
      <c r="BX50" s="330"/>
      <c r="BY50" s="351"/>
      <c r="BZ50" s="389"/>
      <c r="CA50" s="341"/>
      <c r="CB50" s="342">
        <f ca="1">UDayCou(3,ROW())</f>
        <v>0</v>
      </c>
      <c r="CC50" s="343">
        <f ca="1">UNightCou(3,ROW())</f>
        <v>0</v>
      </c>
      <c r="CD50" s="344">
        <f ca="1">UNewCou(3,ROW())</f>
        <v>0</v>
      </c>
      <c r="CE50" s="327">
        <f t="shared" si="113"/>
        <v>45705</v>
      </c>
      <c r="CF50" s="371" t="str">
        <f t="shared" si="114"/>
        <v>月</v>
      </c>
      <c r="CG50" s="352">
        <f t="shared" ref="CG50" ca="1" si="238">Z50+BA50+CB50</f>
        <v>17</v>
      </c>
      <c r="CH50" s="353">
        <f t="shared" ref="CH50" ca="1" si="239">AA50+BB50+CC50</f>
        <v>12</v>
      </c>
      <c r="CI50" s="354">
        <f t="shared" ref="CI50" ca="1" si="240">AB50+BC50+CD50</f>
        <v>2</v>
      </c>
      <c r="CJ50" s="355">
        <f ca="1">COUNTIF(INDIRECT("D98:CA99"),"*●*")</f>
        <v>3</v>
      </c>
      <c r="CK50" s="356">
        <f ca="1">COUNTIF(INDIRECT("D98:CA99"),"*㋷*")</f>
        <v>0</v>
      </c>
      <c r="CL50" s="75"/>
      <c r="CN50" s="160">
        <f t="shared" si="118"/>
        <v>45705</v>
      </c>
      <c r="CO50" s="162" t="str">
        <f t="shared" si="119"/>
        <v>月</v>
      </c>
      <c r="CP50" s="359"/>
      <c r="CQ50" s="358"/>
      <c r="CR50" s="359"/>
      <c r="CS50" s="358"/>
      <c r="CT50" s="335"/>
      <c r="CU50" s="347"/>
      <c r="CZ50" s="73">
        <v>2</v>
      </c>
      <c r="DA50" s="73">
        <v>2</v>
      </c>
      <c r="DB50" s="73">
        <v>17</v>
      </c>
      <c r="DC50" s="74">
        <f t="shared" si="191"/>
        <v>45705</v>
      </c>
      <c r="DD50" s="68" t="str">
        <f t="shared" si="135"/>
        <v>月</v>
      </c>
      <c r="DF50" s="155">
        <f t="shared" ref="DF50" si="241">$DC50</f>
        <v>45705</v>
      </c>
      <c r="DG50" s="156" t="e">
        <f ca="1">IF($CH50&gt;=設定!$E$12,"✕",IF(SS予約表!$CG50&gt;=設定!$E$12,"△","○"))</f>
        <v>#NAME?</v>
      </c>
    </row>
    <row r="51" spans="1:111" ht="29.25" customHeight="1">
      <c r="A51" s="284"/>
      <c r="B51" s="285"/>
      <c r="C51" s="286" t="s">
        <v>28</v>
      </c>
      <c r="D51" s="319"/>
      <c r="E51" s="323"/>
      <c r="F51" s="287"/>
      <c r="G51" s="321"/>
      <c r="H51" s="362"/>
      <c r="I51" s="324"/>
      <c r="J51" s="299"/>
      <c r="K51" s="322"/>
      <c r="L51" s="320"/>
      <c r="M51" s="324"/>
      <c r="N51" s="421"/>
      <c r="O51" s="324"/>
      <c r="P51" s="305"/>
      <c r="Q51" s="318"/>
      <c r="R51" s="319"/>
      <c r="S51" s="318"/>
      <c r="T51" s="319"/>
      <c r="U51" s="323"/>
      <c r="V51" s="319"/>
      <c r="W51" s="318"/>
      <c r="X51" s="319"/>
      <c r="Y51" s="323"/>
      <c r="Z51" s="294"/>
      <c r="AA51" s="295"/>
      <c r="AB51" s="296"/>
      <c r="AC51" s="297"/>
      <c r="AD51" s="298"/>
      <c r="AE51" s="287"/>
      <c r="AF51" s="324"/>
      <c r="AG51" s="319"/>
      <c r="AH51" s="318"/>
      <c r="AI51" s="422"/>
      <c r="AJ51" s="423"/>
      <c r="AK51" s="299"/>
      <c r="AL51" s="300"/>
      <c r="AM51" s="319"/>
      <c r="AN51" s="318"/>
      <c r="AO51" s="299"/>
      <c r="AP51" s="322"/>
      <c r="AQ51" s="319"/>
      <c r="AR51" s="318"/>
      <c r="AS51" s="319"/>
      <c r="AT51" s="323"/>
      <c r="AU51" s="319"/>
      <c r="AV51" s="323"/>
      <c r="AW51" s="319"/>
      <c r="AX51" s="323"/>
      <c r="AY51" s="422"/>
      <c r="AZ51" s="423"/>
      <c r="BA51" s="294"/>
      <c r="BB51" s="295"/>
      <c r="BC51" s="296"/>
      <c r="BD51" s="284"/>
      <c r="BE51" s="298"/>
      <c r="BF51" s="305"/>
      <c r="BG51" s="302"/>
      <c r="BH51" s="301"/>
      <c r="BI51" s="302"/>
      <c r="BJ51" s="301"/>
      <c r="BK51" s="302"/>
      <c r="BL51" s="301"/>
      <c r="BM51" s="302"/>
      <c r="BN51" s="301"/>
      <c r="BO51" s="302"/>
      <c r="BP51" s="301"/>
      <c r="BQ51" s="302"/>
      <c r="BR51" s="301"/>
      <c r="BS51" s="302"/>
      <c r="BT51" s="301"/>
      <c r="BU51" s="302"/>
      <c r="BV51" s="301"/>
      <c r="BW51" s="302"/>
      <c r="BX51" s="301"/>
      <c r="BY51" s="302"/>
      <c r="BZ51" s="306"/>
      <c r="CA51" s="304"/>
      <c r="CB51" s="294"/>
      <c r="CC51" s="295"/>
      <c r="CD51" s="296"/>
      <c r="CE51" s="284"/>
      <c r="CF51" s="298"/>
      <c r="CG51" s="307"/>
      <c r="CH51" s="308"/>
      <c r="CI51" s="309"/>
      <c r="CJ51" s="310"/>
      <c r="CK51" s="311"/>
      <c r="CL51" s="75"/>
      <c r="CN51" s="161"/>
      <c r="CO51" s="163"/>
      <c r="CP51" s="315"/>
      <c r="CQ51" s="316"/>
      <c r="CR51" s="317"/>
      <c r="CS51" s="316"/>
      <c r="CT51" s="299"/>
      <c r="CU51" s="300"/>
      <c r="CZ51" s="73">
        <v>2</v>
      </c>
      <c r="DA51" s="73">
        <v>2</v>
      </c>
      <c r="DB51" s="73">
        <v>17</v>
      </c>
      <c r="DC51" s="74">
        <f t="shared" si="191"/>
        <v>45705</v>
      </c>
      <c r="DD51" s="68" t="str">
        <f t="shared" si="135"/>
        <v>月</v>
      </c>
      <c r="DF51" s="156"/>
      <c r="DG51" s="156"/>
    </row>
    <row r="52" spans="1:111" ht="28.5" customHeight="1">
      <c r="A52" s="327">
        <f t="shared" si="104"/>
        <v>45706</v>
      </c>
      <c r="B52" s="365" t="str">
        <f t="shared" si="105"/>
        <v>火</v>
      </c>
      <c r="C52" s="329" t="s">
        <v>27</v>
      </c>
      <c r="D52" s="332"/>
      <c r="E52" s="339"/>
      <c r="F52" s="405"/>
      <c r="G52" s="381"/>
      <c r="H52" s="370"/>
      <c r="I52" s="337"/>
      <c r="J52" s="335"/>
      <c r="K52" s="336"/>
      <c r="L52" s="333"/>
      <c r="M52" s="377"/>
      <c r="N52" s="424"/>
      <c r="O52" s="336"/>
      <c r="P52" s="350"/>
      <c r="Q52" s="338"/>
      <c r="R52" s="332"/>
      <c r="S52" s="336"/>
      <c r="T52" s="332"/>
      <c r="U52" s="378"/>
      <c r="V52" s="332"/>
      <c r="W52" s="336"/>
      <c r="X52" s="332"/>
      <c r="Y52" s="339"/>
      <c r="Z52" s="342">
        <f t="shared" ref="Z52" ca="1" si="242">UDayCou(1,ROW())</f>
        <v>9</v>
      </c>
      <c r="AA52" s="343">
        <f t="shared" ref="AA52" ca="1" si="243">UNightCou(1,ROW())</f>
        <v>8</v>
      </c>
      <c r="AB52" s="344">
        <f t="shared" ref="AB52" ca="1" si="244">UNewCou(1,ROW())</f>
        <v>1</v>
      </c>
      <c r="AC52" s="345">
        <f t="shared" si="109"/>
        <v>45706</v>
      </c>
      <c r="AD52" s="371" t="str">
        <f t="shared" si="110"/>
        <v>火</v>
      </c>
      <c r="AE52" s="405">
        <v>15</v>
      </c>
      <c r="AF52" s="375"/>
      <c r="AG52" s="332"/>
      <c r="AH52" s="338"/>
      <c r="AI52" s="425"/>
      <c r="AJ52" s="426"/>
      <c r="AK52" s="335"/>
      <c r="AL52" s="347"/>
      <c r="AM52" s="332"/>
      <c r="AN52" s="336"/>
      <c r="AO52" s="335"/>
      <c r="AP52" s="336"/>
      <c r="AQ52" s="332"/>
      <c r="AR52" s="336"/>
      <c r="AS52" s="332"/>
      <c r="AT52" s="339"/>
      <c r="AU52" s="332"/>
      <c r="AV52" s="339"/>
      <c r="AW52" s="335"/>
      <c r="AX52" s="347"/>
      <c r="AY52" s="425"/>
      <c r="AZ52" s="426"/>
      <c r="BA52" s="342">
        <f ca="1">UDayCou(2,ROW())</f>
        <v>8</v>
      </c>
      <c r="BB52" s="343">
        <f ca="1">UNightCou(2,ROW())</f>
        <v>7</v>
      </c>
      <c r="BC52" s="344">
        <f ca="1">UNewCou(2,ROW())</f>
        <v>0</v>
      </c>
      <c r="BD52" s="327">
        <f t="shared" si="111"/>
        <v>45706</v>
      </c>
      <c r="BE52" s="371" t="str">
        <f t="shared" si="112"/>
        <v>火</v>
      </c>
      <c r="BF52" s="350"/>
      <c r="BG52" s="351"/>
      <c r="BH52" s="330"/>
      <c r="BI52" s="351"/>
      <c r="BJ52" s="330"/>
      <c r="BK52" s="351"/>
      <c r="BL52" s="330"/>
      <c r="BM52" s="351"/>
      <c r="BN52" s="330"/>
      <c r="BO52" s="351"/>
      <c r="BP52" s="330"/>
      <c r="BQ52" s="351"/>
      <c r="BR52" s="330"/>
      <c r="BS52" s="351"/>
      <c r="BT52" s="330"/>
      <c r="BU52" s="351"/>
      <c r="BV52" s="330"/>
      <c r="BW52" s="351"/>
      <c r="BX52" s="330"/>
      <c r="BY52" s="351"/>
      <c r="BZ52" s="389"/>
      <c r="CA52" s="341"/>
      <c r="CB52" s="342">
        <f ca="1">UDayCou(3,ROW())</f>
        <v>0</v>
      </c>
      <c r="CC52" s="343">
        <f ca="1">UNightCou(3,ROW())</f>
        <v>0</v>
      </c>
      <c r="CD52" s="344">
        <f ca="1">UNewCou(3,ROW())</f>
        <v>0</v>
      </c>
      <c r="CE52" s="327">
        <f t="shared" si="113"/>
        <v>45706</v>
      </c>
      <c r="CF52" s="371" t="str">
        <f t="shared" si="114"/>
        <v>火</v>
      </c>
      <c r="CG52" s="352">
        <f t="shared" ref="CG52" ca="1" si="245">Z52+BA52+CB52</f>
        <v>17</v>
      </c>
      <c r="CH52" s="353">
        <f t="shared" ref="CH52" ca="1" si="246">AA52+BB52+CC52</f>
        <v>15</v>
      </c>
      <c r="CI52" s="354">
        <f t="shared" ref="CI52" ca="1" si="247">AB52+BC52+CD52</f>
        <v>1</v>
      </c>
      <c r="CJ52" s="355">
        <f ca="1">COUNTIF(INDIRECT("D100:CA101"),"*●*")</f>
        <v>5</v>
      </c>
      <c r="CK52" s="356">
        <f ca="1">COUNTIF(INDIRECT("D100:CA101"),"*㋷*")</f>
        <v>0</v>
      </c>
      <c r="CL52" s="75"/>
      <c r="CN52" s="160">
        <f t="shared" si="118"/>
        <v>45706</v>
      </c>
      <c r="CO52" s="162" t="str">
        <f t="shared" si="119"/>
        <v>火</v>
      </c>
      <c r="CP52" s="357"/>
      <c r="CQ52" s="358"/>
      <c r="CR52" s="359"/>
      <c r="CS52" s="358"/>
      <c r="CT52" s="335"/>
      <c r="CU52" s="347"/>
      <c r="CZ52" s="73">
        <v>2</v>
      </c>
      <c r="DA52" s="73">
        <v>2</v>
      </c>
      <c r="DB52" s="73">
        <v>18</v>
      </c>
      <c r="DC52" s="74">
        <f t="shared" si="191"/>
        <v>45706</v>
      </c>
      <c r="DD52" s="68" t="str">
        <f t="shared" si="135"/>
        <v>火</v>
      </c>
      <c r="DF52" s="155">
        <f t="shared" ref="DF52" si="248">$DC52</f>
        <v>45706</v>
      </c>
      <c r="DG52" s="156" t="e">
        <f ca="1">IF($CH52&gt;=設定!$E$12,"✕",IF(SS予約表!$CG52&gt;=設定!$E$12,"△","○"))</f>
        <v>#NAME?</v>
      </c>
    </row>
    <row r="53" spans="1:111" ht="29.25" customHeight="1">
      <c r="A53" s="284"/>
      <c r="B53" s="285"/>
      <c r="C53" s="286" t="s">
        <v>28</v>
      </c>
      <c r="D53" s="287">
        <v>10</v>
      </c>
      <c r="E53" s="324"/>
      <c r="F53" s="319"/>
      <c r="G53" s="323"/>
      <c r="H53" s="319"/>
      <c r="I53" s="318"/>
      <c r="J53" s="299"/>
      <c r="K53" s="322"/>
      <c r="L53" s="320"/>
      <c r="M53" s="324"/>
      <c r="N53" s="376"/>
      <c r="O53" s="318"/>
      <c r="P53" s="305"/>
      <c r="Q53" s="318"/>
      <c r="R53" s="319"/>
      <c r="S53" s="318"/>
      <c r="T53" s="319"/>
      <c r="U53" s="323"/>
      <c r="V53" s="319"/>
      <c r="W53" s="318"/>
      <c r="X53" s="319"/>
      <c r="Y53" s="323"/>
      <c r="Z53" s="294"/>
      <c r="AA53" s="295"/>
      <c r="AB53" s="296"/>
      <c r="AC53" s="297"/>
      <c r="AD53" s="298"/>
      <c r="AE53" s="319"/>
      <c r="AF53" s="323"/>
      <c r="AG53" s="319"/>
      <c r="AH53" s="318"/>
      <c r="AI53" s="319"/>
      <c r="AJ53" s="318"/>
      <c r="AK53" s="319"/>
      <c r="AL53" s="318"/>
      <c r="AM53" s="319"/>
      <c r="AN53" s="318"/>
      <c r="AO53" s="319"/>
      <c r="AP53" s="318"/>
      <c r="AQ53" s="319"/>
      <c r="AR53" s="318"/>
      <c r="AS53" s="319"/>
      <c r="AT53" s="318"/>
      <c r="AU53" s="319"/>
      <c r="AV53" s="323"/>
      <c r="AW53" s="299"/>
      <c r="AX53" s="300"/>
      <c r="AY53" s="422"/>
      <c r="AZ53" s="423"/>
      <c r="BA53" s="294"/>
      <c r="BB53" s="295"/>
      <c r="BC53" s="296"/>
      <c r="BD53" s="284"/>
      <c r="BE53" s="298"/>
      <c r="BF53" s="305"/>
      <c r="BG53" s="302"/>
      <c r="BH53" s="301"/>
      <c r="BI53" s="302"/>
      <c r="BJ53" s="301"/>
      <c r="BK53" s="302"/>
      <c r="BL53" s="301"/>
      <c r="BM53" s="302"/>
      <c r="BN53" s="301"/>
      <c r="BO53" s="302"/>
      <c r="BP53" s="301"/>
      <c r="BQ53" s="302"/>
      <c r="BR53" s="301"/>
      <c r="BS53" s="302"/>
      <c r="BT53" s="301"/>
      <c r="BU53" s="302"/>
      <c r="BV53" s="301"/>
      <c r="BW53" s="302"/>
      <c r="BX53" s="301"/>
      <c r="BY53" s="302"/>
      <c r="BZ53" s="306"/>
      <c r="CA53" s="304"/>
      <c r="CB53" s="294"/>
      <c r="CC53" s="295"/>
      <c r="CD53" s="296"/>
      <c r="CE53" s="284"/>
      <c r="CF53" s="298"/>
      <c r="CG53" s="307"/>
      <c r="CH53" s="308"/>
      <c r="CI53" s="309"/>
      <c r="CJ53" s="310"/>
      <c r="CK53" s="311"/>
      <c r="CL53" s="75"/>
      <c r="CN53" s="161"/>
      <c r="CO53" s="163"/>
      <c r="CP53" s="315"/>
      <c r="CQ53" s="316"/>
      <c r="CR53" s="317"/>
      <c r="CS53" s="316"/>
      <c r="CT53" s="317"/>
      <c r="CU53" s="316"/>
      <c r="CZ53" s="73">
        <v>2</v>
      </c>
      <c r="DA53" s="73">
        <v>2</v>
      </c>
      <c r="DB53" s="73">
        <v>18</v>
      </c>
      <c r="DC53" s="74">
        <f t="shared" si="191"/>
        <v>45706</v>
      </c>
      <c r="DD53" s="68" t="str">
        <f t="shared" si="135"/>
        <v>火</v>
      </c>
      <c r="DF53" s="156"/>
      <c r="DG53" s="156"/>
    </row>
    <row r="54" spans="1:111" ht="28.5" customHeight="1">
      <c r="A54" s="327">
        <f t="shared" si="104"/>
        <v>45707</v>
      </c>
      <c r="B54" s="365" t="str">
        <f t="shared" si="105"/>
        <v>水</v>
      </c>
      <c r="C54" s="329" t="s">
        <v>27</v>
      </c>
      <c r="D54" s="405"/>
      <c r="E54" s="377"/>
      <c r="F54" s="332"/>
      <c r="G54" s="339"/>
      <c r="H54" s="332"/>
      <c r="I54" s="336"/>
      <c r="J54" s="335"/>
      <c r="K54" s="427"/>
      <c r="L54" s="333"/>
      <c r="M54" s="336"/>
      <c r="N54" s="380"/>
      <c r="O54" s="336"/>
      <c r="P54" s="350"/>
      <c r="Q54" s="338"/>
      <c r="R54" s="332"/>
      <c r="S54" s="338"/>
      <c r="T54" s="332"/>
      <c r="U54" s="339"/>
      <c r="V54" s="332"/>
      <c r="W54" s="336"/>
      <c r="X54" s="332"/>
      <c r="Y54" s="378"/>
      <c r="Z54" s="342">
        <f t="shared" ref="Z54" ca="1" si="249">UDayCou(1,ROW())</f>
        <v>10</v>
      </c>
      <c r="AA54" s="343">
        <f t="shared" ref="AA54" ca="1" si="250">UNightCou(1,ROW())</f>
        <v>9</v>
      </c>
      <c r="AB54" s="344">
        <f t="shared" ref="AB54" ca="1" si="251">UNewCou(1,ROW())</f>
        <v>1</v>
      </c>
      <c r="AC54" s="345">
        <f t="shared" si="109"/>
        <v>45707</v>
      </c>
      <c r="AD54" s="371" t="str">
        <f t="shared" si="110"/>
        <v>水</v>
      </c>
      <c r="AE54" s="332"/>
      <c r="AF54" s="339"/>
      <c r="AG54" s="332"/>
      <c r="AH54" s="338"/>
      <c r="AI54" s="332"/>
      <c r="AJ54" s="338"/>
      <c r="AK54" s="332"/>
      <c r="AL54" s="336"/>
      <c r="AM54" s="332"/>
      <c r="AN54" s="338"/>
      <c r="AO54" s="332"/>
      <c r="AP54" s="336"/>
      <c r="AQ54" s="332"/>
      <c r="AR54" s="338"/>
      <c r="AS54" s="332"/>
      <c r="AT54" s="338"/>
      <c r="AU54" s="332"/>
      <c r="AV54" s="339"/>
      <c r="AW54" s="335"/>
      <c r="AX54" s="347"/>
      <c r="AY54" s="425"/>
      <c r="AZ54" s="426"/>
      <c r="BA54" s="342">
        <f ca="1">UDayCou(2,ROW())</f>
        <v>9</v>
      </c>
      <c r="BB54" s="343">
        <f ca="1">UNightCou(2,ROW())</f>
        <v>9</v>
      </c>
      <c r="BC54" s="344">
        <f ca="1">UNewCou(2,ROW())</f>
        <v>0</v>
      </c>
      <c r="BD54" s="327">
        <f t="shared" si="111"/>
        <v>45707</v>
      </c>
      <c r="BE54" s="371" t="str">
        <f t="shared" si="112"/>
        <v>水</v>
      </c>
      <c r="BF54" s="350"/>
      <c r="BG54" s="351"/>
      <c r="BH54" s="330"/>
      <c r="BI54" s="351"/>
      <c r="BJ54" s="330"/>
      <c r="BK54" s="351"/>
      <c r="BL54" s="330"/>
      <c r="BM54" s="351"/>
      <c r="BN54" s="330"/>
      <c r="BO54" s="351"/>
      <c r="BP54" s="330"/>
      <c r="BQ54" s="351"/>
      <c r="BR54" s="330"/>
      <c r="BS54" s="351"/>
      <c r="BT54" s="330"/>
      <c r="BU54" s="351"/>
      <c r="BV54" s="330"/>
      <c r="BW54" s="351"/>
      <c r="BX54" s="330"/>
      <c r="BY54" s="351"/>
      <c r="BZ54" s="389"/>
      <c r="CA54" s="341"/>
      <c r="CB54" s="342">
        <f ca="1">UDayCou(3,ROW())</f>
        <v>0</v>
      </c>
      <c r="CC54" s="343">
        <f ca="1">UNightCou(3,ROW())</f>
        <v>0</v>
      </c>
      <c r="CD54" s="344">
        <f ca="1">UNewCou(3,ROW())</f>
        <v>0</v>
      </c>
      <c r="CE54" s="327">
        <f t="shared" si="113"/>
        <v>45707</v>
      </c>
      <c r="CF54" s="371" t="str">
        <f t="shared" si="114"/>
        <v>水</v>
      </c>
      <c r="CG54" s="352">
        <f t="shared" ref="CG54" ca="1" si="252">Z54+BA54+CB54</f>
        <v>19</v>
      </c>
      <c r="CH54" s="353">
        <f t="shared" ref="CH54" ca="1" si="253">AA54+BB54+CC54</f>
        <v>18</v>
      </c>
      <c r="CI54" s="354">
        <f t="shared" ref="CI54" ca="1" si="254">AB54+BC54+CD54</f>
        <v>1</v>
      </c>
      <c r="CJ54" s="355">
        <f ca="1">COUNTIF(INDIRECT("D102:CA103"),"*●*")</f>
        <v>4</v>
      </c>
      <c r="CK54" s="356">
        <f ca="1">COUNTIF(INDIRECT("D102:CA103"),"*㋷*")</f>
        <v>0</v>
      </c>
      <c r="CL54" s="75"/>
      <c r="CN54" s="160">
        <f t="shared" si="118"/>
        <v>45707</v>
      </c>
      <c r="CO54" s="162" t="str">
        <f t="shared" si="119"/>
        <v>水</v>
      </c>
      <c r="CP54" s="357"/>
      <c r="CQ54" s="358"/>
      <c r="CR54" s="359"/>
      <c r="CS54" s="358"/>
      <c r="CT54" s="359"/>
      <c r="CU54" s="358"/>
      <c r="CZ54" s="73">
        <v>2</v>
      </c>
      <c r="DA54" s="73">
        <v>2</v>
      </c>
      <c r="DB54" s="73">
        <v>19</v>
      </c>
      <c r="DC54" s="74">
        <f t="shared" si="191"/>
        <v>45707</v>
      </c>
      <c r="DD54" s="68" t="str">
        <f t="shared" si="135"/>
        <v>水</v>
      </c>
      <c r="DF54" s="155">
        <f t="shared" ref="DF54" si="255">$DC54</f>
        <v>45707</v>
      </c>
      <c r="DG54" s="156" t="e">
        <f ca="1">IF($CH54&gt;=設定!$E$12,"✕",IF(SS予約表!$CG54&gt;=設定!$E$12,"△","○"))</f>
        <v>#NAME?</v>
      </c>
    </row>
    <row r="55" spans="1:111" ht="29.25" customHeight="1">
      <c r="A55" s="284"/>
      <c r="B55" s="285"/>
      <c r="C55" s="286" t="s">
        <v>28</v>
      </c>
      <c r="D55" s="287"/>
      <c r="E55" s="324"/>
      <c r="F55" s="319"/>
      <c r="G55" s="318"/>
      <c r="H55" s="319"/>
      <c r="I55" s="318"/>
      <c r="J55" s="319"/>
      <c r="K55" s="318"/>
      <c r="L55" s="320"/>
      <c r="M55" s="324"/>
      <c r="N55" s="376"/>
      <c r="O55" s="318"/>
      <c r="P55" s="305"/>
      <c r="Q55" s="318"/>
      <c r="R55" s="319"/>
      <c r="S55" s="318"/>
      <c r="T55" s="319"/>
      <c r="U55" s="323"/>
      <c r="V55" s="319"/>
      <c r="W55" s="318"/>
      <c r="X55" s="319"/>
      <c r="Y55" s="323"/>
      <c r="Z55" s="294"/>
      <c r="AA55" s="295"/>
      <c r="AB55" s="296"/>
      <c r="AC55" s="297"/>
      <c r="AD55" s="298"/>
      <c r="AE55" s="319">
        <v>10</v>
      </c>
      <c r="AF55" s="318"/>
      <c r="AG55" s="319"/>
      <c r="AH55" s="318"/>
      <c r="AI55" s="319"/>
      <c r="AJ55" s="318"/>
      <c r="AK55" s="319"/>
      <c r="AL55" s="318"/>
      <c r="AM55" s="319"/>
      <c r="AN55" s="318"/>
      <c r="AO55" s="319"/>
      <c r="AP55" s="318"/>
      <c r="AQ55" s="319"/>
      <c r="AR55" s="318"/>
      <c r="AS55" s="319"/>
      <c r="AT55" s="318"/>
      <c r="AU55" s="319"/>
      <c r="AV55" s="318"/>
      <c r="AW55" s="299"/>
      <c r="AX55" s="300"/>
      <c r="AY55" s="422"/>
      <c r="AZ55" s="423"/>
      <c r="BA55" s="294"/>
      <c r="BB55" s="295"/>
      <c r="BC55" s="296"/>
      <c r="BD55" s="284"/>
      <c r="BE55" s="298"/>
      <c r="BF55" s="305"/>
      <c r="BG55" s="302"/>
      <c r="BH55" s="301"/>
      <c r="BI55" s="302"/>
      <c r="BJ55" s="301"/>
      <c r="BK55" s="302"/>
      <c r="BL55" s="301"/>
      <c r="BM55" s="302"/>
      <c r="BN55" s="301"/>
      <c r="BO55" s="302"/>
      <c r="BP55" s="301"/>
      <c r="BQ55" s="302"/>
      <c r="BR55" s="301"/>
      <c r="BS55" s="302"/>
      <c r="BT55" s="301"/>
      <c r="BU55" s="302"/>
      <c r="BV55" s="301"/>
      <c r="BW55" s="302"/>
      <c r="BX55" s="301"/>
      <c r="BY55" s="302"/>
      <c r="BZ55" s="306"/>
      <c r="CA55" s="304"/>
      <c r="CB55" s="294"/>
      <c r="CC55" s="295"/>
      <c r="CD55" s="296"/>
      <c r="CE55" s="284"/>
      <c r="CF55" s="298"/>
      <c r="CG55" s="307"/>
      <c r="CH55" s="308"/>
      <c r="CI55" s="309"/>
      <c r="CJ55" s="310"/>
      <c r="CK55" s="311"/>
      <c r="CL55" s="75"/>
      <c r="CN55" s="161"/>
      <c r="CO55" s="163"/>
      <c r="CP55" s="315"/>
      <c r="CQ55" s="316"/>
      <c r="CR55" s="317"/>
      <c r="CS55" s="316"/>
      <c r="CT55" s="317"/>
      <c r="CU55" s="316"/>
      <c r="CZ55" s="73">
        <v>2</v>
      </c>
      <c r="DA55" s="73">
        <v>2</v>
      </c>
      <c r="DB55" s="73">
        <v>19</v>
      </c>
      <c r="DC55" s="74">
        <f t="shared" si="191"/>
        <v>45707</v>
      </c>
      <c r="DD55" s="68" t="str">
        <f t="shared" si="135"/>
        <v>水</v>
      </c>
      <c r="DF55" s="156"/>
      <c r="DG55" s="156"/>
    </row>
    <row r="56" spans="1:111" ht="28.5" customHeight="1">
      <c r="A56" s="327">
        <f t="shared" si="104"/>
        <v>45708</v>
      </c>
      <c r="B56" s="365" t="str">
        <f t="shared" si="105"/>
        <v>木</v>
      </c>
      <c r="C56" s="329" t="s">
        <v>27</v>
      </c>
      <c r="D56" s="405"/>
      <c r="E56" s="377"/>
      <c r="F56" s="332"/>
      <c r="G56" s="338"/>
      <c r="H56" s="332"/>
      <c r="I56" s="366"/>
      <c r="J56" s="332"/>
      <c r="K56" s="336"/>
      <c r="L56" s="333"/>
      <c r="M56" s="337"/>
      <c r="N56" s="380"/>
      <c r="O56" s="338"/>
      <c r="P56" s="350"/>
      <c r="Q56" s="336"/>
      <c r="R56" s="332"/>
      <c r="S56" s="336"/>
      <c r="T56" s="332"/>
      <c r="U56" s="378"/>
      <c r="V56" s="332"/>
      <c r="W56" s="338"/>
      <c r="X56" s="332"/>
      <c r="Y56" s="339"/>
      <c r="Z56" s="342">
        <f t="shared" ref="Z56" ca="1" si="256">UDayCou(1,ROW())</f>
        <v>10</v>
      </c>
      <c r="AA56" s="343">
        <f t="shared" ref="AA56" ca="1" si="257">UNightCou(1,ROW())</f>
        <v>8</v>
      </c>
      <c r="AB56" s="344">
        <f t="shared" ref="AB56" ca="1" si="258">UNewCou(1,ROW())</f>
        <v>1</v>
      </c>
      <c r="AC56" s="345">
        <f t="shared" si="109"/>
        <v>45708</v>
      </c>
      <c r="AD56" s="371" t="str">
        <f t="shared" si="110"/>
        <v>木</v>
      </c>
      <c r="AE56" s="332">
        <v>15</v>
      </c>
      <c r="AF56" s="366"/>
      <c r="AG56" s="332"/>
      <c r="AH56" s="336"/>
      <c r="AI56" s="332"/>
      <c r="AJ56" s="336"/>
      <c r="AK56" s="332"/>
      <c r="AL56" s="366"/>
      <c r="AM56" s="332"/>
      <c r="AN56" s="336"/>
      <c r="AO56" s="332"/>
      <c r="AP56" s="336"/>
      <c r="AQ56" s="332"/>
      <c r="AR56" s="338"/>
      <c r="AS56" s="332"/>
      <c r="AT56" s="336"/>
      <c r="AU56" s="332"/>
      <c r="AV56" s="336"/>
      <c r="AW56" s="335"/>
      <c r="AX56" s="347"/>
      <c r="AY56" s="425"/>
      <c r="AZ56" s="426"/>
      <c r="BA56" s="342">
        <f ca="1">UDayCou(2,ROW())</f>
        <v>9</v>
      </c>
      <c r="BB56" s="343">
        <f ca="1">UNightCou(2,ROW())</f>
        <v>7</v>
      </c>
      <c r="BC56" s="344">
        <f ca="1">UNewCou(2,ROW())</f>
        <v>0</v>
      </c>
      <c r="BD56" s="327">
        <f t="shared" si="111"/>
        <v>45708</v>
      </c>
      <c r="BE56" s="371" t="str">
        <f t="shared" si="112"/>
        <v>木</v>
      </c>
      <c r="BF56" s="350"/>
      <c r="BG56" s="351"/>
      <c r="BH56" s="330"/>
      <c r="BI56" s="351"/>
      <c r="BJ56" s="330"/>
      <c r="BK56" s="351"/>
      <c r="BL56" s="330"/>
      <c r="BM56" s="351"/>
      <c r="BN56" s="330"/>
      <c r="BO56" s="351"/>
      <c r="BP56" s="330"/>
      <c r="BQ56" s="351"/>
      <c r="BR56" s="330"/>
      <c r="BS56" s="351"/>
      <c r="BT56" s="330"/>
      <c r="BU56" s="351"/>
      <c r="BV56" s="330"/>
      <c r="BW56" s="351"/>
      <c r="BX56" s="330"/>
      <c r="BY56" s="351"/>
      <c r="BZ56" s="389"/>
      <c r="CA56" s="341"/>
      <c r="CB56" s="342">
        <f ca="1">UDayCou(3,ROW())</f>
        <v>0</v>
      </c>
      <c r="CC56" s="343">
        <f ca="1">UNightCou(3,ROW())</f>
        <v>0</v>
      </c>
      <c r="CD56" s="344">
        <f ca="1">UNewCou(3,ROW())</f>
        <v>0</v>
      </c>
      <c r="CE56" s="327">
        <f t="shared" si="113"/>
        <v>45708</v>
      </c>
      <c r="CF56" s="371" t="str">
        <f t="shared" si="114"/>
        <v>木</v>
      </c>
      <c r="CG56" s="352">
        <f t="shared" ref="CG56" ca="1" si="259">Z56+BA56+CB56</f>
        <v>19</v>
      </c>
      <c r="CH56" s="353">
        <f t="shared" ref="CH56" ca="1" si="260">AA56+BB56+CC56</f>
        <v>15</v>
      </c>
      <c r="CI56" s="354">
        <f t="shared" ref="CI56" ca="1" si="261">AB56+BC56+CD56</f>
        <v>1</v>
      </c>
      <c r="CJ56" s="355">
        <f ca="1">COUNTIF(INDIRECT("D104:CA105"),"*●*")</f>
        <v>2</v>
      </c>
      <c r="CK56" s="356">
        <f ca="1">COUNTIF(INDIRECT("D104:CA105"),"*㋷*")</f>
        <v>0</v>
      </c>
      <c r="CL56" s="75"/>
      <c r="CN56" s="160">
        <f t="shared" si="118"/>
        <v>45708</v>
      </c>
      <c r="CO56" s="162" t="str">
        <f t="shared" si="119"/>
        <v>木</v>
      </c>
      <c r="CP56" s="357"/>
      <c r="CQ56" s="358"/>
      <c r="CR56" s="359"/>
      <c r="CS56" s="358"/>
      <c r="CT56" s="359"/>
      <c r="CU56" s="358"/>
      <c r="CZ56" s="73">
        <v>2</v>
      </c>
      <c r="DA56" s="73">
        <v>2</v>
      </c>
      <c r="DB56" s="73">
        <v>20</v>
      </c>
      <c r="DC56" s="74">
        <f t="shared" si="191"/>
        <v>45708</v>
      </c>
      <c r="DD56" s="68" t="str">
        <f t="shared" si="135"/>
        <v>木</v>
      </c>
      <c r="DF56" s="155">
        <f t="shared" ref="DF56" si="262">$DC56</f>
        <v>45708</v>
      </c>
      <c r="DG56" s="156" t="e">
        <f ca="1">IF($CH56&gt;=設定!$E$12,"✕",IF(SS予約表!$CG56&gt;=設定!$E$12,"△","○"))</f>
        <v>#NAME?</v>
      </c>
    </row>
    <row r="57" spans="1:111" ht="29.25" customHeight="1" thickBot="1">
      <c r="A57" s="284"/>
      <c r="B57" s="285"/>
      <c r="C57" s="286" t="s">
        <v>28</v>
      </c>
      <c r="D57" s="287"/>
      <c r="E57" s="324"/>
      <c r="F57" s="319"/>
      <c r="G57" s="318"/>
      <c r="H57" s="319"/>
      <c r="I57" s="323"/>
      <c r="J57" s="319"/>
      <c r="K57" s="318"/>
      <c r="L57" s="319"/>
      <c r="M57" s="323"/>
      <c r="N57" s="376"/>
      <c r="O57" s="318"/>
      <c r="P57" s="305"/>
      <c r="Q57" s="318"/>
      <c r="R57" s="319"/>
      <c r="S57" s="318"/>
      <c r="T57" s="299"/>
      <c r="U57" s="324"/>
      <c r="V57" s="319"/>
      <c r="W57" s="318"/>
      <c r="X57" s="319"/>
      <c r="Y57" s="323"/>
      <c r="Z57" s="294"/>
      <c r="AA57" s="295"/>
      <c r="AB57" s="296"/>
      <c r="AC57" s="297"/>
      <c r="AD57" s="298"/>
      <c r="AE57" s="299"/>
      <c r="AF57" s="300"/>
      <c r="AG57" s="319"/>
      <c r="AH57" s="318"/>
      <c r="AI57" s="319"/>
      <c r="AJ57" s="318"/>
      <c r="AK57" s="319"/>
      <c r="AL57" s="323"/>
      <c r="AM57" s="319"/>
      <c r="AN57" s="318"/>
      <c r="AO57" s="319"/>
      <c r="AP57" s="318"/>
      <c r="AQ57" s="319"/>
      <c r="AR57" s="318"/>
      <c r="AS57" s="319"/>
      <c r="AT57" s="318"/>
      <c r="AU57" s="319"/>
      <c r="AV57" s="318"/>
      <c r="AW57" s="299"/>
      <c r="AX57" s="300"/>
      <c r="AY57" s="325"/>
      <c r="AZ57" s="326"/>
      <c r="BA57" s="294"/>
      <c r="BB57" s="295"/>
      <c r="BC57" s="296"/>
      <c r="BD57" s="284"/>
      <c r="BE57" s="298"/>
      <c r="BF57" s="305"/>
      <c r="BG57" s="302"/>
      <c r="BH57" s="301"/>
      <c r="BI57" s="302"/>
      <c r="BJ57" s="301"/>
      <c r="BK57" s="302"/>
      <c r="BL57" s="301"/>
      <c r="BM57" s="302"/>
      <c r="BN57" s="301"/>
      <c r="BO57" s="302"/>
      <c r="BP57" s="301"/>
      <c r="BQ57" s="302"/>
      <c r="BR57" s="301"/>
      <c r="BS57" s="302"/>
      <c r="BT57" s="301"/>
      <c r="BU57" s="302"/>
      <c r="BV57" s="301"/>
      <c r="BW57" s="302"/>
      <c r="BX57" s="301"/>
      <c r="BY57" s="302"/>
      <c r="BZ57" s="306"/>
      <c r="CA57" s="304"/>
      <c r="CB57" s="294"/>
      <c r="CC57" s="295"/>
      <c r="CD57" s="296"/>
      <c r="CE57" s="284"/>
      <c r="CF57" s="298"/>
      <c r="CG57" s="307"/>
      <c r="CH57" s="308"/>
      <c r="CI57" s="309"/>
      <c r="CJ57" s="310"/>
      <c r="CK57" s="311"/>
      <c r="CL57" s="75"/>
      <c r="CN57" s="161"/>
      <c r="CO57" s="163"/>
      <c r="CP57" s="315"/>
      <c r="CQ57" s="316"/>
      <c r="CR57" s="317"/>
      <c r="CS57" s="316"/>
      <c r="CT57" s="317"/>
      <c r="CU57" s="316"/>
      <c r="CZ57" s="73">
        <v>2</v>
      </c>
      <c r="DA57" s="73">
        <v>2</v>
      </c>
      <c r="DB57" s="73">
        <v>20</v>
      </c>
      <c r="DC57" s="74">
        <f t="shared" si="191"/>
        <v>45708</v>
      </c>
      <c r="DD57" s="68" t="str">
        <f t="shared" si="135"/>
        <v>木</v>
      </c>
      <c r="DF57" s="156"/>
      <c r="DG57" s="156"/>
    </row>
    <row r="58" spans="1:111" ht="28.5" customHeight="1">
      <c r="A58" s="491">
        <f t="shared" si="104"/>
        <v>45709</v>
      </c>
      <c r="B58" s="524" t="str">
        <f t="shared" si="105"/>
        <v>金</v>
      </c>
      <c r="C58" s="493" t="s">
        <v>27</v>
      </c>
      <c r="D58" s="542"/>
      <c r="E58" s="500"/>
      <c r="F58" s="496"/>
      <c r="G58" s="500"/>
      <c r="H58" s="496"/>
      <c r="I58" s="539"/>
      <c r="J58" s="496"/>
      <c r="K58" s="525"/>
      <c r="L58" s="496"/>
      <c r="M58" s="503"/>
      <c r="N58" s="535"/>
      <c r="O58" s="500"/>
      <c r="P58" s="514"/>
      <c r="Q58" s="525"/>
      <c r="R58" s="496"/>
      <c r="S58" s="525"/>
      <c r="T58" s="499"/>
      <c r="U58" s="527"/>
      <c r="V58" s="496"/>
      <c r="W58" s="500"/>
      <c r="X58" s="496"/>
      <c r="Y58" s="503"/>
      <c r="Z58" s="506">
        <f t="shared" ref="Z58" ca="1" si="263">UDayCou(1,ROW())</f>
        <v>12</v>
      </c>
      <c r="AA58" s="507">
        <f t="shared" ref="AA58" ca="1" si="264">UNightCou(1,ROW())</f>
        <v>9</v>
      </c>
      <c r="AB58" s="508">
        <f t="shared" ref="AB58" ca="1" si="265">UNewCou(1,ROW())</f>
        <v>2</v>
      </c>
      <c r="AC58" s="509">
        <f t="shared" si="109"/>
        <v>45709</v>
      </c>
      <c r="AD58" s="531" t="str">
        <f t="shared" si="110"/>
        <v>金</v>
      </c>
      <c r="AE58" s="499"/>
      <c r="AF58" s="511"/>
      <c r="AG58" s="496"/>
      <c r="AH58" s="525"/>
      <c r="AI58" s="496"/>
      <c r="AJ58" s="525"/>
      <c r="AK58" s="496"/>
      <c r="AL58" s="503"/>
      <c r="AM58" s="496"/>
      <c r="AN58" s="500"/>
      <c r="AO58" s="496"/>
      <c r="AP58" s="500"/>
      <c r="AQ58" s="496"/>
      <c r="AR58" s="500"/>
      <c r="AS58" s="496"/>
      <c r="AT58" s="502"/>
      <c r="AU58" s="496"/>
      <c r="AV58" s="502"/>
      <c r="AW58" s="499"/>
      <c r="AX58" s="511"/>
      <c r="AY58" s="512"/>
      <c r="AZ58" s="513"/>
      <c r="BA58" s="506">
        <f ca="1">UDayCou(2,ROW())</f>
        <v>10</v>
      </c>
      <c r="BB58" s="507">
        <f ca="1">UNightCou(2,ROW())</f>
        <v>8</v>
      </c>
      <c r="BC58" s="508">
        <f ca="1">UNewCou(2,ROW())</f>
        <v>0</v>
      </c>
      <c r="BD58" s="491">
        <f t="shared" si="111"/>
        <v>45709</v>
      </c>
      <c r="BE58" s="531" t="str">
        <f t="shared" si="112"/>
        <v>金</v>
      </c>
      <c r="BF58" s="514"/>
      <c r="BG58" s="515"/>
      <c r="BH58" s="494"/>
      <c r="BI58" s="515"/>
      <c r="BJ58" s="494"/>
      <c r="BK58" s="515"/>
      <c r="BL58" s="494"/>
      <c r="BM58" s="515"/>
      <c r="BN58" s="494"/>
      <c r="BO58" s="515"/>
      <c r="BP58" s="494"/>
      <c r="BQ58" s="515"/>
      <c r="BR58" s="494"/>
      <c r="BS58" s="515"/>
      <c r="BT58" s="494"/>
      <c r="BU58" s="515"/>
      <c r="BV58" s="494"/>
      <c r="BW58" s="515"/>
      <c r="BX58" s="494"/>
      <c r="BY58" s="515"/>
      <c r="BZ58" s="530"/>
      <c r="CA58" s="505"/>
      <c r="CB58" s="506">
        <f ca="1">UDayCou(3,ROW())</f>
        <v>0</v>
      </c>
      <c r="CC58" s="507">
        <f ca="1">UNightCou(3,ROW())</f>
        <v>0</v>
      </c>
      <c r="CD58" s="508">
        <f ca="1">UNewCou(3,ROW())</f>
        <v>0</v>
      </c>
      <c r="CE58" s="491">
        <f t="shared" si="113"/>
        <v>45709</v>
      </c>
      <c r="CF58" s="531" t="str">
        <f t="shared" si="114"/>
        <v>金</v>
      </c>
      <c r="CG58" s="516">
        <f t="shared" ref="CG58" ca="1" si="266">Z58+BA58+CB58</f>
        <v>22</v>
      </c>
      <c r="CH58" s="517">
        <f t="shared" ref="CH58" ca="1" si="267">AA58+BB58+CC58</f>
        <v>17</v>
      </c>
      <c r="CI58" s="518">
        <f t="shared" ref="CI58" ca="1" si="268">AB58+BC58+CD58</f>
        <v>2</v>
      </c>
      <c r="CJ58" s="519">
        <f ca="1">COUNTIF(INDIRECT("D106:CA107"),"*●*")</f>
        <v>6</v>
      </c>
      <c r="CK58" s="520">
        <f ca="1">COUNTIF(INDIRECT("D106:CA107"),"*㋷*")</f>
        <v>0</v>
      </c>
      <c r="CL58" s="75"/>
      <c r="CN58" s="164">
        <f t="shared" si="118"/>
        <v>45709</v>
      </c>
      <c r="CO58" s="165" t="str">
        <f t="shared" si="119"/>
        <v>金</v>
      </c>
      <c r="CP58" s="521"/>
      <c r="CQ58" s="522"/>
      <c r="CR58" s="523"/>
      <c r="CS58" s="522"/>
      <c r="CT58" s="523"/>
      <c r="CU58" s="522"/>
      <c r="CZ58" s="73">
        <v>2</v>
      </c>
      <c r="DA58" s="73">
        <v>2</v>
      </c>
      <c r="DB58" s="73">
        <v>21</v>
      </c>
      <c r="DC58" s="74">
        <f t="shared" si="191"/>
        <v>45709</v>
      </c>
      <c r="DD58" s="68" t="str">
        <f t="shared" si="135"/>
        <v>金</v>
      </c>
      <c r="DF58" s="155">
        <f t="shared" ref="DF58" si="269">$DC58</f>
        <v>45709</v>
      </c>
      <c r="DG58" s="156" t="e">
        <f ca="1">IF($CH58&gt;=設定!$E$12,"✕",IF(SS予約表!$CG58&gt;=設定!$E$12,"△","○"))</f>
        <v>#NAME?</v>
      </c>
    </row>
    <row r="59" spans="1:111" ht="29.25" customHeight="1">
      <c r="A59" s="284"/>
      <c r="B59" s="285"/>
      <c r="C59" s="286" t="s">
        <v>28</v>
      </c>
      <c r="D59" s="305"/>
      <c r="E59" s="318"/>
      <c r="F59" s="319"/>
      <c r="G59" s="318"/>
      <c r="H59" s="376"/>
      <c r="I59" s="401"/>
      <c r="J59" s="319"/>
      <c r="K59" s="323"/>
      <c r="L59" s="319"/>
      <c r="M59" s="318"/>
      <c r="N59" s="376"/>
      <c r="O59" s="318"/>
      <c r="P59" s="319"/>
      <c r="Q59" s="318"/>
      <c r="R59" s="319"/>
      <c r="S59" s="318"/>
      <c r="T59" s="299"/>
      <c r="U59" s="324"/>
      <c r="V59" s="319"/>
      <c r="W59" s="318"/>
      <c r="X59" s="319"/>
      <c r="Y59" s="323"/>
      <c r="Z59" s="294"/>
      <c r="AA59" s="295"/>
      <c r="AB59" s="296"/>
      <c r="AC59" s="297"/>
      <c r="AD59" s="298"/>
      <c r="AE59" s="319"/>
      <c r="AF59" s="323"/>
      <c r="AG59" s="319"/>
      <c r="AH59" s="323"/>
      <c r="AI59" s="319"/>
      <c r="AJ59" s="318"/>
      <c r="AK59" s="319"/>
      <c r="AL59" s="318"/>
      <c r="AM59" s="319"/>
      <c r="AN59" s="318"/>
      <c r="AO59" s="319"/>
      <c r="AP59" s="318"/>
      <c r="AQ59" s="319"/>
      <c r="AR59" s="318"/>
      <c r="AS59" s="319"/>
      <c r="AT59" s="318"/>
      <c r="AU59" s="319"/>
      <c r="AV59" s="318"/>
      <c r="AW59" s="319"/>
      <c r="AX59" s="318"/>
      <c r="AY59" s="422"/>
      <c r="AZ59" s="423"/>
      <c r="BA59" s="294"/>
      <c r="BB59" s="295"/>
      <c r="BC59" s="296"/>
      <c r="BD59" s="284"/>
      <c r="BE59" s="298"/>
      <c r="BF59" s="305"/>
      <c r="BG59" s="302"/>
      <c r="BH59" s="301"/>
      <c r="BI59" s="302"/>
      <c r="BJ59" s="301"/>
      <c r="BK59" s="302"/>
      <c r="BL59" s="301"/>
      <c r="BM59" s="302"/>
      <c r="BN59" s="301"/>
      <c r="BO59" s="302"/>
      <c r="BP59" s="301"/>
      <c r="BQ59" s="302"/>
      <c r="BR59" s="301"/>
      <c r="BS59" s="302"/>
      <c r="BT59" s="301"/>
      <c r="BU59" s="302"/>
      <c r="BV59" s="301"/>
      <c r="BW59" s="302"/>
      <c r="BX59" s="301"/>
      <c r="BY59" s="302"/>
      <c r="BZ59" s="306"/>
      <c r="CA59" s="304"/>
      <c r="CB59" s="294"/>
      <c r="CC59" s="295"/>
      <c r="CD59" s="296"/>
      <c r="CE59" s="284"/>
      <c r="CF59" s="298"/>
      <c r="CG59" s="307"/>
      <c r="CH59" s="308"/>
      <c r="CI59" s="309"/>
      <c r="CJ59" s="310"/>
      <c r="CK59" s="311"/>
      <c r="CL59" s="75"/>
      <c r="CN59" s="161"/>
      <c r="CO59" s="163"/>
      <c r="CP59" s="315"/>
      <c r="CQ59" s="316"/>
      <c r="CR59" s="317"/>
      <c r="CS59" s="316"/>
      <c r="CT59" s="317"/>
      <c r="CU59" s="316"/>
      <c r="CZ59" s="73">
        <v>2</v>
      </c>
      <c r="DA59" s="73">
        <v>2</v>
      </c>
      <c r="DB59" s="73">
        <v>21</v>
      </c>
      <c r="DC59" s="74">
        <f t="shared" si="191"/>
        <v>45709</v>
      </c>
      <c r="DD59" s="68" t="str">
        <f t="shared" si="135"/>
        <v>金</v>
      </c>
      <c r="DF59" s="156"/>
      <c r="DG59" s="156"/>
    </row>
    <row r="60" spans="1:111" ht="28.5" customHeight="1">
      <c r="A60" s="327">
        <f t="shared" si="104"/>
        <v>45710</v>
      </c>
      <c r="B60" s="393" t="str">
        <f t="shared" si="105"/>
        <v>土</v>
      </c>
      <c r="C60" s="329" t="s">
        <v>27</v>
      </c>
      <c r="D60" s="350">
        <v>15</v>
      </c>
      <c r="E60" s="366"/>
      <c r="F60" s="332"/>
      <c r="G60" s="366"/>
      <c r="H60" s="402"/>
      <c r="I60" s="366"/>
      <c r="J60" s="332"/>
      <c r="K60" s="339"/>
      <c r="L60" s="332"/>
      <c r="M60" s="338"/>
      <c r="N60" s="380"/>
      <c r="O60" s="336"/>
      <c r="P60" s="332"/>
      <c r="Q60" s="338"/>
      <c r="R60" s="332"/>
      <c r="S60" s="338"/>
      <c r="T60" s="335"/>
      <c r="U60" s="336"/>
      <c r="V60" s="332"/>
      <c r="W60" s="366"/>
      <c r="X60" s="332"/>
      <c r="Y60" s="339"/>
      <c r="Z60" s="342">
        <f t="shared" ref="Z60" ca="1" si="270">UDayCou(1,ROW())</f>
        <v>13</v>
      </c>
      <c r="AA60" s="343">
        <f t="shared" ref="AA60" ca="1" si="271">UNightCou(1,ROW())</f>
        <v>9</v>
      </c>
      <c r="AB60" s="344">
        <f t="shared" ref="AB60" ca="1" si="272">UNewCou(1,ROW())</f>
        <v>2</v>
      </c>
      <c r="AC60" s="345">
        <f t="shared" si="109"/>
        <v>45710</v>
      </c>
      <c r="AD60" s="394" t="str">
        <f t="shared" si="110"/>
        <v>土</v>
      </c>
      <c r="AE60" s="332"/>
      <c r="AF60" s="339"/>
      <c r="AG60" s="332"/>
      <c r="AH60" s="339"/>
      <c r="AI60" s="332"/>
      <c r="AJ60" s="366"/>
      <c r="AK60" s="332"/>
      <c r="AL60" s="338"/>
      <c r="AM60" s="332"/>
      <c r="AN60" s="366"/>
      <c r="AO60" s="332"/>
      <c r="AP60" s="336"/>
      <c r="AQ60" s="332"/>
      <c r="AR60" s="366"/>
      <c r="AS60" s="332"/>
      <c r="AT60" s="338"/>
      <c r="AU60" s="332"/>
      <c r="AV60" s="338"/>
      <c r="AW60" s="332"/>
      <c r="AX60" s="338"/>
      <c r="AY60" s="425"/>
      <c r="AZ60" s="426"/>
      <c r="BA60" s="342">
        <f ca="1">UDayCou(2,ROW())</f>
        <v>12</v>
      </c>
      <c r="BB60" s="343">
        <f ca="1">UNightCou(2,ROW())</f>
        <v>9</v>
      </c>
      <c r="BC60" s="344">
        <f ca="1">UNewCou(2,ROW())</f>
        <v>0</v>
      </c>
      <c r="BD60" s="327">
        <f t="shared" si="111"/>
        <v>45710</v>
      </c>
      <c r="BE60" s="394" t="str">
        <f t="shared" si="112"/>
        <v>土</v>
      </c>
      <c r="BF60" s="350"/>
      <c r="BG60" s="351"/>
      <c r="BH60" s="330"/>
      <c r="BI60" s="351"/>
      <c r="BJ60" s="330"/>
      <c r="BK60" s="351"/>
      <c r="BL60" s="330"/>
      <c r="BM60" s="351"/>
      <c r="BN60" s="330"/>
      <c r="BO60" s="351"/>
      <c r="BP60" s="330"/>
      <c r="BQ60" s="351"/>
      <c r="BR60" s="330"/>
      <c r="BS60" s="351"/>
      <c r="BT60" s="330"/>
      <c r="BU60" s="351"/>
      <c r="BV60" s="330"/>
      <c r="BW60" s="351"/>
      <c r="BX60" s="330"/>
      <c r="BY60" s="351"/>
      <c r="BZ60" s="389"/>
      <c r="CA60" s="341"/>
      <c r="CB60" s="342">
        <f ca="1">UDayCou(3,ROW())</f>
        <v>0</v>
      </c>
      <c r="CC60" s="343">
        <f ca="1">UNightCou(3,ROW())</f>
        <v>0</v>
      </c>
      <c r="CD60" s="344">
        <f ca="1">UNewCou(3,ROW())</f>
        <v>0</v>
      </c>
      <c r="CE60" s="327">
        <f t="shared" si="113"/>
        <v>45710</v>
      </c>
      <c r="CF60" s="394" t="str">
        <f t="shared" si="114"/>
        <v>土</v>
      </c>
      <c r="CG60" s="352">
        <f t="shared" ref="CG60" ca="1" si="273">Z60+BA60+CB60</f>
        <v>25</v>
      </c>
      <c r="CH60" s="353">
        <f t="shared" ref="CH60" ca="1" si="274">AA60+BB60+CC60</f>
        <v>18</v>
      </c>
      <c r="CI60" s="354">
        <f t="shared" ref="CI60" ca="1" si="275">AB60+BC60+CD60</f>
        <v>2</v>
      </c>
      <c r="CJ60" s="355">
        <f ca="1">COUNTIF(INDIRECT("D108:CA109"),"*●*")</f>
        <v>0</v>
      </c>
      <c r="CK60" s="356">
        <f ca="1">COUNTIF(INDIRECT("D108:CA109"),"*㋷*")</f>
        <v>0</v>
      </c>
      <c r="CL60" s="75"/>
      <c r="CN60" s="160">
        <f t="shared" si="118"/>
        <v>45710</v>
      </c>
      <c r="CO60" s="167" t="str">
        <f t="shared" si="119"/>
        <v>土</v>
      </c>
      <c r="CP60" s="357"/>
      <c r="CQ60" s="358"/>
      <c r="CR60" s="359"/>
      <c r="CS60" s="358"/>
      <c r="CT60" s="359"/>
      <c r="CU60" s="358"/>
      <c r="CZ60" s="73">
        <v>2</v>
      </c>
      <c r="DA60" s="73">
        <v>2</v>
      </c>
      <c r="DB60" s="73">
        <v>22</v>
      </c>
      <c r="DC60" s="74">
        <f t="shared" si="191"/>
        <v>45710</v>
      </c>
      <c r="DD60" s="68" t="str">
        <f t="shared" si="135"/>
        <v>土</v>
      </c>
      <c r="DF60" s="155">
        <f t="shared" ref="DF60" si="276">$DC60</f>
        <v>45710</v>
      </c>
      <c r="DG60" s="156" t="e">
        <f ca="1">IF($CH60&gt;=設定!$E$12,"✕",IF(SS予約表!$CG60&gt;=設定!$E$12,"△","○"))</f>
        <v>#NAME?</v>
      </c>
    </row>
    <row r="61" spans="1:111" ht="29.25" customHeight="1">
      <c r="A61" s="284"/>
      <c r="B61" s="285"/>
      <c r="C61" s="286" t="s">
        <v>28</v>
      </c>
      <c r="D61" s="319">
        <v>10</v>
      </c>
      <c r="E61" s="318"/>
      <c r="F61" s="319"/>
      <c r="G61" s="318"/>
      <c r="H61" s="319"/>
      <c r="I61" s="323"/>
      <c r="J61" s="319"/>
      <c r="K61" s="318"/>
      <c r="L61" s="319"/>
      <c r="M61" s="318"/>
      <c r="N61" s="376"/>
      <c r="O61" s="318"/>
      <c r="P61" s="319"/>
      <c r="Q61" s="318"/>
      <c r="R61" s="319"/>
      <c r="S61" s="318"/>
      <c r="T61" s="299"/>
      <c r="U61" s="324"/>
      <c r="V61" s="305"/>
      <c r="W61" s="318"/>
      <c r="X61" s="319"/>
      <c r="Y61" s="323"/>
      <c r="Z61" s="294"/>
      <c r="AA61" s="295"/>
      <c r="AB61" s="296"/>
      <c r="AC61" s="297"/>
      <c r="AD61" s="298"/>
      <c r="AE61" s="319">
        <v>10</v>
      </c>
      <c r="AF61" s="318"/>
      <c r="AG61" s="422"/>
      <c r="AH61" s="428"/>
      <c r="AI61" s="319"/>
      <c r="AJ61" s="318"/>
      <c r="AK61" s="319"/>
      <c r="AL61" s="318"/>
      <c r="AM61" s="317"/>
      <c r="AN61" s="316"/>
      <c r="AO61" s="319"/>
      <c r="AP61" s="318"/>
      <c r="AQ61" s="317"/>
      <c r="AR61" s="318"/>
      <c r="AS61" s="319"/>
      <c r="AT61" s="318"/>
      <c r="AU61" s="319"/>
      <c r="AV61" s="318"/>
      <c r="AW61" s="319"/>
      <c r="AX61" s="318"/>
      <c r="AY61" s="422"/>
      <c r="AZ61" s="423"/>
      <c r="BA61" s="294"/>
      <c r="BB61" s="295"/>
      <c r="BC61" s="296"/>
      <c r="BD61" s="284"/>
      <c r="BE61" s="298"/>
      <c r="BF61" s="305"/>
      <c r="BG61" s="302"/>
      <c r="BH61" s="301"/>
      <c r="BI61" s="302"/>
      <c r="BJ61" s="301"/>
      <c r="BK61" s="302"/>
      <c r="BL61" s="301"/>
      <c r="BM61" s="302"/>
      <c r="BN61" s="301"/>
      <c r="BO61" s="302"/>
      <c r="BP61" s="301"/>
      <c r="BQ61" s="302"/>
      <c r="BR61" s="301"/>
      <c r="BS61" s="302"/>
      <c r="BT61" s="301"/>
      <c r="BU61" s="302"/>
      <c r="BV61" s="301"/>
      <c r="BW61" s="302"/>
      <c r="BX61" s="301"/>
      <c r="BY61" s="302"/>
      <c r="BZ61" s="306"/>
      <c r="CA61" s="304"/>
      <c r="CB61" s="294"/>
      <c r="CC61" s="295"/>
      <c r="CD61" s="296"/>
      <c r="CE61" s="284"/>
      <c r="CF61" s="298"/>
      <c r="CG61" s="307"/>
      <c r="CH61" s="308"/>
      <c r="CI61" s="309"/>
      <c r="CJ61" s="310"/>
      <c r="CK61" s="311"/>
      <c r="CL61" s="75"/>
      <c r="CN61" s="161"/>
      <c r="CO61" s="163"/>
      <c r="CP61" s="315"/>
      <c r="CQ61" s="316"/>
      <c r="CR61" s="317"/>
      <c r="CS61" s="316"/>
      <c r="CT61" s="317"/>
      <c r="CU61" s="316"/>
      <c r="CZ61" s="73">
        <v>2</v>
      </c>
      <c r="DA61" s="73">
        <v>2</v>
      </c>
      <c r="DB61" s="73">
        <v>22</v>
      </c>
      <c r="DC61" s="74">
        <f t="shared" si="191"/>
        <v>45710</v>
      </c>
      <c r="DD61" s="68" t="str">
        <f t="shared" si="135"/>
        <v>土</v>
      </c>
      <c r="DF61" s="156"/>
      <c r="DG61" s="156"/>
    </row>
    <row r="62" spans="1:111" ht="28.5" customHeight="1">
      <c r="A62" s="327">
        <f t="shared" si="104"/>
        <v>45711</v>
      </c>
      <c r="B62" s="328" t="str">
        <f t="shared" si="105"/>
        <v>日</v>
      </c>
      <c r="C62" s="329" t="s">
        <v>27</v>
      </c>
      <c r="D62" s="332"/>
      <c r="E62" s="336"/>
      <c r="F62" s="332"/>
      <c r="G62" s="336"/>
      <c r="H62" s="332"/>
      <c r="I62" s="378"/>
      <c r="J62" s="332"/>
      <c r="K62" s="336"/>
      <c r="L62" s="332"/>
      <c r="M62" s="336"/>
      <c r="N62" s="380"/>
      <c r="O62" s="338"/>
      <c r="P62" s="332"/>
      <c r="Q62" s="338"/>
      <c r="R62" s="332"/>
      <c r="S62" s="336"/>
      <c r="T62" s="335"/>
      <c r="U62" s="377"/>
      <c r="V62" s="350"/>
      <c r="W62" s="336"/>
      <c r="X62" s="332"/>
      <c r="Y62" s="339"/>
      <c r="Z62" s="342">
        <f t="shared" ref="Z62" ca="1" si="277">UDayCou(1,ROW())</f>
        <v>10</v>
      </c>
      <c r="AA62" s="343">
        <f t="shared" ref="AA62" ca="1" si="278">UNightCou(1,ROW())</f>
        <v>10</v>
      </c>
      <c r="AB62" s="344">
        <f t="shared" ref="AB62" ca="1" si="279">UNewCou(1,ROW())</f>
        <v>1</v>
      </c>
      <c r="AC62" s="345">
        <f t="shared" si="109"/>
        <v>45711</v>
      </c>
      <c r="AD62" s="346" t="str">
        <f t="shared" si="110"/>
        <v>日</v>
      </c>
      <c r="AE62" s="332"/>
      <c r="AF62" s="338"/>
      <c r="AG62" s="425"/>
      <c r="AH62" s="387"/>
      <c r="AI62" s="332"/>
      <c r="AJ62" s="336"/>
      <c r="AK62" s="332"/>
      <c r="AL62" s="338"/>
      <c r="AM62" s="359"/>
      <c r="AN62" s="358"/>
      <c r="AO62" s="332"/>
      <c r="AP62" s="336"/>
      <c r="AQ62" s="359"/>
      <c r="AR62" s="331"/>
      <c r="AS62" s="332"/>
      <c r="AT62" s="336"/>
      <c r="AU62" s="332"/>
      <c r="AV62" s="336"/>
      <c r="AW62" s="332"/>
      <c r="AX62" s="338"/>
      <c r="AY62" s="425"/>
      <c r="AZ62" s="426"/>
      <c r="BA62" s="342">
        <f ca="1">UDayCou(2,ROW())</f>
        <v>9</v>
      </c>
      <c r="BB62" s="343">
        <f ca="1">UNightCou(2,ROW())</f>
        <v>9</v>
      </c>
      <c r="BC62" s="344">
        <f ca="1">UNewCou(2,ROW())</f>
        <v>0</v>
      </c>
      <c r="BD62" s="327">
        <f t="shared" si="111"/>
        <v>45711</v>
      </c>
      <c r="BE62" s="346" t="str">
        <f t="shared" si="112"/>
        <v>日</v>
      </c>
      <c r="BF62" s="350"/>
      <c r="BG62" s="351"/>
      <c r="BH62" s="330"/>
      <c r="BI62" s="351"/>
      <c r="BJ62" s="330"/>
      <c r="BK62" s="351"/>
      <c r="BL62" s="330"/>
      <c r="BM62" s="351"/>
      <c r="BN62" s="330"/>
      <c r="BO62" s="351"/>
      <c r="BP62" s="330"/>
      <c r="BQ62" s="351"/>
      <c r="BR62" s="330"/>
      <c r="BS62" s="351"/>
      <c r="BT62" s="330"/>
      <c r="BU62" s="351"/>
      <c r="BV62" s="330"/>
      <c r="BW62" s="351"/>
      <c r="BX62" s="330"/>
      <c r="BY62" s="351"/>
      <c r="BZ62" s="389"/>
      <c r="CA62" s="341"/>
      <c r="CB62" s="342">
        <f ca="1">UDayCou(3,ROW())</f>
        <v>0</v>
      </c>
      <c r="CC62" s="343">
        <f ca="1">UNightCou(3,ROW())</f>
        <v>0</v>
      </c>
      <c r="CD62" s="344">
        <f ca="1">UNewCou(3,ROW())</f>
        <v>0</v>
      </c>
      <c r="CE62" s="327">
        <f t="shared" si="113"/>
        <v>45711</v>
      </c>
      <c r="CF62" s="346" t="str">
        <f t="shared" si="114"/>
        <v>日</v>
      </c>
      <c r="CG62" s="352">
        <f t="shared" ref="CG62" ca="1" si="280">Z62+BA62+CB62</f>
        <v>19</v>
      </c>
      <c r="CH62" s="353">
        <f t="shared" ref="CH62" ca="1" si="281">AA62+BB62+CC62</f>
        <v>19</v>
      </c>
      <c r="CI62" s="354">
        <f t="shared" ref="CI62" ca="1" si="282">AB62+BC62+CD62</f>
        <v>1</v>
      </c>
      <c r="CJ62" s="355">
        <f ca="1">COUNTIF(INDIRECT("D110:CA111"),"*●*")</f>
        <v>2</v>
      </c>
      <c r="CK62" s="356">
        <f ca="1">COUNTIF(INDIRECT("D110:CA111"),"*㋷*")</f>
        <v>0</v>
      </c>
      <c r="CL62" s="75"/>
      <c r="CN62" s="160">
        <f t="shared" si="118"/>
        <v>45711</v>
      </c>
      <c r="CO62" s="168" t="str">
        <f t="shared" si="119"/>
        <v>日</v>
      </c>
      <c r="CP62" s="357"/>
      <c r="CQ62" s="358"/>
      <c r="CR62" s="359"/>
      <c r="CS62" s="358"/>
      <c r="CT62" s="359"/>
      <c r="CU62" s="358"/>
      <c r="CZ62" s="73">
        <v>2</v>
      </c>
      <c r="DA62" s="73">
        <v>2</v>
      </c>
      <c r="DB62" s="73">
        <v>23</v>
      </c>
      <c r="DC62" s="74">
        <f t="shared" si="191"/>
        <v>45711</v>
      </c>
      <c r="DD62" s="68" t="str">
        <f t="shared" si="135"/>
        <v>日</v>
      </c>
      <c r="DF62" s="155">
        <f t="shared" ref="DF62" si="283">$DC62</f>
        <v>45711</v>
      </c>
      <c r="DG62" s="156" t="e">
        <f ca="1">IF($CH62&gt;=設定!$E$12,"✕",IF(SS予約表!$CG62&gt;=設定!$E$12,"△","○"))</f>
        <v>#NAME?</v>
      </c>
    </row>
    <row r="63" spans="1:111" ht="29.25" customHeight="1" thickBot="1">
      <c r="A63" s="284"/>
      <c r="B63" s="285"/>
      <c r="C63" s="286" t="s">
        <v>28</v>
      </c>
      <c r="D63" s="319"/>
      <c r="E63" s="318"/>
      <c r="F63" s="319"/>
      <c r="G63" s="318"/>
      <c r="H63" s="319"/>
      <c r="I63" s="318"/>
      <c r="J63" s="319"/>
      <c r="K63" s="318"/>
      <c r="L63" s="319"/>
      <c r="M63" s="318"/>
      <c r="N63" s="376"/>
      <c r="O63" s="318"/>
      <c r="P63" s="319"/>
      <c r="Q63" s="318"/>
      <c r="R63" s="319"/>
      <c r="S63" s="318"/>
      <c r="T63" s="299"/>
      <c r="U63" s="324"/>
      <c r="V63" s="305"/>
      <c r="W63" s="318"/>
      <c r="X63" s="319"/>
      <c r="Y63" s="323"/>
      <c r="Z63" s="294"/>
      <c r="AA63" s="295"/>
      <c r="AB63" s="296"/>
      <c r="AC63" s="297"/>
      <c r="AD63" s="298"/>
      <c r="AE63" s="319"/>
      <c r="AF63" s="318"/>
      <c r="AG63" s="422"/>
      <c r="AH63" s="364"/>
      <c r="AI63" s="319"/>
      <c r="AJ63" s="318"/>
      <c r="AK63" s="319"/>
      <c r="AL63" s="318"/>
      <c r="AM63" s="317"/>
      <c r="AN63" s="316"/>
      <c r="AO63" s="319"/>
      <c r="AP63" s="318"/>
      <c r="AQ63" s="317"/>
      <c r="AR63" s="318"/>
      <c r="AS63" s="319"/>
      <c r="AT63" s="318"/>
      <c r="AU63" s="319"/>
      <c r="AV63" s="318"/>
      <c r="AW63" s="319"/>
      <c r="AX63" s="318"/>
      <c r="AY63" s="422"/>
      <c r="AZ63" s="423"/>
      <c r="BA63" s="294"/>
      <c r="BB63" s="295"/>
      <c r="BC63" s="296"/>
      <c r="BD63" s="284"/>
      <c r="BE63" s="298"/>
      <c r="BF63" s="305"/>
      <c r="BG63" s="302"/>
      <c r="BH63" s="301"/>
      <c r="BI63" s="302"/>
      <c r="BJ63" s="301"/>
      <c r="BK63" s="302"/>
      <c r="BL63" s="301"/>
      <c r="BM63" s="302"/>
      <c r="BN63" s="301"/>
      <c r="BO63" s="302"/>
      <c r="BP63" s="301"/>
      <c r="BQ63" s="302"/>
      <c r="BR63" s="301"/>
      <c r="BS63" s="302"/>
      <c r="BT63" s="301"/>
      <c r="BU63" s="302"/>
      <c r="BV63" s="301"/>
      <c r="BW63" s="302"/>
      <c r="BX63" s="301"/>
      <c r="BY63" s="302"/>
      <c r="BZ63" s="306"/>
      <c r="CA63" s="304"/>
      <c r="CB63" s="294"/>
      <c r="CC63" s="295"/>
      <c r="CD63" s="296"/>
      <c r="CE63" s="284"/>
      <c r="CF63" s="298"/>
      <c r="CG63" s="307"/>
      <c r="CH63" s="308"/>
      <c r="CI63" s="309"/>
      <c r="CJ63" s="310"/>
      <c r="CK63" s="311"/>
      <c r="CL63" s="75"/>
      <c r="CN63" s="161"/>
      <c r="CO63" s="163"/>
      <c r="CP63" s="315"/>
      <c r="CQ63" s="316"/>
      <c r="CR63" s="317"/>
      <c r="CS63" s="316"/>
      <c r="CT63" s="299"/>
      <c r="CU63" s="300"/>
      <c r="CZ63" s="73">
        <v>2</v>
      </c>
      <c r="DA63" s="73">
        <v>2</v>
      </c>
      <c r="DB63" s="73">
        <v>23</v>
      </c>
      <c r="DC63" s="74">
        <f t="shared" si="191"/>
        <v>45711</v>
      </c>
      <c r="DD63" s="68" t="str">
        <f t="shared" si="135"/>
        <v>日</v>
      </c>
      <c r="DF63" s="156"/>
      <c r="DG63" s="156"/>
    </row>
    <row r="64" spans="1:111" ht="28.5" customHeight="1">
      <c r="A64" s="327">
        <f t="shared" si="104"/>
        <v>45712</v>
      </c>
      <c r="B64" s="365" t="str">
        <f t="shared" si="105"/>
        <v>月</v>
      </c>
      <c r="C64" s="329" t="s">
        <v>27</v>
      </c>
      <c r="D64" s="332">
        <v>15</v>
      </c>
      <c r="E64" s="366"/>
      <c r="F64" s="332"/>
      <c r="G64" s="366"/>
      <c r="H64" s="332"/>
      <c r="I64" s="336"/>
      <c r="J64" s="332"/>
      <c r="K64" s="366"/>
      <c r="L64" s="332"/>
      <c r="M64" s="366"/>
      <c r="N64" s="380"/>
      <c r="O64" s="336"/>
      <c r="P64" s="332"/>
      <c r="Q64" s="336"/>
      <c r="R64" s="332"/>
      <c r="S64" s="336"/>
      <c r="T64" s="335"/>
      <c r="U64" s="377"/>
      <c r="V64" s="350"/>
      <c r="W64" s="338"/>
      <c r="X64" s="332"/>
      <c r="Y64" s="378"/>
      <c r="Z64" s="342">
        <f t="shared" ref="Z64" ca="1" si="284">UDayCou(1,ROW())</f>
        <v>11</v>
      </c>
      <c r="AA64" s="343">
        <f t="shared" ref="AA64" ca="1" si="285">UNightCou(1,ROW())</f>
        <v>7</v>
      </c>
      <c r="AB64" s="344">
        <f t="shared" ref="AB64" ca="1" si="286">UNewCou(1,ROW())</f>
        <v>1</v>
      </c>
      <c r="AC64" s="345">
        <f t="shared" si="109"/>
        <v>45712</v>
      </c>
      <c r="AD64" s="371" t="str">
        <f t="shared" si="110"/>
        <v>月</v>
      </c>
      <c r="AE64" s="332"/>
      <c r="AF64" s="338"/>
      <c r="AG64" s="425"/>
      <c r="AH64" s="387"/>
      <c r="AI64" s="332"/>
      <c r="AJ64" s="366"/>
      <c r="AK64" s="332"/>
      <c r="AL64" s="336"/>
      <c r="AM64" s="359"/>
      <c r="AN64" s="358"/>
      <c r="AO64" s="332"/>
      <c r="AP64" s="336"/>
      <c r="AQ64" s="359"/>
      <c r="AR64" s="366"/>
      <c r="AS64" s="332"/>
      <c r="AT64" s="366"/>
      <c r="AU64" s="332"/>
      <c r="AV64" s="336"/>
      <c r="AW64" s="332"/>
      <c r="AX64" s="336"/>
      <c r="AY64" s="425"/>
      <c r="AZ64" s="426"/>
      <c r="BA64" s="342">
        <f ca="1">UDayCou(2,ROW())</f>
        <v>9</v>
      </c>
      <c r="BB64" s="343">
        <f ca="1">UNightCou(2,ROW())</f>
        <v>6</v>
      </c>
      <c r="BC64" s="344">
        <f ca="1">UNewCou(2,ROW())</f>
        <v>0</v>
      </c>
      <c r="BD64" s="327">
        <f t="shared" si="111"/>
        <v>45712</v>
      </c>
      <c r="BE64" s="371" t="str">
        <f t="shared" si="112"/>
        <v>月</v>
      </c>
      <c r="BF64" s="350"/>
      <c r="BG64" s="351"/>
      <c r="BH64" s="330"/>
      <c r="BI64" s="351"/>
      <c r="BJ64" s="330"/>
      <c r="BK64" s="351"/>
      <c r="BL64" s="330"/>
      <c r="BM64" s="351"/>
      <c r="BN64" s="330"/>
      <c r="BO64" s="351"/>
      <c r="BP64" s="330"/>
      <c r="BQ64" s="351"/>
      <c r="BR64" s="330"/>
      <c r="BS64" s="351"/>
      <c r="BT64" s="330"/>
      <c r="BU64" s="351"/>
      <c r="BV64" s="330"/>
      <c r="BW64" s="351"/>
      <c r="BX64" s="330"/>
      <c r="BY64" s="351"/>
      <c r="BZ64" s="389"/>
      <c r="CA64" s="341"/>
      <c r="CB64" s="342">
        <f ca="1">UDayCou(3,ROW())</f>
        <v>0</v>
      </c>
      <c r="CC64" s="343">
        <f ca="1">UNightCou(3,ROW())</f>
        <v>0</v>
      </c>
      <c r="CD64" s="344">
        <f ca="1">UNewCou(3,ROW())</f>
        <v>0</v>
      </c>
      <c r="CE64" s="327">
        <f t="shared" si="113"/>
        <v>45712</v>
      </c>
      <c r="CF64" s="371" t="str">
        <f t="shared" si="114"/>
        <v>月</v>
      </c>
      <c r="CG64" s="352">
        <f t="shared" ref="CG64" ca="1" si="287">Z64+BA64+CB64</f>
        <v>20</v>
      </c>
      <c r="CH64" s="353">
        <f t="shared" ref="CH64" ca="1" si="288">AA64+BB64+CC64</f>
        <v>13</v>
      </c>
      <c r="CI64" s="354">
        <f t="shared" ref="CI64" ca="1" si="289">AB64+BC64+CD64</f>
        <v>1</v>
      </c>
      <c r="CJ64" s="355">
        <f ca="1">COUNTIF(INDIRECT("D112:CA113"),"*●*")</f>
        <v>4</v>
      </c>
      <c r="CK64" s="356">
        <f ca="1">COUNTIF(INDIRECT("D112:CA113"),"*㋷*")</f>
        <v>0</v>
      </c>
      <c r="CL64" s="32" t="s">
        <v>37</v>
      </c>
      <c r="CM64" s="33">
        <f ca="1">年</f>
        <v>2025</v>
      </c>
      <c r="CN64" s="160">
        <f t="shared" si="118"/>
        <v>45712</v>
      </c>
      <c r="CO64" s="162" t="str">
        <f t="shared" si="119"/>
        <v>月</v>
      </c>
      <c r="CP64" s="357"/>
      <c r="CQ64" s="358"/>
      <c r="CR64" s="359"/>
      <c r="CS64" s="358"/>
      <c r="CT64" s="335"/>
      <c r="CU64" s="347"/>
      <c r="CZ64" s="73">
        <v>2</v>
      </c>
      <c r="DA64" s="73">
        <v>2</v>
      </c>
      <c r="DB64" s="73">
        <v>24</v>
      </c>
      <c r="DC64" s="74">
        <f t="shared" si="191"/>
        <v>45712</v>
      </c>
      <c r="DD64" s="68" t="str">
        <f t="shared" si="135"/>
        <v>月</v>
      </c>
      <c r="DF64" s="155">
        <f t="shared" ref="DF64" si="290">$DC64</f>
        <v>45712</v>
      </c>
      <c r="DG64" s="156" t="e">
        <f ca="1">IF($CH64&gt;=設定!$E$12,"✕",IF(SS予約表!$CG64&gt;=設定!$E$12,"△","○"))</f>
        <v>#NAME?</v>
      </c>
    </row>
    <row r="65" spans="1:112" ht="29.25" customHeight="1">
      <c r="A65" s="284"/>
      <c r="B65" s="285"/>
      <c r="C65" s="286" t="s">
        <v>28</v>
      </c>
      <c r="D65" s="319"/>
      <c r="E65" s="323"/>
      <c r="F65" s="319"/>
      <c r="G65" s="323"/>
      <c r="H65" s="319"/>
      <c r="I65" s="318"/>
      <c r="J65" s="319"/>
      <c r="K65" s="318"/>
      <c r="L65" s="319"/>
      <c r="M65" s="323"/>
      <c r="N65" s="376"/>
      <c r="O65" s="318"/>
      <c r="P65" s="319"/>
      <c r="Q65" s="318"/>
      <c r="R65" s="319"/>
      <c r="S65" s="318"/>
      <c r="T65" s="299"/>
      <c r="U65" s="324"/>
      <c r="V65" s="319"/>
      <c r="W65" s="318"/>
      <c r="X65" s="319"/>
      <c r="Y65" s="323"/>
      <c r="Z65" s="294"/>
      <c r="AA65" s="295"/>
      <c r="AB65" s="296"/>
      <c r="AC65" s="297"/>
      <c r="AD65" s="298"/>
      <c r="AE65" s="319"/>
      <c r="AF65" s="318"/>
      <c r="AG65" s="422"/>
      <c r="AH65" s="364"/>
      <c r="AI65" s="319"/>
      <c r="AJ65" s="323"/>
      <c r="AK65" s="319"/>
      <c r="AL65" s="318"/>
      <c r="AM65" s="299"/>
      <c r="AN65" s="300"/>
      <c r="AO65" s="319"/>
      <c r="AP65" s="318"/>
      <c r="AQ65" s="319"/>
      <c r="AR65" s="323"/>
      <c r="AS65" s="319"/>
      <c r="AT65" s="323"/>
      <c r="AU65" s="319"/>
      <c r="AV65" s="318"/>
      <c r="AW65" s="319"/>
      <c r="AX65" s="318"/>
      <c r="AY65" s="422"/>
      <c r="AZ65" s="423"/>
      <c r="BA65" s="294"/>
      <c r="BB65" s="295"/>
      <c r="BC65" s="296"/>
      <c r="BD65" s="284"/>
      <c r="BE65" s="298"/>
      <c r="BF65" s="305"/>
      <c r="BG65" s="302"/>
      <c r="BH65" s="301"/>
      <c r="BI65" s="302"/>
      <c r="BJ65" s="301"/>
      <c r="BK65" s="302"/>
      <c r="BL65" s="301"/>
      <c r="BM65" s="302"/>
      <c r="BN65" s="301"/>
      <c r="BO65" s="302"/>
      <c r="BP65" s="301"/>
      <c r="BQ65" s="302"/>
      <c r="BR65" s="301"/>
      <c r="BS65" s="302"/>
      <c r="BT65" s="301"/>
      <c r="BU65" s="302"/>
      <c r="BV65" s="301"/>
      <c r="BW65" s="302"/>
      <c r="BX65" s="301"/>
      <c r="BY65" s="302"/>
      <c r="BZ65" s="306"/>
      <c r="CA65" s="304"/>
      <c r="CB65" s="294"/>
      <c r="CC65" s="295"/>
      <c r="CD65" s="296"/>
      <c r="CE65" s="284"/>
      <c r="CF65" s="298"/>
      <c r="CG65" s="307"/>
      <c r="CH65" s="308"/>
      <c r="CI65" s="309"/>
      <c r="CJ65" s="310"/>
      <c r="CK65" s="311"/>
      <c r="CL65" s="26" t="s">
        <v>30</v>
      </c>
      <c r="CM65" s="154" t="s">
        <v>31</v>
      </c>
      <c r="CN65" s="161"/>
      <c r="CO65" s="163"/>
      <c r="CP65" s="315"/>
      <c r="CQ65" s="316"/>
      <c r="CR65" s="317"/>
      <c r="CS65" s="316"/>
      <c r="CT65" s="299"/>
      <c r="CU65" s="300"/>
      <c r="CZ65" s="73">
        <v>2</v>
      </c>
      <c r="DA65" s="73">
        <v>2</v>
      </c>
      <c r="DB65" s="73">
        <v>24</v>
      </c>
      <c r="DC65" s="74">
        <f t="shared" si="191"/>
        <v>45712</v>
      </c>
      <c r="DD65" s="68" t="str">
        <f t="shared" si="135"/>
        <v>月</v>
      </c>
      <c r="DF65" s="156"/>
      <c r="DG65" s="156"/>
    </row>
    <row r="66" spans="1:112" ht="28.5" customHeight="1">
      <c r="A66" s="327">
        <f t="shared" si="104"/>
        <v>45713</v>
      </c>
      <c r="B66" s="365" t="str">
        <f t="shared" si="105"/>
        <v>火</v>
      </c>
      <c r="C66" s="329" t="s">
        <v>27</v>
      </c>
      <c r="D66" s="332"/>
      <c r="E66" s="339"/>
      <c r="F66" s="332"/>
      <c r="G66" s="339"/>
      <c r="H66" s="332"/>
      <c r="I66" s="338"/>
      <c r="J66" s="332"/>
      <c r="K66" s="338"/>
      <c r="L66" s="332"/>
      <c r="M66" s="339"/>
      <c r="N66" s="380"/>
      <c r="O66" s="336"/>
      <c r="P66" s="332"/>
      <c r="Q66" s="366"/>
      <c r="R66" s="332"/>
      <c r="S66" s="366"/>
      <c r="T66" s="335"/>
      <c r="U66" s="337"/>
      <c r="V66" s="332"/>
      <c r="W66" s="366"/>
      <c r="X66" s="332"/>
      <c r="Y66" s="339"/>
      <c r="Z66" s="342">
        <f t="shared" ref="Z66" ca="1" si="291">UDayCou(1,ROW())</f>
        <v>8</v>
      </c>
      <c r="AA66" s="343">
        <f t="shared" ref="AA66" ca="1" si="292">UNightCou(1,ROW())</f>
        <v>4</v>
      </c>
      <c r="AB66" s="344">
        <f t="shared" ref="AB66" ca="1" si="293">UNewCou(1,ROW())</f>
        <v>1</v>
      </c>
      <c r="AC66" s="345">
        <f t="shared" si="109"/>
        <v>45713</v>
      </c>
      <c r="AD66" s="371" t="str">
        <f t="shared" si="110"/>
        <v>火</v>
      </c>
      <c r="AE66" s="332">
        <v>15</v>
      </c>
      <c r="AF66" s="366"/>
      <c r="AG66" s="425"/>
      <c r="AH66" s="379"/>
      <c r="AI66" s="332"/>
      <c r="AJ66" s="339"/>
      <c r="AK66" s="332"/>
      <c r="AL66" s="366"/>
      <c r="AM66" s="335"/>
      <c r="AN66" s="347"/>
      <c r="AO66" s="332"/>
      <c r="AP66" s="338"/>
      <c r="AQ66" s="332"/>
      <c r="AR66" s="339"/>
      <c r="AS66" s="332"/>
      <c r="AT66" s="339"/>
      <c r="AU66" s="332"/>
      <c r="AV66" s="338"/>
      <c r="AW66" s="332"/>
      <c r="AX66" s="366"/>
      <c r="AY66" s="425"/>
      <c r="AZ66" s="426"/>
      <c r="BA66" s="342">
        <f ca="1">UDayCou(2,ROW())</f>
        <v>8</v>
      </c>
      <c r="BB66" s="343">
        <f ca="1">UNightCou(2,ROW())</f>
        <v>5</v>
      </c>
      <c r="BC66" s="344">
        <f ca="1">UNewCou(2,ROW())</f>
        <v>0</v>
      </c>
      <c r="BD66" s="327">
        <f t="shared" si="111"/>
        <v>45713</v>
      </c>
      <c r="BE66" s="371" t="str">
        <f t="shared" si="112"/>
        <v>火</v>
      </c>
      <c r="BF66" s="350"/>
      <c r="BG66" s="351"/>
      <c r="BH66" s="330"/>
      <c r="BI66" s="351"/>
      <c r="BJ66" s="330"/>
      <c r="BK66" s="351"/>
      <c r="BL66" s="330"/>
      <c r="BM66" s="351"/>
      <c r="BN66" s="330"/>
      <c r="BO66" s="351"/>
      <c r="BP66" s="330"/>
      <c r="BQ66" s="351"/>
      <c r="BR66" s="330"/>
      <c r="BS66" s="351"/>
      <c r="BT66" s="330"/>
      <c r="BU66" s="351"/>
      <c r="BV66" s="330"/>
      <c r="BW66" s="351"/>
      <c r="BX66" s="330"/>
      <c r="BY66" s="351"/>
      <c r="BZ66" s="389"/>
      <c r="CA66" s="341"/>
      <c r="CB66" s="342">
        <f ca="1">UDayCou(3,ROW())</f>
        <v>0</v>
      </c>
      <c r="CC66" s="343">
        <f ca="1">UNightCou(3,ROW())</f>
        <v>0</v>
      </c>
      <c r="CD66" s="344">
        <f ca="1">UNewCou(3,ROW())</f>
        <v>0</v>
      </c>
      <c r="CE66" s="327">
        <f t="shared" si="113"/>
        <v>45713</v>
      </c>
      <c r="CF66" s="371" t="str">
        <f t="shared" si="114"/>
        <v>火</v>
      </c>
      <c r="CG66" s="352">
        <f t="shared" ref="CG66" ca="1" si="294">Z66+BA66+CB66</f>
        <v>16</v>
      </c>
      <c r="CH66" s="353">
        <f t="shared" ref="CH66" ca="1" si="295">AA66+BB66+CC66</f>
        <v>9</v>
      </c>
      <c r="CI66" s="354">
        <f t="shared" ref="CI66" ca="1" si="296">AB66+BC66+CD66</f>
        <v>1</v>
      </c>
      <c r="CJ66" s="355">
        <f ca="1">COUNTIF(INDIRECT("D114:CA115"),"*●*")</f>
        <v>5</v>
      </c>
      <c r="CK66" s="356">
        <f ca="1">COUNTIF(INDIRECT("D114:CA115"),"*㋷*")</f>
        <v>0</v>
      </c>
      <c r="CL66" s="171">
        <f ca="1">IF(MOD(年,4)=0,29,28)</f>
        <v>28</v>
      </c>
      <c r="CM66" s="173">
        <f ca="1">IFERROR(CM72/CL72,0)</f>
        <v>0.88911704312114992</v>
      </c>
      <c r="CN66" s="160">
        <f t="shared" si="118"/>
        <v>45713</v>
      </c>
      <c r="CO66" s="162" t="str">
        <f t="shared" si="119"/>
        <v>火</v>
      </c>
      <c r="CP66" s="357"/>
      <c r="CQ66" s="358"/>
      <c r="CR66" s="359"/>
      <c r="CS66" s="358"/>
      <c r="CT66" s="335"/>
      <c r="CU66" s="347"/>
      <c r="CZ66" s="73">
        <v>2</v>
      </c>
      <c r="DA66" s="73">
        <v>2</v>
      </c>
      <c r="DB66" s="73">
        <v>25</v>
      </c>
      <c r="DC66" s="74">
        <f t="shared" si="191"/>
        <v>45713</v>
      </c>
      <c r="DD66" s="68" t="str">
        <f t="shared" si="135"/>
        <v>火</v>
      </c>
      <c r="DF66" s="155">
        <f t="shared" ref="DF66" si="297">$DC66</f>
        <v>45713</v>
      </c>
      <c r="DG66" s="156" t="e">
        <f ca="1">IF($CH66&gt;=設定!$E$12,"✕",IF(SS予約表!$CG66&gt;=設定!$E$12,"△","○"))</f>
        <v>#NAME?</v>
      </c>
    </row>
    <row r="67" spans="1:112" ht="29.25" customHeight="1" thickBot="1">
      <c r="A67" s="284"/>
      <c r="B67" s="285"/>
      <c r="C67" s="286" t="s">
        <v>28</v>
      </c>
      <c r="D67" s="299"/>
      <c r="E67" s="321"/>
      <c r="F67" s="299"/>
      <c r="G67" s="300"/>
      <c r="H67" s="320"/>
      <c r="I67" s="324"/>
      <c r="J67" s="319"/>
      <c r="K67" s="318"/>
      <c r="L67" s="299">
        <v>10</v>
      </c>
      <c r="M67" s="324" t="s">
        <v>38</v>
      </c>
      <c r="N67" s="429"/>
      <c r="O67" s="416"/>
      <c r="P67" s="319"/>
      <c r="Q67" s="323"/>
      <c r="R67" s="319"/>
      <c r="S67" s="323"/>
      <c r="T67" s="299"/>
      <c r="U67" s="300"/>
      <c r="V67" s="319"/>
      <c r="W67" s="323"/>
      <c r="X67" s="319"/>
      <c r="Y67" s="323"/>
      <c r="Z67" s="294"/>
      <c r="AA67" s="295"/>
      <c r="AB67" s="296"/>
      <c r="AC67" s="297"/>
      <c r="AD67" s="298"/>
      <c r="AE67" s="299"/>
      <c r="AF67" s="300"/>
      <c r="AG67" s="422" t="s">
        <v>39</v>
      </c>
      <c r="AH67" s="364"/>
      <c r="AI67" s="299">
        <v>10</v>
      </c>
      <c r="AJ67" s="324" t="s">
        <v>40</v>
      </c>
      <c r="AK67" s="299"/>
      <c r="AL67" s="300"/>
      <c r="AM67" s="299"/>
      <c r="AN67" s="300"/>
      <c r="AO67" s="320"/>
      <c r="AP67" s="324"/>
      <c r="AQ67" s="320"/>
      <c r="AR67" s="321"/>
      <c r="AS67" s="299">
        <v>10</v>
      </c>
      <c r="AT67" s="416" t="s">
        <v>41</v>
      </c>
      <c r="AU67" s="319"/>
      <c r="AV67" s="318"/>
      <c r="AW67" s="319"/>
      <c r="AX67" s="323"/>
      <c r="AY67" s="325"/>
      <c r="AZ67" s="326"/>
      <c r="BA67" s="294"/>
      <c r="BB67" s="295"/>
      <c r="BC67" s="296"/>
      <c r="BD67" s="284"/>
      <c r="BE67" s="298"/>
      <c r="BF67" s="305"/>
      <c r="BG67" s="302"/>
      <c r="BH67" s="301"/>
      <c r="BI67" s="302"/>
      <c r="BJ67" s="301"/>
      <c r="BK67" s="302"/>
      <c r="BL67" s="301"/>
      <c r="BM67" s="302"/>
      <c r="BN67" s="301"/>
      <c r="BO67" s="302"/>
      <c r="BP67" s="301"/>
      <c r="BQ67" s="302"/>
      <c r="BR67" s="301"/>
      <c r="BS67" s="302"/>
      <c r="BT67" s="301"/>
      <c r="BU67" s="302"/>
      <c r="BV67" s="301"/>
      <c r="BW67" s="302"/>
      <c r="BX67" s="301"/>
      <c r="BY67" s="302"/>
      <c r="BZ67" s="306"/>
      <c r="CA67" s="304"/>
      <c r="CB67" s="294"/>
      <c r="CC67" s="295"/>
      <c r="CD67" s="296"/>
      <c r="CE67" s="284"/>
      <c r="CF67" s="298"/>
      <c r="CG67" s="307"/>
      <c r="CH67" s="308"/>
      <c r="CI67" s="309"/>
      <c r="CJ67" s="310"/>
      <c r="CK67" s="311"/>
      <c r="CL67" s="172"/>
      <c r="CM67" s="174"/>
      <c r="CN67" s="161"/>
      <c r="CO67" s="163"/>
      <c r="CP67" s="315"/>
      <c r="CQ67" s="316"/>
      <c r="CR67" s="317"/>
      <c r="CS67" s="316"/>
      <c r="CT67" s="317"/>
      <c r="CU67" s="316"/>
      <c r="CZ67" s="73">
        <v>2</v>
      </c>
      <c r="DA67" s="73">
        <v>2</v>
      </c>
      <c r="DB67" s="73">
        <v>25</v>
      </c>
      <c r="DC67" s="74">
        <f t="shared" si="191"/>
        <v>45713</v>
      </c>
      <c r="DD67" s="68" t="str">
        <f t="shared" si="135"/>
        <v>火</v>
      </c>
      <c r="DF67" s="156"/>
      <c r="DG67" s="156"/>
    </row>
    <row r="68" spans="1:112" ht="28.5" customHeight="1">
      <c r="A68" s="491">
        <f t="shared" si="104"/>
        <v>45714</v>
      </c>
      <c r="B68" s="524" t="str">
        <f t="shared" si="105"/>
        <v>水</v>
      </c>
      <c r="C68" s="493" t="s">
        <v>27</v>
      </c>
      <c r="D68" s="499"/>
      <c r="E68" s="539"/>
      <c r="F68" s="499"/>
      <c r="G68" s="511"/>
      <c r="H68" s="497"/>
      <c r="I68" s="500" t="s">
        <v>42</v>
      </c>
      <c r="J68" s="496"/>
      <c r="K68" s="500" t="s">
        <v>42</v>
      </c>
      <c r="L68" s="499"/>
      <c r="M68" s="500" t="s">
        <v>43</v>
      </c>
      <c r="N68" s="547"/>
      <c r="O68" s="548" t="s">
        <v>44</v>
      </c>
      <c r="P68" s="496"/>
      <c r="Q68" s="539"/>
      <c r="R68" s="496"/>
      <c r="S68" s="503"/>
      <c r="T68" s="499"/>
      <c r="U68" s="511"/>
      <c r="V68" s="496"/>
      <c r="W68" s="539"/>
      <c r="X68" s="496"/>
      <c r="Y68" s="503"/>
      <c r="Z68" s="506">
        <f t="shared" ref="Z68" ca="1" si="298">UDayCou(1,ROW())</f>
        <v>5</v>
      </c>
      <c r="AA68" s="507">
        <f t="shared" ref="AA68" ca="1" si="299">UNightCou(1,ROW())</f>
        <v>5</v>
      </c>
      <c r="AB68" s="508">
        <f t="shared" ref="AB68" ca="1" si="300">UNewCou(1,ROW())</f>
        <v>1</v>
      </c>
      <c r="AC68" s="509">
        <f t="shared" si="109"/>
        <v>45714</v>
      </c>
      <c r="AD68" s="531" t="str">
        <f t="shared" si="110"/>
        <v>水</v>
      </c>
      <c r="AE68" s="499"/>
      <c r="AF68" s="511" t="s">
        <v>45</v>
      </c>
      <c r="AG68" s="549" t="s">
        <v>39</v>
      </c>
      <c r="AH68" s="541"/>
      <c r="AI68" s="499"/>
      <c r="AJ68" s="500" t="s">
        <v>42</v>
      </c>
      <c r="AK68" s="499"/>
      <c r="AL68" s="511"/>
      <c r="AM68" s="499"/>
      <c r="AN68" s="511"/>
      <c r="AO68" s="497">
        <v>15</v>
      </c>
      <c r="AP68" s="501" t="s">
        <v>46</v>
      </c>
      <c r="AQ68" s="497"/>
      <c r="AR68" s="526" t="s">
        <v>47</v>
      </c>
      <c r="AS68" s="499"/>
      <c r="AT68" s="500" t="s">
        <v>42</v>
      </c>
      <c r="AU68" s="496"/>
      <c r="AV68" s="500"/>
      <c r="AW68" s="496"/>
      <c r="AX68" s="503"/>
      <c r="AY68" s="512"/>
      <c r="AZ68" s="513"/>
      <c r="BA68" s="506">
        <f ca="1">UDayCou(2,ROW())</f>
        <v>7</v>
      </c>
      <c r="BB68" s="507">
        <f ca="1">UNightCou(2,ROW())</f>
        <v>6</v>
      </c>
      <c r="BC68" s="508">
        <f ca="1">UNewCou(2,ROW())</f>
        <v>0</v>
      </c>
      <c r="BD68" s="491">
        <f t="shared" si="111"/>
        <v>45714</v>
      </c>
      <c r="BE68" s="531" t="str">
        <f t="shared" si="112"/>
        <v>水</v>
      </c>
      <c r="BF68" s="514"/>
      <c r="BG68" s="515"/>
      <c r="BH68" s="494"/>
      <c r="BI68" s="515"/>
      <c r="BJ68" s="494"/>
      <c r="BK68" s="515"/>
      <c r="BL68" s="494"/>
      <c r="BM68" s="515"/>
      <c r="BN68" s="494"/>
      <c r="BO68" s="515"/>
      <c r="BP68" s="494"/>
      <c r="BQ68" s="515"/>
      <c r="BR68" s="494"/>
      <c r="BS68" s="515"/>
      <c r="BT68" s="494"/>
      <c r="BU68" s="515"/>
      <c r="BV68" s="494"/>
      <c r="BW68" s="515"/>
      <c r="BX68" s="494"/>
      <c r="BY68" s="515"/>
      <c r="BZ68" s="530"/>
      <c r="CA68" s="505"/>
      <c r="CB68" s="506">
        <f ca="1">UDayCou(3,ROW())</f>
        <v>0</v>
      </c>
      <c r="CC68" s="507">
        <f ca="1">UNightCou(3,ROW())</f>
        <v>0</v>
      </c>
      <c r="CD68" s="508">
        <f ca="1">UNewCou(3,ROW())</f>
        <v>0</v>
      </c>
      <c r="CE68" s="491">
        <f t="shared" si="113"/>
        <v>45714</v>
      </c>
      <c r="CF68" s="531" t="str">
        <f t="shared" si="114"/>
        <v>水</v>
      </c>
      <c r="CG68" s="516">
        <f t="shared" ref="CG68" ca="1" si="301">Z68+BA68+CB68</f>
        <v>12</v>
      </c>
      <c r="CH68" s="517">
        <f t="shared" ref="CH68" ca="1" si="302">AA68+BB68+CC68</f>
        <v>11</v>
      </c>
      <c r="CI68" s="518">
        <f t="shared" ref="CI68" ca="1" si="303">AB68+BC68+CD68</f>
        <v>1</v>
      </c>
      <c r="CJ68" s="519">
        <f ca="1">COUNTIF(INDIRECT("D116:CA117"),"*●*")</f>
        <v>4</v>
      </c>
      <c r="CK68" s="520">
        <f ca="1">COUNTIF(INDIRECT("D116:CA117"),"*㋷*")</f>
        <v>0</v>
      </c>
      <c r="CL68" s="26" t="s">
        <v>32</v>
      </c>
      <c r="CM68" s="154" t="s">
        <v>33</v>
      </c>
      <c r="CN68" s="164">
        <f t="shared" si="118"/>
        <v>45714</v>
      </c>
      <c r="CO68" s="165" t="str">
        <f t="shared" si="119"/>
        <v>水</v>
      </c>
      <c r="CP68" s="521"/>
      <c r="CQ68" s="522"/>
      <c r="CR68" s="523"/>
      <c r="CS68" s="522"/>
      <c r="CT68" s="523"/>
      <c r="CU68" s="522"/>
      <c r="CZ68" s="73">
        <v>2</v>
      </c>
      <c r="DA68" s="73">
        <v>2</v>
      </c>
      <c r="DB68" s="73">
        <v>26</v>
      </c>
      <c r="DC68" s="74">
        <f t="shared" ref="DC68:DC73" si="304">DATE($A$2,$DA68,$DB68)</f>
        <v>45714</v>
      </c>
      <c r="DD68" s="68" t="str">
        <f t="shared" si="135"/>
        <v>水</v>
      </c>
      <c r="DF68" s="155">
        <f t="shared" ref="DF68" si="305">$DC68</f>
        <v>45714</v>
      </c>
      <c r="DG68" s="156" t="e">
        <f ca="1">IF($CH68&gt;=設定!$E$12,"✕",IF(SS予約表!$CG68&gt;=設定!$E$12,"△","○"))</f>
        <v>#NAME?</v>
      </c>
    </row>
    <row r="69" spans="1:112" ht="29.25" customHeight="1">
      <c r="A69" s="284"/>
      <c r="B69" s="285"/>
      <c r="C69" s="286" t="s">
        <v>28</v>
      </c>
      <c r="D69" s="299"/>
      <c r="E69" s="321"/>
      <c r="F69" s="299"/>
      <c r="G69" s="300"/>
      <c r="H69" s="320"/>
      <c r="I69" s="324"/>
      <c r="J69" s="319"/>
      <c r="K69" s="318"/>
      <c r="L69" s="299"/>
      <c r="M69" s="324"/>
      <c r="N69" s="429"/>
      <c r="O69" s="322"/>
      <c r="P69" s="319">
        <v>10</v>
      </c>
      <c r="Q69" s="318" t="s">
        <v>48</v>
      </c>
      <c r="R69" s="319"/>
      <c r="S69" s="323"/>
      <c r="T69" s="299"/>
      <c r="U69" s="300"/>
      <c r="V69" s="319"/>
      <c r="W69" s="323"/>
      <c r="X69" s="319"/>
      <c r="Y69" s="323"/>
      <c r="Z69" s="294"/>
      <c r="AA69" s="295"/>
      <c r="AB69" s="296"/>
      <c r="AC69" s="297"/>
      <c r="AD69" s="298"/>
      <c r="AE69" s="319">
        <v>10</v>
      </c>
      <c r="AF69" s="318" t="s">
        <v>49</v>
      </c>
      <c r="AG69" s="422" t="s">
        <v>39</v>
      </c>
      <c r="AH69" s="364"/>
      <c r="AI69" s="299"/>
      <c r="AJ69" s="324"/>
      <c r="AK69" s="299"/>
      <c r="AL69" s="300"/>
      <c r="AM69" s="299"/>
      <c r="AN69" s="300"/>
      <c r="AO69" s="320"/>
      <c r="AP69" s="321"/>
      <c r="AQ69" s="319">
        <v>10</v>
      </c>
      <c r="AR69" s="318" t="s">
        <v>50</v>
      </c>
      <c r="AS69" s="299"/>
      <c r="AT69" s="322"/>
      <c r="AU69" s="319"/>
      <c r="AV69" s="318"/>
      <c r="AW69" s="319"/>
      <c r="AX69" s="323"/>
      <c r="AY69" s="325"/>
      <c r="AZ69" s="326"/>
      <c r="BA69" s="294"/>
      <c r="BB69" s="295"/>
      <c r="BC69" s="296"/>
      <c r="BD69" s="284"/>
      <c r="BE69" s="298"/>
      <c r="BF69" s="305"/>
      <c r="BG69" s="302"/>
      <c r="BH69" s="301"/>
      <c r="BI69" s="302"/>
      <c r="BJ69" s="301"/>
      <c r="BK69" s="302"/>
      <c r="BL69" s="301"/>
      <c r="BM69" s="302"/>
      <c r="BN69" s="301"/>
      <c r="BO69" s="302"/>
      <c r="BP69" s="301"/>
      <c r="BQ69" s="302"/>
      <c r="BR69" s="301"/>
      <c r="BS69" s="302"/>
      <c r="BT69" s="301"/>
      <c r="BU69" s="302"/>
      <c r="BV69" s="301"/>
      <c r="BW69" s="302"/>
      <c r="BX69" s="301"/>
      <c r="BY69" s="302"/>
      <c r="BZ69" s="306"/>
      <c r="CA69" s="304"/>
      <c r="CB69" s="294"/>
      <c r="CC69" s="295"/>
      <c r="CD69" s="296"/>
      <c r="CE69" s="284"/>
      <c r="CF69" s="298"/>
      <c r="CG69" s="307"/>
      <c r="CH69" s="308"/>
      <c r="CI69" s="309"/>
      <c r="CJ69" s="310"/>
      <c r="CK69" s="311"/>
      <c r="CL69" s="175">
        <f ca="1">SUM(CG18:CG75)</f>
        <v>487</v>
      </c>
      <c r="CM69" s="177">
        <f ca="1">SUM(CI18:CI75)</f>
        <v>54</v>
      </c>
      <c r="CN69" s="161"/>
      <c r="CO69" s="163"/>
      <c r="CP69" s="315"/>
      <c r="CQ69" s="316"/>
      <c r="CR69" s="317"/>
      <c r="CS69" s="316"/>
      <c r="CT69" s="317"/>
      <c r="CU69" s="316"/>
      <c r="CZ69" s="73">
        <v>2</v>
      </c>
      <c r="DA69" s="73">
        <v>2</v>
      </c>
      <c r="DB69" s="73">
        <v>26</v>
      </c>
      <c r="DC69" s="74">
        <f t="shared" si="304"/>
        <v>45714</v>
      </c>
      <c r="DD69" s="68" t="str">
        <f t="shared" si="135"/>
        <v>水</v>
      </c>
      <c r="DF69" s="156"/>
      <c r="DG69" s="156"/>
    </row>
    <row r="70" spans="1:112" ht="28.5" customHeight="1">
      <c r="A70" s="327">
        <f t="shared" si="104"/>
        <v>45715</v>
      </c>
      <c r="B70" s="365" t="str">
        <f t="shared" si="105"/>
        <v>木</v>
      </c>
      <c r="C70" s="329" t="s">
        <v>27</v>
      </c>
      <c r="D70" s="335"/>
      <c r="E70" s="381"/>
      <c r="F70" s="335"/>
      <c r="G70" s="347"/>
      <c r="H70" s="333"/>
      <c r="I70" s="336"/>
      <c r="J70" s="332">
        <v>15</v>
      </c>
      <c r="K70" s="366" t="s">
        <v>51</v>
      </c>
      <c r="L70" s="335"/>
      <c r="M70" s="336" t="s">
        <v>42</v>
      </c>
      <c r="N70" s="430"/>
      <c r="O70" s="336" t="s">
        <v>42</v>
      </c>
      <c r="P70" s="332"/>
      <c r="Q70" s="338" t="s">
        <v>52</v>
      </c>
      <c r="R70" s="332"/>
      <c r="S70" s="339"/>
      <c r="T70" s="335"/>
      <c r="U70" s="347"/>
      <c r="V70" s="332"/>
      <c r="W70" s="339"/>
      <c r="X70" s="332"/>
      <c r="Y70" s="378"/>
      <c r="Z70" s="342">
        <f t="shared" ref="Z70" ca="1" si="306">UDayCou(1,ROW())</f>
        <v>5</v>
      </c>
      <c r="AA70" s="343">
        <f t="shared" ref="AA70" ca="1" si="307">UNightCou(1,ROW())</f>
        <v>4</v>
      </c>
      <c r="AB70" s="344">
        <f t="shared" ref="AB70" ca="1" si="308">UNewCou(1,ROW())</f>
        <v>1</v>
      </c>
      <c r="AC70" s="345">
        <f t="shared" si="109"/>
        <v>45715</v>
      </c>
      <c r="AD70" s="371" t="str">
        <f t="shared" si="110"/>
        <v>木</v>
      </c>
      <c r="AE70" s="332">
        <v>15</v>
      </c>
      <c r="AF70" s="366" t="s">
        <v>53</v>
      </c>
      <c r="AG70" s="425" t="s">
        <v>39</v>
      </c>
      <c r="AH70" s="387" t="s">
        <v>42</v>
      </c>
      <c r="AI70" s="335">
        <v>15</v>
      </c>
      <c r="AJ70" s="337" t="s">
        <v>47</v>
      </c>
      <c r="AK70" s="335"/>
      <c r="AL70" s="347"/>
      <c r="AM70" s="335"/>
      <c r="AN70" s="347"/>
      <c r="AO70" s="333"/>
      <c r="AP70" s="381"/>
      <c r="AQ70" s="332"/>
      <c r="AR70" s="336" t="s">
        <v>42</v>
      </c>
      <c r="AS70" s="335">
        <v>15</v>
      </c>
      <c r="AT70" s="417" t="s">
        <v>47</v>
      </c>
      <c r="AU70" s="332"/>
      <c r="AV70" s="336" t="s">
        <v>42</v>
      </c>
      <c r="AW70" s="332"/>
      <c r="AX70" s="339"/>
      <c r="AY70" s="348"/>
      <c r="AZ70" s="349"/>
      <c r="BA70" s="342">
        <f ca="1">UDayCou(2,ROW())</f>
        <v>6</v>
      </c>
      <c r="BB70" s="343">
        <f ca="1">UNightCou(2,ROW())</f>
        <v>3</v>
      </c>
      <c r="BC70" s="344">
        <f ca="1">UNewCou(2,ROW())</f>
        <v>0</v>
      </c>
      <c r="BD70" s="327">
        <f t="shared" si="111"/>
        <v>45715</v>
      </c>
      <c r="BE70" s="371" t="str">
        <f t="shared" si="112"/>
        <v>木</v>
      </c>
      <c r="BF70" s="350"/>
      <c r="BG70" s="351"/>
      <c r="BH70" s="330"/>
      <c r="BI70" s="351"/>
      <c r="BJ70" s="330"/>
      <c r="BK70" s="351"/>
      <c r="BL70" s="330"/>
      <c r="BM70" s="351"/>
      <c r="BN70" s="330"/>
      <c r="BO70" s="351"/>
      <c r="BP70" s="330"/>
      <c r="BQ70" s="351"/>
      <c r="BR70" s="330"/>
      <c r="BS70" s="351"/>
      <c r="BT70" s="330"/>
      <c r="BU70" s="351"/>
      <c r="BV70" s="330"/>
      <c r="BW70" s="351"/>
      <c r="BX70" s="330"/>
      <c r="BY70" s="351"/>
      <c r="BZ70" s="389"/>
      <c r="CA70" s="341"/>
      <c r="CB70" s="342">
        <f ca="1">UDayCou(3,ROW())</f>
        <v>0</v>
      </c>
      <c r="CC70" s="343">
        <f ca="1">UNightCou(3,ROW())</f>
        <v>0</v>
      </c>
      <c r="CD70" s="344">
        <f ca="1">UNewCou(3,ROW())</f>
        <v>0</v>
      </c>
      <c r="CE70" s="327">
        <f t="shared" si="113"/>
        <v>45715</v>
      </c>
      <c r="CF70" s="371" t="str">
        <f t="shared" si="114"/>
        <v>木</v>
      </c>
      <c r="CG70" s="352">
        <f t="shared" ref="CG70" ca="1" si="309">Z70+BA70+CB70</f>
        <v>11</v>
      </c>
      <c r="CH70" s="353">
        <f t="shared" ref="CH70" ca="1" si="310">AA70+BB70+CC70</f>
        <v>7</v>
      </c>
      <c r="CI70" s="354">
        <f t="shared" ref="CI70" ca="1" si="311">AB70+BC70+CD70</f>
        <v>1</v>
      </c>
      <c r="CJ70" s="355">
        <f ca="1">COUNTIF(INDIRECT("D118:CA119"),"*●*")</f>
        <v>3</v>
      </c>
      <c r="CK70" s="356">
        <f ca="1">COUNTIF(INDIRECT("D118:CA119"),"*㋷*")</f>
        <v>0</v>
      </c>
      <c r="CL70" s="176"/>
      <c r="CM70" s="178"/>
      <c r="CN70" s="160">
        <f t="shared" si="118"/>
        <v>45715</v>
      </c>
      <c r="CO70" s="162" t="str">
        <f t="shared" si="119"/>
        <v>木</v>
      </c>
      <c r="CP70" s="357"/>
      <c r="CQ70" s="358"/>
      <c r="CR70" s="359"/>
      <c r="CS70" s="358"/>
      <c r="CT70" s="359"/>
      <c r="CU70" s="358"/>
      <c r="CZ70" s="73">
        <v>2</v>
      </c>
      <c r="DA70" s="73">
        <v>2</v>
      </c>
      <c r="DB70" s="73">
        <v>27</v>
      </c>
      <c r="DC70" s="74">
        <f t="shared" si="304"/>
        <v>45715</v>
      </c>
      <c r="DD70" s="68" t="str">
        <f t="shared" si="135"/>
        <v>木</v>
      </c>
      <c r="DF70" s="155">
        <f t="shared" ref="DF70" si="312">$DC70</f>
        <v>45715</v>
      </c>
      <c r="DG70" s="156" t="e">
        <f ca="1">IF($CH70&gt;=設定!$E$12,"✕",IF(SS予約表!$CG70&gt;=設定!$E$12,"△","○"))</f>
        <v>#NAME?</v>
      </c>
    </row>
    <row r="71" spans="1:112" ht="29.25" customHeight="1">
      <c r="A71" s="284"/>
      <c r="B71" s="285"/>
      <c r="C71" s="286" t="s">
        <v>28</v>
      </c>
      <c r="D71" s="299"/>
      <c r="E71" s="321"/>
      <c r="F71" s="299"/>
      <c r="G71" s="300"/>
      <c r="H71" s="320"/>
      <c r="I71" s="324"/>
      <c r="J71" s="299"/>
      <c r="K71" s="321"/>
      <c r="L71" s="299"/>
      <c r="M71" s="324"/>
      <c r="N71" s="429"/>
      <c r="O71" s="322"/>
      <c r="P71" s="319"/>
      <c r="Q71" s="318"/>
      <c r="R71" s="319"/>
      <c r="S71" s="323"/>
      <c r="T71" s="299"/>
      <c r="U71" s="300"/>
      <c r="V71" s="319"/>
      <c r="W71" s="323"/>
      <c r="X71" s="319"/>
      <c r="Y71" s="323"/>
      <c r="Z71" s="294"/>
      <c r="AA71" s="295"/>
      <c r="AB71" s="296"/>
      <c r="AC71" s="297"/>
      <c r="AD71" s="298"/>
      <c r="AE71" s="319"/>
      <c r="AF71" s="323"/>
      <c r="AG71" s="422" t="s">
        <v>39</v>
      </c>
      <c r="AH71" s="364"/>
      <c r="AI71" s="422"/>
      <c r="AJ71" s="423"/>
      <c r="AK71" s="299"/>
      <c r="AL71" s="300"/>
      <c r="AM71" s="319"/>
      <c r="AN71" s="323"/>
      <c r="AO71" s="299"/>
      <c r="AP71" s="300"/>
      <c r="AQ71" s="319"/>
      <c r="AR71" s="318"/>
      <c r="AS71" s="299"/>
      <c r="AT71" s="300"/>
      <c r="AU71" s="319"/>
      <c r="AV71" s="318"/>
      <c r="AW71" s="319"/>
      <c r="AX71" s="323"/>
      <c r="AY71" s="325"/>
      <c r="AZ71" s="326"/>
      <c r="BA71" s="294"/>
      <c r="BB71" s="295"/>
      <c r="BC71" s="296"/>
      <c r="BD71" s="284"/>
      <c r="BE71" s="298"/>
      <c r="BF71" s="305"/>
      <c r="BG71" s="302"/>
      <c r="BH71" s="301"/>
      <c r="BI71" s="302"/>
      <c r="BJ71" s="301"/>
      <c r="BK71" s="302"/>
      <c r="BL71" s="301"/>
      <c r="BM71" s="302"/>
      <c r="BN71" s="301"/>
      <c r="BO71" s="302"/>
      <c r="BP71" s="301"/>
      <c r="BQ71" s="302"/>
      <c r="BR71" s="301"/>
      <c r="BS71" s="302"/>
      <c r="BT71" s="301"/>
      <c r="BU71" s="302"/>
      <c r="BV71" s="301"/>
      <c r="BW71" s="302"/>
      <c r="BX71" s="301"/>
      <c r="BY71" s="302"/>
      <c r="BZ71" s="306"/>
      <c r="CA71" s="304"/>
      <c r="CB71" s="294"/>
      <c r="CC71" s="295"/>
      <c r="CD71" s="296"/>
      <c r="CE71" s="284"/>
      <c r="CF71" s="298"/>
      <c r="CG71" s="307"/>
      <c r="CH71" s="308"/>
      <c r="CI71" s="309"/>
      <c r="CJ71" s="310"/>
      <c r="CK71" s="311"/>
      <c r="CL71" s="26" t="s">
        <v>34</v>
      </c>
      <c r="CM71" s="154" t="s">
        <v>35</v>
      </c>
      <c r="CN71" s="161"/>
      <c r="CO71" s="163"/>
      <c r="CP71" s="315"/>
      <c r="CQ71" s="316"/>
      <c r="CR71" s="317"/>
      <c r="CS71" s="316"/>
      <c r="CT71" s="317"/>
      <c r="CU71" s="316"/>
      <c r="CZ71" s="73">
        <v>2</v>
      </c>
      <c r="DA71" s="73">
        <v>2</v>
      </c>
      <c r="DB71" s="73">
        <v>27</v>
      </c>
      <c r="DC71" s="74">
        <f t="shared" si="304"/>
        <v>45715</v>
      </c>
      <c r="DD71" s="68" t="str">
        <f t="shared" si="135"/>
        <v>木</v>
      </c>
      <c r="DF71" s="156"/>
      <c r="DG71" s="156"/>
    </row>
    <row r="72" spans="1:112" ht="28.5" customHeight="1">
      <c r="A72" s="327">
        <f t="shared" si="104"/>
        <v>45716</v>
      </c>
      <c r="B72" s="365" t="str">
        <f t="shared" si="105"/>
        <v>金</v>
      </c>
      <c r="C72" s="329" t="s">
        <v>27</v>
      </c>
      <c r="D72" s="335"/>
      <c r="E72" s="381" t="s">
        <v>47</v>
      </c>
      <c r="F72" s="335"/>
      <c r="G72" s="347"/>
      <c r="H72" s="333"/>
      <c r="I72" s="377"/>
      <c r="J72" s="335"/>
      <c r="K72" s="381"/>
      <c r="L72" s="335"/>
      <c r="M72" s="377"/>
      <c r="N72" s="430"/>
      <c r="O72" s="336"/>
      <c r="P72" s="332">
        <v>15</v>
      </c>
      <c r="Q72" s="366" t="s">
        <v>54</v>
      </c>
      <c r="R72" s="335"/>
      <c r="S72" s="347"/>
      <c r="T72" s="335"/>
      <c r="U72" s="347"/>
      <c r="V72" s="332"/>
      <c r="W72" s="339" t="s">
        <v>55</v>
      </c>
      <c r="X72" s="332"/>
      <c r="Y72" s="339"/>
      <c r="Z72" s="342">
        <f t="shared" ref="Z72" ca="1" si="313">UDayCou(1,ROW())</f>
        <v>7</v>
      </c>
      <c r="AA72" s="343">
        <f t="shared" ref="AA72" ca="1" si="314">UNightCou(1,ROW())</f>
        <v>6</v>
      </c>
      <c r="AB72" s="344">
        <f t="shared" ref="AB72" ca="1" si="315">UNewCou(1,ROW())</f>
        <v>1</v>
      </c>
      <c r="AC72" s="345">
        <f t="shared" si="109"/>
        <v>45716</v>
      </c>
      <c r="AD72" s="371" t="str">
        <f t="shared" si="110"/>
        <v>金</v>
      </c>
      <c r="AE72" s="332"/>
      <c r="AF72" s="339"/>
      <c r="AG72" s="425">
        <v>15</v>
      </c>
      <c r="AH72" s="400" t="s">
        <v>56</v>
      </c>
      <c r="AI72" s="425"/>
      <c r="AJ72" s="426" t="s">
        <v>55</v>
      </c>
      <c r="AK72" s="335"/>
      <c r="AL72" s="347" t="s">
        <v>55</v>
      </c>
      <c r="AM72" s="332"/>
      <c r="AN72" s="339" t="s">
        <v>57</v>
      </c>
      <c r="AO72" s="335"/>
      <c r="AP72" s="347" t="s">
        <v>58</v>
      </c>
      <c r="AQ72" s="332">
        <v>15</v>
      </c>
      <c r="AR72" s="366" t="s">
        <v>59</v>
      </c>
      <c r="AS72" s="335"/>
      <c r="AT72" s="347"/>
      <c r="AU72" s="332"/>
      <c r="AV72" s="338"/>
      <c r="AW72" s="332"/>
      <c r="AX72" s="339"/>
      <c r="AY72" s="348"/>
      <c r="AZ72" s="349"/>
      <c r="BA72" s="342">
        <f ca="1">UDayCou(2,ROW())</f>
        <v>7</v>
      </c>
      <c r="BB72" s="343">
        <f ca="1">UNightCou(2,ROW())</f>
        <v>5</v>
      </c>
      <c r="BC72" s="344">
        <f ca="1">UNewCou(2,ROW())</f>
        <v>2</v>
      </c>
      <c r="BD72" s="327">
        <f t="shared" si="111"/>
        <v>45716</v>
      </c>
      <c r="BE72" s="371" t="str">
        <f t="shared" si="112"/>
        <v>金</v>
      </c>
      <c r="BF72" s="350"/>
      <c r="BG72" s="351"/>
      <c r="BH72" s="330"/>
      <c r="BI72" s="351"/>
      <c r="BJ72" s="330"/>
      <c r="BK72" s="351"/>
      <c r="BL72" s="330"/>
      <c r="BM72" s="351"/>
      <c r="BN72" s="330"/>
      <c r="BO72" s="351"/>
      <c r="BP72" s="330"/>
      <c r="BQ72" s="351"/>
      <c r="BR72" s="330"/>
      <c r="BS72" s="351"/>
      <c r="BT72" s="330"/>
      <c r="BU72" s="351"/>
      <c r="BV72" s="330"/>
      <c r="BW72" s="351"/>
      <c r="BX72" s="330"/>
      <c r="BY72" s="351"/>
      <c r="BZ72" s="389"/>
      <c r="CA72" s="341"/>
      <c r="CB72" s="342">
        <f ca="1">UDayCou(3,ROW())</f>
        <v>0</v>
      </c>
      <c r="CC72" s="343">
        <f ca="1">UNightCou(3,ROW())</f>
        <v>0</v>
      </c>
      <c r="CD72" s="344">
        <f ca="1">UNewCou(3,ROW())</f>
        <v>0</v>
      </c>
      <c r="CE72" s="327">
        <f t="shared" si="113"/>
        <v>45716</v>
      </c>
      <c r="CF72" s="371" t="str">
        <f t="shared" si="114"/>
        <v>金</v>
      </c>
      <c r="CG72" s="352">
        <f t="shared" ref="CG72" ca="1" si="316">Z72+BA72+CB72</f>
        <v>14</v>
      </c>
      <c r="CH72" s="353">
        <f t="shared" ref="CH72" ca="1" si="317">AA72+BB72+CC72</f>
        <v>11</v>
      </c>
      <c r="CI72" s="354">
        <f t="shared" ref="CI72" ca="1" si="318">AB72+BC72+CD72</f>
        <v>3</v>
      </c>
      <c r="CJ72" s="355">
        <f ca="1">COUNTIF(INDIRECT("D120:CA121"),"*●*")</f>
        <v>5</v>
      </c>
      <c r="CK72" s="356">
        <f ca="1">COUNTIF(INDIRECT("D120:CA121"),"*㋷*")</f>
        <v>0</v>
      </c>
      <c r="CL72" s="179">
        <f ca="1">CL69/CL66</f>
        <v>17.392857142857142</v>
      </c>
      <c r="CM72" s="181">
        <f ca="1">(CL69-CM69)/CL66</f>
        <v>15.464285714285714</v>
      </c>
      <c r="CN72" s="160">
        <f t="shared" si="118"/>
        <v>45716</v>
      </c>
      <c r="CO72" s="162" t="str">
        <f t="shared" si="119"/>
        <v>金</v>
      </c>
      <c r="CP72" s="357"/>
      <c r="CQ72" s="358"/>
      <c r="CR72" s="359"/>
      <c r="CS72" s="358"/>
      <c r="CT72" s="359"/>
      <c r="CU72" s="358"/>
      <c r="CZ72" s="73">
        <v>2</v>
      </c>
      <c r="DA72" s="73">
        <v>2</v>
      </c>
      <c r="DB72" s="73">
        <v>28</v>
      </c>
      <c r="DC72" s="74">
        <f t="shared" si="304"/>
        <v>45716</v>
      </c>
      <c r="DD72" s="68" t="str">
        <f t="shared" si="135"/>
        <v>金</v>
      </c>
      <c r="DF72" s="155">
        <f t="shared" ref="DF72" si="319">$DC72</f>
        <v>45716</v>
      </c>
      <c r="DG72" s="156" t="e">
        <f ca="1">IF($CH72&gt;=設定!$E$12,"✕",IF(SS予約表!$CG72&gt;=設定!$E$12,"△","○"))</f>
        <v>#NAME?</v>
      </c>
    </row>
    <row r="73" spans="1:112" ht="29.25" customHeight="1" thickBot="1">
      <c r="A73" s="284"/>
      <c r="B73" s="285"/>
      <c r="C73" s="286" t="s">
        <v>28</v>
      </c>
      <c r="D73" s="319">
        <v>10</v>
      </c>
      <c r="E73" s="318" t="s">
        <v>60</v>
      </c>
      <c r="F73" s="319">
        <v>10</v>
      </c>
      <c r="G73" s="318" t="s">
        <v>61</v>
      </c>
      <c r="H73" s="320"/>
      <c r="I73" s="324"/>
      <c r="J73" s="319"/>
      <c r="K73" s="323"/>
      <c r="L73" s="299"/>
      <c r="M73" s="324"/>
      <c r="N73" s="429"/>
      <c r="O73" s="322"/>
      <c r="P73" s="319"/>
      <c r="Q73" s="323"/>
      <c r="R73" s="299"/>
      <c r="S73" s="300"/>
      <c r="T73" s="319"/>
      <c r="U73" s="323"/>
      <c r="V73" s="299">
        <v>10</v>
      </c>
      <c r="W73" s="324" t="s">
        <v>62</v>
      </c>
      <c r="X73" s="319"/>
      <c r="Y73" s="323"/>
      <c r="Z73" s="294"/>
      <c r="AA73" s="295"/>
      <c r="AB73" s="296"/>
      <c r="AC73" s="297"/>
      <c r="AD73" s="298"/>
      <c r="AE73" s="319"/>
      <c r="AF73" s="323"/>
      <c r="AG73" s="319"/>
      <c r="AH73" s="323"/>
      <c r="AI73" s="391">
        <v>10</v>
      </c>
      <c r="AJ73" s="392" t="s">
        <v>63</v>
      </c>
      <c r="AK73" s="319">
        <v>10</v>
      </c>
      <c r="AL73" s="318" t="s">
        <v>64</v>
      </c>
      <c r="AM73" s="319">
        <v>10</v>
      </c>
      <c r="AN73" s="318" t="s">
        <v>65</v>
      </c>
      <c r="AO73" s="376">
        <v>10</v>
      </c>
      <c r="AP73" s="318" t="s">
        <v>66</v>
      </c>
      <c r="AQ73" s="320"/>
      <c r="AR73" s="321"/>
      <c r="AS73" s="299"/>
      <c r="AT73" s="300"/>
      <c r="AU73" s="319"/>
      <c r="AV73" s="318"/>
      <c r="AW73" s="319"/>
      <c r="AX73" s="323"/>
      <c r="AY73" s="325"/>
      <c r="AZ73" s="326"/>
      <c r="BA73" s="294"/>
      <c r="BB73" s="295"/>
      <c r="BC73" s="296"/>
      <c r="BD73" s="284"/>
      <c r="BE73" s="298"/>
      <c r="BF73" s="305"/>
      <c r="BG73" s="302"/>
      <c r="BH73" s="301"/>
      <c r="BI73" s="302"/>
      <c r="BJ73" s="301"/>
      <c r="BK73" s="302"/>
      <c r="BL73" s="301"/>
      <c r="BM73" s="302"/>
      <c r="BN73" s="301"/>
      <c r="BO73" s="302"/>
      <c r="BP73" s="301"/>
      <c r="BQ73" s="302"/>
      <c r="BR73" s="301"/>
      <c r="BS73" s="302"/>
      <c r="BT73" s="301"/>
      <c r="BU73" s="302"/>
      <c r="BV73" s="301"/>
      <c r="BW73" s="302"/>
      <c r="BX73" s="289"/>
      <c r="BY73" s="291"/>
      <c r="BZ73" s="306"/>
      <c r="CA73" s="304"/>
      <c r="CB73" s="294"/>
      <c r="CC73" s="295"/>
      <c r="CD73" s="296"/>
      <c r="CE73" s="284"/>
      <c r="CF73" s="298"/>
      <c r="CG73" s="307"/>
      <c r="CH73" s="308"/>
      <c r="CI73" s="309"/>
      <c r="CJ73" s="310"/>
      <c r="CK73" s="311"/>
      <c r="CL73" s="180"/>
      <c r="CM73" s="182"/>
      <c r="CN73" s="161"/>
      <c r="CO73" s="163"/>
      <c r="CP73" s="315"/>
      <c r="CQ73" s="316"/>
      <c r="CR73" s="317"/>
      <c r="CS73" s="316"/>
      <c r="CT73" s="317"/>
      <c r="CU73" s="316"/>
      <c r="CZ73" s="73">
        <v>2</v>
      </c>
      <c r="DA73" s="73">
        <v>2</v>
      </c>
      <c r="DB73" s="73">
        <v>28</v>
      </c>
      <c r="DC73" s="74">
        <f t="shared" si="304"/>
        <v>45716</v>
      </c>
      <c r="DD73" s="68" t="str">
        <f t="shared" si="135"/>
        <v>金</v>
      </c>
      <c r="DF73" s="156"/>
      <c r="DG73" s="156"/>
    </row>
    <row r="74" spans="1:112" ht="28.5" hidden="1" customHeight="1">
      <c r="A74" s="327" t="str">
        <f t="shared" si="104"/>
        <v/>
      </c>
      <c r="B74" s="365" t="str">
        <f t="shared" si="105"/>
        <v/>
      </c>
      <c r="C74" s="329" t="s">
        <v>27</v>
      </c>
      <c r="D74" s="332"/>
      <c r="E74" s="338"/>
      <c r="F74" s="332"/>
      <c r="G74" s="336"/>
      <c r="H74" s="333"/>
      <c r="I74" s="377"/>
      <c r="J74" s="332"/>
      <c r="K74" s="339"/>
      <c r="L74" s="335"/>
      <c r="M74" s="377"/>
      <c r="N74" s="430"/>
      <c r="O74" s="409"/>
      <c r="P74" s="332"/>
      <c r="Q74" s="339"/>
      <c r="R74" s="335"/>
      <c r="S74" s="347"/>
      <c r="T74" s="332"/>
      <c r="U74" s="339"/>
      <c r="V74" s="335"/>
      <c r="W74" s="377"/>
      <c r="X74" s="332"/>
      <c r="Y74" s="339"/>
      <c r="Z74" s="342" t="str">
        <f ca="1">IF(MOD(年,4)=0,UDayCou(1,ROW()),"")</f>
        <v/>
      </c>
      <c r="AA74" s="343" t="str">
        <f ca="1">IF(MOD(年,4)=0,UNightCou(1,ROW()),"")</f>
        <v/>
      </c>
      <c r="AB74" s="344" t="str">
        <f ca="1">IF(MOD(年,4)=0,UNewCou(1,ROW()),"")</f>
        <v/>
      </c>
      <c r="AC74" s="345" t="str">
        <f t="shared" si="109"/>
        <v/>
      </c>
      <c r="AD74" s="371" t="str">
        <f t="shared" si="110"/>
        <v/>
      </c>
      <c r="AE74" s="332"/>
      <c r="AF74" s="339"/>
      <c r="AG74" s="332"/>
      <c r="AH74" s="339"/>
      <c r="AI74" s="395" t="s">
        <v>39</v>
      </c>
      <c r="AJ74" s="396"/>
      <c r="AK74" s="332"/>
      <c r="AL74" s="338"/>
      <c r="AM74" s="332"/>
      <c r="AN74" s="338"/>
      <c r="AO74" s="380"/>
      <c r="AP74" s="336"/>
      <c r="AQ74" s="333"/>
      <c r="AR74" s="381"/>
      <c r="AS74" s="335"/>
      <c r="AT74" s="347"/>
      <c r="AU74" s="332"/>
      <c r="AV74" s="336"/>
      <c r="AW74" s="332"/>
      <c r="AX74" s="339"/>
      <c r="AY74" s="348"/>
      <c r="AZ74" s="349"/>
      <c r="BA74" s="342" t="str">
        <f ca="1">IF(MOD(年,4)=0,UDayCou(2,ROW()),"")</f>
        <v/>
      </c>
      <c r="BB74" s="343" t="str">
        <f ca="1">IF(MOD(年,4)=0,UNightCou(2,ROW()),"")</f>
        <v/>
      </c>
      <c r="BC74" s="344" t="str">
        <f ca="1">IF(MOD(年,4)=0,UNewCou(2,ROW()),"")</f>
        <v/>
      </c>
      <c r="BD74" s="327" t="str">
        <f t="shared" si="111"/>
        <v/>
      </c>
      <c r="BE74" s="371" t="str">
        <f t="shared" si="112"/>
        <v/>
      </c>
      <c r="BF74" s="350"/>
      <c r="BG74" s="351"/>
      <c r="BH74" s="330"/>
      <c r="BI74" s="351"/>
      <c r="BJ74" s="330"/>
      <c r="BK74" s="351"/>
      <c r="BL74" s="330"/>
      <c r="BM74" s="351"/>
      <c r="BN74" s="330"/>
      <c r="BO74" s="351"/>
      <c r="BP74" s="330"/>
      <c r="BQ74" s="351"/>
      <c r="BR74" s="330"/>
      <c r="BS74" s="351"/>
      <c r="BT74" s="330"/>
      <c r="BU74" s="351"/>
      <c r="BV74" s="330"/>
      <c r="BW74" s="351"/>
      <c r="BX74" s="431"/>
      <c r="BY74" s="432"/>
      <c r="BZ74" s="389"/>
      <c r="CA74" s="341"/>
      <c r="CB74" s="342" t="str">
        <f ca="1">IF(MOD(年,4)=0,UDayCou(3,ROW()),"")</f>
        <v/>
      </c>
      <c r="CC74" s="343" t="str">
        <f ca="1">IF(MOD(年,4)=0,UNightCou(3,ROW()),"")</f>
        <v/>
      </c>
      <c r="CD74" s="344" t="str">
        <f ca="1">IF(MOD(年,4)=0,UNewCou(3,ROW()),"")</f>
        <v/>
      </c>
      <c r="CE74" s="327" t="str">
        <f t="shared" si="113"/>
        <v/>
      </c>
      <c r="CF74" s="371" t="str">
        <f t="shared" si="114"/>
        <v/>
      </c>
      <c r="CG74" s="352">
        <f ca="1">IF(MOD(年,4)=0,Z74+BA74+CB74,0)</f>
        <v>0</v>
      </c>
      <c r="CH74" s="353">
        <f ca="1">IF(MOD(年,4)=0,AA74+BB74+CC74,0)</f>
        <v>0</v>
      </c>
      <c r="CI74" s="354">
        <f ca="1">IF(MOD(年,4)=0,AB74+BC74+CD74,0)</f>
        <v>0</v>
      </c>
      <c r="CJ74" s="355">
        <f ca="1">COUNTIF(INDIRECT("D122:CA123"),"*●*")</f>
        <v>10</v>
      </c>
      <c r="CK74" s="356">
        <f ca="1">COUNTIF(INDIRECT("D122:CA123"),"*㋷*")</f>
        <v>0</v>
      </c>
      <c r="CL74" s="75"/>
      <c r="CN74" s="160" t="str">
        <f t="shared" si="118"/>
        <v/>
      </c>
      <c r="CO74" s="162" t="str">
        <f t="shared" si="119"/>
        <v/>
      </c>
      <c r="CP74" s="357"/>
      <c r="CQ74" s="358"/>
      <c r="CR74" s="359"/>
      <c r="CS74" s="358"/>
      <c r="CT74" s="359"/>
      <c r="CU74" s="358"/>
      <c r="CZ74" s="73">
        <v>2</v>
      </c>
      <c r="DA74" s="73">
        <v>2</v>
      </c>
      <c r="DB74" s="73">
        <v>29</v>
      </c>
      <c r="DC74" s="74" t="str">
        <f>IF(DAY(DATE($A$2,$DA74,$DB74))=29,DATE($A$2,$DA74,$DB74),"")</f>
        <v/>
      </c>
      <c r="DD74" s="68" t="str">
        <f t="shared" si="135"/>
        <v/>
      </c>
      <c r="DE74" s="78">
        <f>IF(DC74="",1,"")</f>
        <v>1</v>
      </c>
      <c r="DF74" s="155" t="str">
        <f t="shared" ref="DF74" si="320">$DC74</f>
        <v/>
      </c>
      <c r="DG74" s="156" t="str">
        <f ca="1">IF($CH74&gt;=設定!$E$12,"✕",IF(SS予約表!$CG74&gt;=設定!$E$12,"△","○"))</f>
        <v>○</v>
      </c>
    </row>
    <row r="75" spans="1:112" ht="29.25" hidden="1" customHeight="1">
      <c r="A75" s="284"/>
      <c r="B75" s="285"/>
      <c r="C75" s="286" t="s">
        <v>28</v>
      </c>
      <c r="D75" s="319"/>
      <c r="E75" s="318"/>
      <c r="F75" s="319"/>
      <c r="G75" s="318"/>
      <c r="H75" s="320"/>
      <c r="I75" s="324"/>
      <c r="J75" s="319"/>
      <c r="K75" s="323"/>
      <c r="L75" s="299"/>
      <c r="M75" s="324"/>
      <c r="N75" s="429"/>
      <c r="O75" s="322"/>
      <c r="P75" s="319"/>
      <c r="Q75" s="323"/>
      <c r="R75" s="299"/>
      <c r="S75" s="300"/>
      <c r="T75" s="319"/>
      <c r="U75" s="323"/>
      <c r="V75" s="299"/>
      <c r="W75" s="324"/>
      <c r="X75" s="319"/>
      <c r="Y75" s="323"/>
      <c r="Z75" s="294"/>
      <c r="AA75" s="295"/>
      <c r="AB75" s="296"/>
      <c r="AC75" s="297"/>
      <c r="AD75" s="298"/>
      <c r="AE75" s="319"/>
      <c r="AF75" s="323"/>
      <c r="AG75" s="319"/>
      <c r="AH75" s="323"/>
      <c r="AI75" s="391" t="s">
        <v>39</v>
      </c>
      <c r="AJ75" s="392"/>
      <c r="AK75" s="319"/>
      <c r="AL75" s="318"/>
      <c r="AM75" s="319"/>
      <c r="AN75" s="318"/>
      <c r="AO75" s="376"/>
      <c r="AP75" s="318"/>
      <c r="AQ75" s="320"/>
      <c r="AR75" s="321"/>
      <c r="AS75" s="299"/>
      <c r="AT75" s="300"/>
      <c r="AU75" s="319"/>
      <c r="AV75" s="318"/>
      <c r="AW75" s="319"/>
      <c r="AX75" s="323"/>
      <c r="AY75" s="325"/>
      <c r="AZ75" s="326"/>
      <c r="BA75" s="294"/>
      <c r="BB75" s="295"/>
      <c r="BC75" s="296"/>
      <c r="BD75" s="284"/>
      <c r="BE75" s="298"/>
      <c r="BF75" s="305"/>
      <c r="BG75" s="302"/>
      <c r="BH75" s="301"/>
      <c r="BI75" s="302"/>
      <c r="BJ75" s="301"/>
      <c r="BK75" s="302"/>
      <c r="BL75" s="301"/>
      <c r="BM75" s="302"/>
      <c r="BN75" s="301"/>
      <c r="BO75" s="302"/>
      <c r="BP75" s="301"/>
      <c r="BQ75" s="302"/>
      <c r="BR75" s="301"/>
      <c r="BS75" s="302"/>
      <c r="BT75" s="301"/>
      <c r="BU75" s="302"/>
      <c r="BV75" s="301"/>
      <c r="BW75" s="302"/>
      <c r="BX75" s="289"/>
      <c r="BY75" s="291"/>
      <c r="BZ75" s="306"/>
      <c r="CA75" s="304"/>
      <c r="CB75" s="294"/>
      <c r="CC75" s="295"/>
      <c r="CD75" s="296"/>
      <c r="CE75" s="284"/>
      <c r="CF75" s="298"/>
      <c r="CG75" s="307"/>
      <c r="CH75" s="308"/>
      <c r="CI75" s="309"/>
      <c r="CJ75" s="310"/>
      <c r="CK75" s="311"/>
      <c r="CL75" s="75"/>
      <c r="CN75" s="161"/>
      <c r="CO75" s="163"/>
      <c r="CP75" s="315"/>
      <c r="CQ75" s="316"/>
      <c r="CR75" s="317"/>
      <c r="CS75" s="316"/>
      <c r="CT75" s="317"/>
      <c r="CU75" s="316"/>
      <c r="CZ75" s="73">
        <v>2</v>
      </c>
      <c r="DA75" s="73">
        <v>2</v>
      </c>
      <c r="DB75" s="73">
        <v>29</v>
      </c>
      <c r="DC75" s="74" t="str">
        <f>IF(DAY(DATE($A$2,$DA75,$DB75))=29,DATE($A$2,$DA75,$DB75),"")</f>
        <v/>
      </c>
      <c r="DD75" s="68" t="str">
        <f t="shared" si="135"/>
        <v/>
      </c>
      <c r="DE75" s="78">
        <f>IF(DC75="",1,"")</f>
        <v>1</v>
      </c>
      <c r="DF75" s="156"/>
      <c r="DG75" s="156"/>
    </row>
    <row r="76" spans="1:112" ht="28.5" customHeight="1">
      <c r="A76" s="491">
        <f t="shared" si="104"/>
        <v>45717</v>
      </c>
      <c r="B76" s="534" t="str">
        <f t="shared" si="105"/>
        <v>土</v>
      </c>
      <c r="C76" s="493" t="s">
        <v>27</v>
      </c>
      <c r="D76" s="496" t="s">
        <v>67</v>
      </c>
      <c r="E76" s="502" t="s">
        <v>68</v>
      </c>
      <c r="F76" s="496" t="s">
        <v>67</v>
      </c>
      <c r="G76" s="502" t="s">
        <v>69</v>
      </c>
      <c r="H76" s="497" t="s">
        <v>67</v>
      </c>
      <c r="I76" s="527" t="s">
        <v>70</v>
      </c>
      <c r="J76" s="496"/>
      <c r="K76" s="503"/>
      <c r="L76" s="499" t="s">
        <v>67</v>
      </c>
      <c r="M76" s="527" t="s">
        <v>71</v>
      </c>
      <c r="N76" s="547" t="s">
        <v>67</v>
      </c>
      <c r="O76" s="548" t="s">
        <v>72</v>
      </c>
      <c r="P76" s="496"/>
      <c r="Q76" s="503"/>
      <c r="R76" s="499"/>
      <c r="S76" s="511"/>
      <c r="T76" s="496"/>
      <c r="U76" s="503"/>
      <c r="V76" s="499" t="s">
        <v>67</v>
      </c>
      <c r="W76" s="527" t="s">
        <v>73</v>
      </c>
      <c r="X76" s="496"/>
      <c r="Y76" s="503"/>
      <c r="Z76" s="506">
        <f t="shared" ref="Z76" ca="1" si="321">UDayCou(1,ROW())</f>
        <v>7</v>
      </c>
      <c r="AA76" s="507">
        <f t="shared" ref="AA76" ca="1" si="322">UNightCou(1,ROW())</f>
        <v>7</v>
      </c>
      <c r="AB76" s="508">
        <f t="shared" ref="AB76" ca="1" si="323">UNewCou(1,ROW())</f>
        <v>1</v>
      </c>
      <c r="AC76" s="509">
        <f t="shared" si="109"/>
        <v>45717</v>
      </c>
      <c r="AD76" s="536" t="str">
        <f t="shared" si="110"/>
        <v>土</v>
      </c>
      <c r="AE76" s="496"/>
      <c r="AF76" s="503" t="s">
        <v>47</v>
      </c>
      <c r="AG76" s="496"/>
      <c r="AH76" s="503"/>
      <c r="AI76" s="537" t="s">
        <v>74</v>
      </c>
      <c r="AJ76" s="538" t="s">
        <v>75</v>
      </c>
      <c r="AK76" s="496" t="s">
        <v>67</v>
      </c>
      <c r="AL76" s="502" t="s">
        <v>76</v>
      </c>
      <c r="AM76" s="496" t="s">
        <v>67</v>
      </c>
      <c r="AN76" s="502" t="s">
        <v>77</v>
      </c>
      <c r="AO76" s="535">
        <v>15</v>
      </c>
      <c r="AP76" s="502" t="s">
        <v>78</v>
      </c>
      <c r="AQ76" s="497"/>
      <c r="AR76" s="526" t="s">
        <v>79</v>
      </c>
      <c r="AS76" s="499"/>
      <c r="AT76" s="511"/>
      <c r="AU76" s="496" t="s">
        <v>67</v>
      </c>
      <c r="AV76" s="502" t="s">
        <v>80</v>
      </c>
      <c r="AW76" s="496"/>
      <c r="AX76" s="503" t="s">
        <v>55</v>
      </c>
      <c r="AY76" s="512"/>
      <c r="AZ76" s="513"/>
      <c r="BA76" s="506">
        <f ca="1">UDayCou(2,ROW())</f>
        <v>8</v>
      </c>
      <c r="BB76" s="507">
        <f ca="1">UNightCou(2,ROW())</f>
        <v>8</v>
      </c>
      <c r="BC76" s="508">
        <f ca="1">UNewCou(2,ROW())</f>
        <v>2</v>
      </c>
      <c r="BD76" s="491">
        <f t="shared" si="111"/>
        <v>45717</v>
      </c>
      <c r="BE76" s="536" t="str">
        <f t="shared" si="112"/>
        <v>土</v>
      </c>
      <c r="BF76" s="514"/>
      <c r="BG76" s="515"/>
      <c r="BH76" s="494"/>
      <c r="BI76" s="515"/>
      <c r="BJ76" s="494"/>
      <c r="BK76" s="515"/>
      <c r="BL76" s="494"/>
      <c r="BM76" s="515"/>
      <c r="BN76" s="494"/>
      <c r="BO76" s="515"/>
      <c r="BP76" s="494"/>
      <c r="BQ76" s="515"/>
      <c r="BR76" s="494"/>
      <c r="BS76" s="515"/>
      <c r="BT76" s="494"/>
      <c r="BU76" s="515"/>
      <c r="BV76" s="494"/>
      <c r="BW76" s="515"/>
      <c r="BX76" s="550"/>
      <c r="BY76" s="551"/>
      <c r="BZ76" s="530"/>
      <c r="CA76" s="505"/>
      <c r="CB76" s="506">
        <f ca="1">UDayCou(3,ROW())</f>
        <v>0</v>
      </c>
      <c r="CC76" s="507">
        <f ca="1">UNightCou(3,ROW())</f>
        <v>0</v>
      </c>
      <c r="CD76" s="508">
        <f ca="1">UNewCou(3,ROW())</f>
        <v>0</v>
      </c>
      <c r="CE76" s="491">
        <f t="shared" si="113"/>
        <v>45717</v>
      </c>
      <c r="CF76" s="536" t="str">
        <f t="shared" si="114"/>
        <v>土</v>
      </c>
      <c r="CG76" s="516">
        <f t="shared" ref="CG76" ca="1" si="324">Z76+BA76+CB76</f>
        <v>15</v>
      </c>
      <c r="CH76" s="517">
        <f t="shared" ref="CH76" ca="1" si="325">AA76+BB76+CC76</f>
        <v>15</v>
      </c>
      <c r="CI76" s="518">
        <f t="shared" ref="CI76" ca="1" si="326">AB76+BC76+CD76</f>
        <v>3</v>
      </c>
      <c r="CJ76" s="519">
        <f ca="1">COUNTIF(INDIRECT("D124:CA125"),"*●*")</f>
        <v>2</v>
      </c>
      <c r="CK76" s="520">
        <f ca="1">COUNTIF(INDIRECT("D124:CA125"),"*㋷*")</f>
        <v>0</v>
      </c>
      <c r="CL76" s="75"/>
      <c r="CN76" s="164">
        <f t="shared" si="118"/>
        <v>45717</v>
      </c>
      <c r="CO76" s="169" t="str">
        <f t="shared" si="119"/>
        <v>土</v>
      </c>
      <c r="CP76" s="521"/>
      <c r="CQ76" s="522"/>
      <c r="CR76" s="523"/>
      <c r="CS76" s="522"/>
      <c r="CT76" s="523"/>
      <c r="CU76" s="522"/>
      <c r="CZ76" s="73">
        <v>3</v>
      </c>
      <c r="DA76" s="73">
        <v>3</v>
      </c>
      <c r="DB76" s="73">
        <v>1</v>
      </c>
      <c r="DC76" s="74">
        <f t="shared" ref="DC76:DC139" si="327">DATE($A$2,$DA76,$DB76)</f>
        <v>45717</v>
      </c>
      <c r="DD76" s="68" t="str">
        <f t="shared" si="135"/>
        <v>土</v>
      </c>
      <c r="DF76" s="155">
        <f t="shared" ref="DF76" si="328">$DC76</f>
        <v>45717</v>
      </c>
      <c r="DG76" s="156" t="e">
        <f ca="1">IF($CH76&gt;=設定!$E$12,"✕",IF(SS予約表!$CG76&gt;=設定!$E$12,"△","○"))</f>
        <v>#NAME?</v>
      </c>
      <c r="DH76" s="68" t="s">
        <v>36</v>
      </c>
    </row>
    <row r="77" spans="1:112" ht="29.25" customHeight="1">
      <c r="A77" s="284"/>
      <c r="B77" s="285"/>
      <c r="C77" s="286" t="s">
        <v>28</v>
      </c>
      <c r="D77" s="319"/>
      <c r="E77" s="318"/>
      <c r="F77" s="319"/>
      <c r="G77" s="318"/>
      <c r="H77" s="320"/>
      <c r="I77" s="324"/>
      <c r="J77" s="319"/>
      <c r="K77" s="323"/>
      <c r="L77" s="299"/>
      <c r="M77" s="324"/>
      <c r="N77" s="376"/>
      <c r="O77" s="318"/>
      <c r="P77" s="361">
        <v>10</v>
      </c>
      <c r="Q77" s="318" t="s">
        <v>81</v>
      </c>
      <c r="R77" s="362"/>
      <c r="S77" s="300"/>
      <c r="T77" s="319"/>
      <c r="U77" s="323"/>
      <c r="V77" s="319"/>
      <c r="W77" s="318"/>
      <c r="X77" s="361"/>
      <c r="Y77" s="323"/>
      <c r="Z77" s="294"/>
      <c r="AA77" s="295"/>
      <c r="AB77" s="296"/>
      <c r="AC77" s="297"/>
      <c r="AD77" s="298"/>
      <c r="AE77" s="319">
        <v>10</v>
      </c>
      <c r="AF77" s="318" t="s">
        <v>82</v>
      </c>
      <c r="AG77" s="319"/>
      <c r="AH77" s="323"/>
      <c r="AI77" s="433" t="s">
        <v>39</v>
      </c>
      <c r="AJ77" s="404" t="s">
        <v>63</v>
      </c>
      <c r="AK77" s="319"/>
      <c r="AL77" s="318"/>
      <c r="AM77" s="319"/>
      <c r="AN77" s="318"/>
      <c r="AO77" s="360"/>
      <c r="AP77" s="324"/>
      <c r="AQ77" s="319">
        <v>10</v>
      </c>
      <c r="AR77" s="318" t="s">
        <v>83</v>
      </c>
      <c r="AS77" s="299"/>
      <c r="AT77" s="300"/>
      <c r="AU77" s="319"/>
      <c r="AV77" s="318"/>
      <c r="AW77" s="325">
        <v>10</v>
      </c>
      <c r="AX77" s="392" t="s">
        <v>84</v>
      </c>
      <c r="AY77" s="325"/>
      <c r="AZ77" s="326"/>
      <c r="BA77" s="294"/>
      <c r="BB77" s="295"/>
      <c r="BC77" s="296"/>
      <c r="BD77" s="284"/>
      <c r="BE77" s="298"/>
      <c r="BF77" s="305"/>
      <c r="BG77" s="302"/>
      <c r="BH77" s="301"/>
      <c r="BI77" s="302"/>
      <c r="BJ77" s="301"/>
      <c r="BK77" s="302"/>
      <c r="BL77" s="301"/>
      <c r="BM77" s="302"/>
      <c r="BN77" s="301"/>
      <c r="BO77" s="302"/>
      <c r="BP77" s="301"/>
      <c r="BQ77" s="302"/>
      <c r="BR77" s="301"/>
      <c r="BS77" s="302"/>
      <c r="BT77" s="301"/>
      <c r="BU77" s="302"/>
      <c r="BV77" s="301"/>
      <c r="BW77" s="302"/>
      <c r="BX77" s="289"/>
      <c r="BY77" s="291"/>
      <c r="BZ77" s="306"/>
      <c r="CA77" s="304"/>
      <c r="CB77" s="294"/>
      <c r="CC77" s="295"/>
      <c r="CD77" s="296"/>
      <c r="CE77" s="284"/>
      <c r="CF77" s="298"/>
      <c r="CG77" s="307"/>
      <c r="CH77" s="308"/>
      <c r="CI77" s="309"/>
      <c r="CJ77" s="310"/>
      <c r="CK77" s="311"/>
      <c r="CL77" s="75"/>
      <c r="CN77" s="161"/>
      <c r="CO77" s="163"/>
      <c r="CP77" s="315"/>
      <c r="CQ77" s="316"/>
      <c r="CR77" s="317"/>
      <c r="CS77" s="316"/>
      <c r="CT77" s="317"/>
      <c r="CU77" s="316"/>
      <c r="CZ77" s="73">
        <v>3</v>
      </c>
      <c r="DA77" s="73">
        <v>3</v>
      </c>
      <c r="DB77" s="73">
        <v>1</v>
      </c>
      <c r="DC77" s="74">
        <f t="shared" si="327"/>
        <v>45717</v>
      </c>
      <c r="DD77" s="68" t="str">
        <f t="shared" si="135"/>
        <v>土</v>
      </c>
      <c r="DF77" s="156"/>
      <c r="DG77" s="156"/>
    </row>
    <row r="78" spans="1:112" ht="28.5" customHeight="1">
      <c r="A78" s="327">
        <f t="shared" si="104"/>
        <v>45718</v>
      </c>
      <c r="B78" s="328" t="str">
        <f t="shared" si="105"/>
        <v>日</v>
      </c>
      <c r="C78" s="329" t="s">
        <v>27</v>
      </c>
      <c r="D78" s="332"/>
      <c r="E78" s="336" t="s">
        <v>42</v>
      </c>
      <c r="F78" s="332"/>
      <c r="G78" s="338" t="s">
        <v>44</v>
      </c>
      <c r="H78" s="333">
        <v>15</v>
      </c>
      <c r="I78" s="337" t="s">
        <v>85</v>
      </c>
      <c r="J78" s="332"/>
      <c r="K78" s="339" t="s">
        <v>86</v>
      </c>
      <c r="L78" s="335">
        <v>15</v>
      </c>
      <c r="M78" s="337" t="s">
        <v>87</v>
      </c>
      <c r="N78" s="380"/>
      <c r="O78" s="336" t="s">
        <v>44</v>
      </c>
      <c r="P78" s="369"/>
      <c r="Q78" s="336" t="s">
        <v>42</v>
      </c>
      <c r="R78" s="370"/>
      <c r="S78" s="347"/>
      <c r="T78" s="332"/>
      <c r="U78" s="378"/>
      <c r="V78" s="332"/>
      <c r="W78" s="338"/>
      <c r="X78" s="369"/>
      <c r="Y78" s="378"/>
      <c r="Z78" s="342">
        <f t="shared" ref="Z78" ca="1" si="329">UDayCou(1,ROW())</f>
        <v>8</v>
      </c>
      <c r="AA78" s="343">
        <f t="shared" ref="AA78" ca="1" si="330">UNightCou(1,ROW())</f>
        <v>6</v>
      </c>
      <c r="AB78" s="344">
        <f t="shared" ref="AB78" ca="1" si="331">UNewCou(1,ROW())</f>
        <v>2</v>
      </c>
      <c r="AC78" s="345">
        <f t="shared" si="109"/>
        <v>45718</v>
      </c>
      <c r="AD78" s="346" t="str">
        <f t="shared" si="110"/>
        <v>日</v>
      </c>
      <c r="AE78" s="332"/>
      <c r="AF78" s="336" t="s">
        <v>42</v>
      </c>
      <c r="AG78" s="332"/>
      <c r="AH78" s="378"/>
      <c r="AI78" s="434" t="s">
        <v>39</v>
      </c>
      <c r="AJ78" s="407" t="s">
        <v>44</v>
      </c>
      <c r="AK78" s="332"/>
      <c r="AL78" s="336" t="s">
        <v>42</v>
      </c>
      <c r="AM78" s="332">
        <v>15</v>
      </c>
      <c r="AN78" s="366" t="s">
        <v>54</v>
      </c>
      <c r="AO78" s="388">
        <v>15</v>
      </c>
      <c r="AP78" s="337" t="s">
        <v>88</v>
      </c>
      <c r="AQ78" s="332"/>
      <c r="AR78" s="336" t="s">
        <v>42</v>
      </c>
      <c r="AS78" s="335"/>
      <c r="AT78" s="347"/>
      <c r="AU78" s="332"/>
      <c r="AV78" s="336" t="s">
        <v>44</v>
      </c>
      <c r="AW78" s="348" t="s">
        <v>39</v>
      </c>
      <c r="AX78" s="387" t="s">
        <v>42</v>
      </c>
      <c r="AY78" s="348"/>
      <c r="AZ78" s="349"/>
      <c r="BA78" s="342">
        <f ca="1">UDayCou(2,ROW())</f>
        <v>8</v>
      </c>
      <c r="BB78" s="343">
        <f ca="1">UNightCou(2,ROW())</f>
        <v>6</v>
      </c>
      <c r="BC78" s="344">
        <f ca="1">UNewCou(2,ROW())</f>
        <v>2</v>
      </c>
      <c r="BD78" s="327"/>
      <c r="BE78" s="346" t="str">
        <f t="shared" si="112"/>
        <v>日</v>
      </c>
      <c r="BF78" s="350"/>
      <c r="BG78" s="351"/>
      <c r="BH78" s="330"/>
      <c r="BI78" s="351"/>
      <c r="BJ78" s="330"/>
      <c r="BK78" s="351"/>
      <c r="BL78" s="330"/>
      <c r="BM78" s="351"/>
      <c r="BN78" s="330"/>
      <c r="BO78" s="351"/>
      <c r="BP78" s="330"/>
      <c r="BQ78" s="351"/>
      <c r="BR78" s="330"/>
      <c r="BS78" s="351"/>
      <c r="BT78" s="330"/>
      <c r="BU78" s="351"/>
      <c r="BV78" s="330"/>
      <c r="BW78" s="351"/>
      <c r="BX78" s="431"/>
      <c r="BY78" s="432"/>
      <c r="BZ78" s="389"/>
      <c r="CA78" s="341"/>
      <c r="CB78" s="342">
        <f ca="1">UDayCou(3,ROW())</f>
        <v>0</v>
      </c>
      <c r="CC78" s="343">
        <f ca="1">UNightCou(3,ROW())</f>
        <v>0</v>
      </c>
      <c r="CD78" s="344">
        <f ca="1">UNewCou(3,ROW())</f>
        <v>0</v>
      </c>
      <c r="CE78" s="327">
        <f t="shared" si="113"/>
        <v>45718</v>
      </c>
      <c r="CF78" s="346" t="str">
        <f t="shared" si="114"/>
        <v>日</v>
      </c>
      <c r="CG78" s="352">
        <f t="shared" ref="CG78" ca="1" si="332">Z78+BA78+CB78</f>
        <v>16</v>
      </c>
      <c r="CH78" s="353">
        <f t="shared" ref="CH78" ca="1" si="333">AA78+BB78+CC78</f>
        <v>12</v>
      </c>
      <c r="CI78" s="354">
        <f t="shared" ref="CI78" ca="1" si="334">AB78+BC78+CD78</f>
        <v>4</v>
      </c>
      <c r="CJ78" s="355">
        <f ca="1">COUNTIF(INDIRECT("D126:CA127"),"*●*")</f>
        <v>4</v>
      </c>
      <c r="CK78" s="356">
        <f ca="1">COUNTIF(INDIRECT("D126:CA127"),"*㋷*")</f>
        <v>0</v>
      </c>
      <c r="CL78" s="75"/>
      <c r="CN78" s="160">
        <f t="shared" si="118"/>
        <v>45718</v>
      </c>
      <c r="CO78" s="168" t="str">
        <f t="shared" si="119"/>
        <v>日</v>
      </c>
      <c r="CP78" s="357"/>
      <c r="CQ78" s="358"/>
      <c r="CR78" s="359"/>
      <c r="CS78" s="358"/>
      <c r="CT78" s="359"/>
      <c r="CU78" s="358"/>
      <c r="CZ78" s="73">
        <v>3</v>
      </c>
      <c r="DA78" s="73">
        <v>3</v>
      </c>
      <c r="DB78" s="73">
        <v>2</v>
      </c>
      <c r="DC78" s="74">
        <f t="shared" si="327"/>
        <v>45718</v>
      </c>
      <c r="DD78" s="68" t="str">
        <f t="shared" si="135"/>
        <v>日</v>
      </c>
      <c r="DF78" s="155">
        <f t="shared" ref="DF78" si="335">$DC78</f>
        <v>45718</v>
      </c>
      <c r="DG78" s="156" t="e">
        <f ca="1">IF($CH78&gt;=設定!$E$12,"✕",IF(SS予約表!$CG78&gt;=設定!$E$12,"△","○"))</f>
        <v>#NAME?</v>
      </c>
    </row>
    <row r="79" spans="1:112" ht="29.25" customHeight="1">
      <c r="A79" s="284"/>
      <c r="B79" s="285"/>
      <c r="C79" s="286" t="s">
        <v>28</v>
      </c>
      <c r="D79" s="319"/>
      <c r="E79" s="318"/>
      <c r="F79" s="319"/>
      <c r="G79" s="318"/>
      <c r="H79" s="319"/>
      <c r="I79" s="323"/>
      <c r="J79" s="376">
        <v>10</v>
      </c>
      <c r="K79" s="318" t="s">
        <v>89</v>
      </c>
      <c r="L79" s="319"/>
      <c r="M79" s="323"/>
      <c r="N79" s="376"/>
      <c r="O79" s="318"/>
      <c r="P79" s="361"/>
      <c r="Q79" s="318"/>
      <c r="R79" s="299"/>
      <c r="S79" s="300"/>
      <c r="T79" s="319"/>
      <c r="U79" s="323"/>
      <c r="V79" s="319"/>
      <c r="W79" s="318"/>
      <c r="X79" s="361"/>
      <c r="Y79" s="323"/>
      <c r="Z79" s="294"/>
      <c r="AA79" s="295"/>
      <c r="AB79" s="296"/>
      <c r="AC79" s="297"/>
      <c r="AD79" s="298"/>
      <c r="AE79" s="319"/>
      <c r="AF79" s="318"/>
      <c r="AG79" s="319"/>
      <c r="AH79" s="323"/>
      <c r="AI79" s="433" t="s">
        <v>39</v>
      </c>
      <c r="AJ79" s="404"/>
      <c r="AK79" s="319"/>
      <c r="AL79" s="318"/>
      <c r="AM79" s="319"/>
      <c r="AN79" s="323"/>
      <c r="AO79" s="320"/>
      <c r="AP79" s="321" t="s">
        <v>90</v>
      </c>
      <c r="AQ79" s="319"/>
      <c r="AR79" s="318"/>
      <c r="AS79" s="299"/>
      <c r="AT79" s="300"/>
      <c r="AU79" s="319"/>
      <c r="AV79" s="318"/>
      <c r="AW79" s="325" t="s">
        <v>39</v>
      </c>
      <c r="AX79" s="392"/>
      <c r="AY79" s="325"/>
      <c r="AZ79" s="326"/>
      <c r="BA79" s="294"/>
      <c r="BB79" s="295"/>
      <c r="BC79" s="296"/>
      <c r="BD79" s="284"/>
      <c r="BE79" s="298"/>
      <c r="BF79" s="305"/>
      <c r="BG79" s="302"/>
      <c r="BH79" s="301"/>
      <c r="BI79" s="302"/>
      <c r="BJ79" s="301"/>
      <c r="BK79" s="302"/>
      <c r="BL79" s="301"/>
      <c r="BM79" s="302"/>
      <c r="BN79" s="301"/>
      <c r="BO79" s="302"/>
      <c r="BP79" s="301"/>
      <c r="BQ79" s="302"/>
      <c r="BR79" s="301"/>
      <c r="BS79" s="302"/>
      <c r="BT79" s="301"/>
      <c r="BU79" s="302"/>
      <c r="BV79" s="301"/>
      <c r="BW79" s="302"/>
      <c r="BX79" s="289"/>
      <c r="BY79" s="291"/>
      <c r="BZ79" s="306"/>
      <c r="CA79" s="304"/>
      <c r="CB79" s="294"/>
      <c r="CC79" s="295"/>
      <c r="CD79" s="296"/>
      <c r="CE79" s="284"/>
      <c r="CF79" s="298"/>
      <c r="CG79" s="307"/>
      <c r="CH79" s="308"/>
      <c r="CI79" s="309"/>
      <c r="CJ79" s="310"/>
      <c r="CK79" s="311"/>
      <c r="CL79" s="75"/>
      <c r="CN79" s="161"/>
      <c r="CO79" s="163"/>
      <c r="CP79" s="315"/>
      <c r="CQ79" s="316"/>
      <c r="CR79" s="317"/>
      <c r="CS79" s="316"/>
      <c r="CT79" s="317"/>
      <c r="CU79" s="316"/>
      <c r="CZ79" s="73">
        <v>3</v>
      </c>
      <c r="DA79" s="73">
        <v>3</v>
      </c>
      <c r="DB79" s="73">
        <v>2</v>
      </c>
      <c r="DC79" s="74">
        <f t="shared" si="327"/>
        <v>45718</v>
      </c>
      <c r="DD79" s="68" t="str">
        <f t="shared" si="135"/>
        <v>日</v>
      </c>
      <c r="DF79" s="156"/>
      <c r="DG79" s="156"/>
    </row>
    <row r="80" spans="1:112" ht="28.5" customHeight="1">
      <c r="A80" s="327">
        <f t="shared" ref="A80:A142" si="336">$DC80</f>
        <v>45719</v>
      </c>
      <c r="B80" s="365" t="str">
        <f t="shared" ref="B80:B142" si="337">TEXT($A80,"aaa")</f>
        <v>月</v>
      </c>
      <c r="C80" s="329" t="s">
        <v>27</v>
      </c>
      <c r="D80" s="332">
        <v>15</v>
      </c>
      <c r="E80" s="366" t="s">
        <v>91</v>
      </c>
      <c r="F80" s="332"/>
      <c r="G80" s="336" t="s">
        <v>42</v>
      </c>
      <c r="H80" s="332"/>
      <c r="I80" s="339"/>
      <c r="J80" s="380"/>
      <c r="K80" s="338" t="s">
        <v>92</v>
      </c>
      <c r="L80" s="332"/>
      <c r="M80" s="339"/>
      <c r="N80" s="380"/>
      <c r="O80" s="336" t="s">
        <v>42</v>
      </c>
      <c r="P80" s="369">
        <v>15</v>
      </c>
      <c r="Q80" s="338"/>
      <c r="R80" s="332"/>
      <c r="S80" s="378"/>
      <c r="T80" s="332"/>
      <c r="U80" s="339"/>
      <c r="V80" s="332"/>
      <c r="W80" s="338" t="s">
        <v>93</v>
      </c>
      <c r="X80" s="369"/>
      <c r="Y80" s="339"/>
      <c r="Z80" s="342">
        <f t="shared" ref="Z80" ca="1" si="338">UDayCou(1,ROW())</f>
        <v>7</v>
      </c>
      <c r="AA80" s="343">
        <f t="shared" ref="AA80" ca="1" si="339">UNightCou(1,ROW())</f>
        <v>6</v>
      </c>
      <c r="AB80" s="344">
        <f t="shared" ref="AB80" ca="1" si="340">UNewCou(1,ROW())</f>
        <v>2</v>
      </c>
      <c r="AC80" s="345">
        <f t="shared" ref="AC80:AC142" si="341">$A80</f>
        <v>45719</v>
      </c>
      <c r="AD80" s="371" t="str">
        <f t="shared" ref="AD80:AD142" si="342">$B80</f>
        <v>月</v>
      </c>
      <c r="AE80" s="332">
        <v>15</v>
      </c>
      <c r="AF80" s="366" t="s">
        <v>55</v>
      </c>
      <c r="AG80" s="332"/>
      <c r="AH80" s="339"/>
      <c r="AI80" s="434" t="s">
        <v>39</v>
      </c>
      <c r="AJ80" s="387" t="s">
        <v>42</v>
      </c>
      <c r="AK80" s="332">
        <v>15</v>
      </c>
      <c r="AL80" s="366" t="s">
        <v>47</v>
      </c>
      <c r="AM80" s="332"/>
      <c r="AN80" s="339"/>
      <c r="AO80" s="333"/>
      <c r="AP80" s="381" t="s">
        <v>94</v>
      </c>
      <c r="AQ80" s="332">
        <v>15</v>
      </c>
      <c r="AR80" s="366" t="s">
        <v>47</v>
      </c>
      <c r="AS80" s="335"/>
      <c r="AT80" s="347"/>
      <c r="AU80" s="332"/>
      <c r="AV80" s="336" t="s">
        <v>42</v>
      </c>
      <c r="AW80" s="348" t="s">
        <v>39</v>
      </c>
      <c r="AX80" s="396"/>
      <c r="AY80" s="348"/>
      <c r="AZ80" s="349"/>
      <c r="BA80" s="342">
        <f ca="1">UDayCou(2,ROW())</f>
        <v>8</v>
      </c>
      <c r="BB80" s="343">
        <f ca="1">UNightCou(2,ROW())</f>
        <v>5</v>
      </c>
      <c r="BC80" s="344">
        <f ca="1">UNewCou(2,ROW())</f>
        <v>1</v>
      </c>
      <c r="BD80" s="327">
        <f t="shared" ref="BD80:BD142" si="343">$A80</f>
        <v>45719</v>
      </c>
      <c r="BE80" s="371" t="str">
        <f t="shared" ref="BE80:BE142" si="344">$B80</f>
        <v>月</v>
      </c>
      <c r="BF80" s="350"/>
      <c r="BG80" s="351"/>
      <c r="BH80" s="330"/>
      <c r="BI80" s="351"/>
      <c r="BJ80" s="330"/>
      <c r="BK80" s="351"/>
      <c r="BL80" s="330"/>
      <c r="BM80" s="351"/>
      <c r="BN80" s="330"/>
      <c r="BO80" s="351"/>
      <c r="BP80" s="330"/>
      <c r="BQ80" s="351"/>
      <c r="BR80" s="330"/>
      <c r="BS80" s="351"/>
      <c r="BT80" s="330"/>
      <c r="BU80" s="351"/>
      <c r="BV80" s="330"/>
      <c r="BW80" s="351"/>
      <c r="BX80" s="431"/>
      <c r="BY80" s="432"/>
      <c r="BZ80" s="389"/>
      <c r="CA80" s="341"/>
      <c r="CB80" s="342">
        <f ca="1">UDayCou(3,ROW())</f>
        <v>0</v>
      </c>
      <c r="CC80" s="343">
        <f ca="1">UNightCou(3,ROW())</f>
        <v>0</v>
      </c>
      <c r="CD80" s="344">
        <f ca="1">UNewCou(3,ROW())</f>
        <v>0</v>
      </c>
      <c r="CE80" s="327">
        <f t="shared" ref="CE80:CE142" si="345">$A80</f>
        <v>45719</v>
      </c>
      <c r="CF80" s="371" t="str">
        <f t="shared" ref="CF80:CF142" si="346">$B80</f>
        <v>月</v>
      </c>
      <c r="CG80" s="352">
        <f t="shared" ref="CG80" ca="1" si="347">Z80+BA80+CB80</f>
        <v>15</v>
      </c>
      <c r="CH80" s="353">
        <f t="shared" ref="CH80" ca="1" si="348">AA80+BB80+CC80</f>
        <v>11</v>
      </c>
      <c r="CI80" s="354">
        <f t="shared" ref="CI80" ca="1" si="349">AB80+BC80+CD80</f>
        <v>3</v>
      </c>
      <c r="CJ80" s="355">
        <f ca="1">COUNTIF(INDIRECT("D128:CA129"),"*●*")</f>
        <v>6</v>
      </c>
      <c r="CK80" s="356">
        <f ca="1">COUNTIF(INDIRECT("D128:CA129"),"*㋷*")</f>
        <v>0</v>
      </c>
      <c r="CL80" s="75"/>
      <c r="CN80" s="160">
        <f t="shared" ref="CN80:CN142" si="350">$A80</f>
        <v>45719</v>
      </c>
      <c r="CO80" s="162" t="str">
        <f t="shared" ref="CO80:CO142" si="351">$B80</f>
        <v>月</v>
      </c>
      <c r="CP80" s="357"/>
      <c r="CQ80" s="358"/>
      <c r="CR80" s="359"/>
      <c r="CS80" s="358"/>
      <c r="CT80" s="359"/>
      <c r="CU80" s="358"/>
      <c r="CZ80" s="73">
        <v>3</v>
      </c>
      <c r="DA80" s="73">
        <v>3</v>
      </c>
      <c r="DB80" s="73">
        <v>3</v>
      </c>
      <c r="DC80" s="74">
        <f t="shared" si="327"/>
        <v>45719</v>
      </c>
      <c r="DD80" s="68" t="str">
        <f t="shared" si="135"/>
        <v>月</v>
      </c>
      <c r="DF80" s="155">
        <f t="shared" ref="DF80" si="352">$DC80</f>
        <v>45719</v>
      </c>
      <c r="DG80" s="156" t="e">
        <f ca="1">IF($CH80&gt;=設定!$E$12,"✕",IF(SS予約表!$CG80&gt;=設定!$E$12,"△","○"))</f>
        <v>#NAME?</v>
      </c>
    </row>
    <row r="81" spans="1:111" ht="29.25" customHeight="1">
      <c r="A81" s="284"/>
      <c r="B81" s="285"/>
      <c r="C81" s="286" t="s">
        <v>28</v>
      </c>
      <c r="D81" s="319"/>
      <c r="E81" s="323"/>
      <c r="F81" s="319"/>
      <c r="G81" s="318"/>
      <c r="H81" s="319"/>
      <c r="I81" s="323"/>
      <c r="J81" s="429"/>
      <c r="K81" s="322"/>
      <c r="L81" s="320"/>
      <c r="M81" s="321"/>
      <c r="N81" s="376"/>
      <c r="O81" s="318"/>
      <c r="P81" s="319"/>
      <c r="Q81" s="318"/>
      <c r="R81" s="319">
        <v>10</v>
      </c>
      <c r="S81" s="318" t="s">
        <v>95</v>
      </c>
      <c r="T81" s="299"/>
      <c r="U81" s="300"/>
      <c r="V81" s="319"/>
      <c r="W81" s="318" t="s">
        <v>96</v>
      </c>
      <c r="X81" s="315"/>
      <c r="Y81" s="323"/>
      <c r="Z81" s="294"/>
      <c r="AA81" s="295"/>
      <c r="AB81" s="296"/>
      <c r="AC81" s="297"/>
      <c r="AD81" s="298"/>
      <c r="AE81" s="319"/>
      <c r="AF81" s="323"/>
      <c r="AG81" s="319">
        <v>10</v>
      </c>
      <c r="AH81" s="318" t="s">
        <v>97</v>
      </c>
      <c r="AI81" s="433" t="s">
        <v>39</v>
      </c>
      <c r="AJ81" s="404"/>
      <c r="AK81" s="319"/>
      <c r="AL81" s="323"/>
      <c r="AM81" s="422"/>
      <c r="AN81" s="423"/>
      <c r="AO81" s="319">
        <v>10</v>
      </c>
      <c r="AP81" s="318" t="s">
        <v>98</v>
      </c>
      <c r="AQ81" s="320"/>
      <c r="AR81" s="321"/>
      <c r="AS81" s="319"/>
      <c r="AT81" s="323"/>
      <c r="AU81" s="319"/>
      <c r="AV81" s="318"/>
      <c r="AW81" s="325" t="s">
        <v>39</v>
      </c>
      <c r="AX81" s="392"/>
      <c r="AY81" s="325"/>
      <c r="AZ81" s="326"/>
      <c r="BA81" s="294"/>
      <c r="BB81" s="295"/>
      <c r="BC81" s="296"/>
      <c r="BD81" s="284"/>
      <c r="BE81" s="298"/>
      <c r="BF81" s="305"/>
      <c r="BG81" s="302"/>
      <c r="BH81" s="301"/>
      <c r="BI81" s="302"/>
      <c r="BJ81" s="301"/>
      <c r="BK81" s="302"/>
      <c r="BL81" s="301"/>
      <c r="BM81" s="302"/>
      <c r="BN81" s="301"/>
      <c r="BO81" s="302"/>
      <c r="BP81" s="301"/>
      <c r="BQ81" s="302"/>
      <c r="BR81" s="301"/>
      <c r="BS81" s="302"/>
      <c r="BT81" s="301"/>
      <c r="BU81" s="302"/>
      <c r="BV81" s="301"/>
      <c r="BW81" s="302"/>
      <c r="BX81" s="301"/>
      <c r="BY81" s="302"/>
      <c r="BZ81" s="306"/>
      <c r="CA81" s="304"/>
      <c r="CB81" s="294"/>
      <c r="CC81" s="295"/>
      <c r="CD81" s="296"/>
      <c r="CE81" s="284"/>
      <c r="CF81" s="298"/>
      <c r="CG81" s="307"/>
      <c r="CH81" s="308"/>
      <c r="CI81" s="309"/>
      <c r="CJ81" s="310"/>
      <c r="CK81" s="311"/>
      <c r="CL81" s="75"/>
      <c r="CN81" s="161"/>
      <c r="CO81" s="163"/>
      <c r="CP81" s="315"/>
      <c r="CQ81" s="323"/>
      <c r="CR81" s="317"/>
      <c r="CS81" s="316"/>
      <c r="CT81" s="317"/>
      <c r="CU81" s="316"/>
      <c r="CZ81" s="73">
        <v>3</v>
      </c>
      <c r="DA81" s="73">
        <v>3</v>
      </c>
      <c r="DB81" s="73">
        <v>3</v>
      </c>
      <c r="DC81" s="74">
        <f t="shared" si="327"/>
        <v>45719</v>
      </c>
      <c r="DD81" s="68" t="str">
        <f t="shared" si="135"/>
        <v>月</v>
      </c>
      <c r="DF81" s="156"/>
      <c r="DG81" s="156"/>
    </row>
    <row r="82" spans="1:111" ht="28.5" customHeight="1">
      <c r="A82" s="327">
        <f t="shared" si="336"/>
        <v>45720</v>
      </c>
      <c r="B82" s="365" t="str">
        <f t="shared" si="337"/>
        <v>火</v>
      </c>
      <c r="C82" s="329" t="s">
        <v>27</v>
      </c>
      <c r="D82" s="332"/>
      <c r="E82" s="339"/>
      <c r="F82" s="332">
        <v>15</v>
      </c>
      <c r="G82" s="366" t="s">
        <v>51</v>
      </c>
      <c r="H82" s="332"/>
      <c r="I82" s="339"/>
      <c r="J82" s="435">
        <v>15</v>
      </c>
      <c r="K82" s="337" t="s">
        <v>99</v>
      </c>
      <c r="L82" s="333"/>
      <c r="M82" s="381"/>
      <c r="N82" s="380"/>
      <c r="O82" s="336"/>
      <c r="P82" s="332">
        <v>15</v>
      </c>
      <c r="Q82" s="366"/>
      <c r="R82" s="332"/>
      <c r="S82" s="336" t="s">
        <v>100</v>
      </c>
      <c r="T82" s="335"/>
      <c r="U82" s="347"/>
      <c r="V82" s="332"/>
      <c r="W82" s="336" t="s">
        <v>42</v>
      </c>
      <c r="X82" s="357"/>
      <c r="Y82" s="339"/>
      <c r="Z82" s="342">
        <f t="shared" ref="Z82" ca="1" si="353">UDayCou(1,ROW())</f>
        <v>8</v>
      </c>
      <c r="AA82" s="343">
        <f t="shared" ref="AA82" ca="1" si="354">UNightCou(1,ROW())</f>
        <v>5</v>
      </c>
      <c r="AB82" s="344">
        <f t="shared" ref="AB82" ca="1" si="355">UNewCou(1,ROW())</f>
        <v>2</v>
      </c>
      <c r="AC82" s="345">
        <f t="shared" si="341"/>
        <v>45720</v>
      </c>
      <c r="AD82" s="371" t="str">
        <f t="shared" si="342"/>
        <v>火</v>
      </c>
      <c r="AE82" s="332"/>
      <c r="AF82" s="339"/>
      <c r="AG82" s="332"/>
      <c r="AH82" s="338" t="s">
        <v>101</v>
      </c>
      <c r="AI82" s="434" t="s">
        <v>39</v>
      </c>
      <c r="AJ82" s="407" t="s">
        <v>102</v>
      </c>
      <c r="AK82" s="332"/>
      <c r="AL82" s="339"/>
      <c r="AM82" s="425"/>
      <c r="AN82" s="426"/>
      <c r="AO82" s="332"/>
      <c r="AP82" s="336"/>
      <c r="AQ82" s="333"/>
      <c r="AR82" s="381"/>
      <c r="AS82" s="332"/>
      <c r="AT82" s="339"/>
      <c r="AU82" s="332"/>
      <c r="AV82" s="336"/>
      <c r="AW82" s="348" t="s">
        <v>39</v>
      </c>
      <c r="AX82" s="396"/>
      <c r="AY82" s="348"/>
      <c r="AZ82" s="349"/>
      <c r="BA82" s="342">
        <f ca="1">UDayCou(2,ROW())</f>
        <v>5</v>
      </c>
      <c r="BB82" s="343">
        <f ca="1">UNightCou(2,ROW())</f>
        <v>5</v>
      </c>
      <c r="BC82" s="344">
        <f ca="1">UNewCou(2,ROW())</f>
        <v>1</v>
      </c>
      <c r="BD82" s="327">
        <f t="shared" si="343"/>
        <v>45720</v>
      </c>
      <c r="BE82" s="371" t="str">
        <f t="shared" si="344"/>
        <v>火</v>
      </c>
      <c r="BF82" s="350"/>
      <c r="BG82" s="351"/>
      <c r="BH82" s="330"/>
      <c r="BI82" s="351"/>
      <c r="BJ82" s="330"/>
      <c r="BK82" s="351"/>
      <c r="BL82" s="330"/>
      <c r="BM82" s="351"/>
      <c r="BN82" s="330"/>
      <c r="BO82" s="351"/>
      <c r="BP82" s="330"/>
      <c r="BQ82" s="351"/>
      <c r="BR82" s="330"/>
      <c r="BS82" s="351"/>
      <c r="BT82" s="330"/>
      <c r="BU82" s="351"/>
      <c r="BV82" s="330"/>
      <c r="BW82" s="351"/>
      <c r="BX82" s="330"/>
      <c r="BY82" s="351"/>
      <c r="BZ82" s="389"/>
      <c r="CA82" s="341"/>
      <c r="CB82" s="342">
        <f ca="1">UDayCou(3,ROW())</f>
        <v>0</v>
      </c>
      <c r="CC82" s="343">
        <f ca="1">UNightCou(3,ROW())</f>
        <v>0</v>
      </c>
      <c r="CD82" s="344">
        <f ca="1">UNewCou(3,ROW())</f>
        <v>0</v>
      </c>
      <c r="CE82" s="327">
        <f t="shared" si="345"/>
        <v>45720</v>
      </c>
      <c r="CF82" s="371" t="str">
        <f t="shared" si="346"/>
        <v>火</v>
      </c>
      <c r="CG82" s="352">
        <f t="shared" ref="CG82" ca="1" si="356">Z82+BA82+CB82</f>
        <v>13</v>
      </c>
      <c r="CH82" s="353">
        <f t="shared" ref="CH82" ca="1" si="357">AA82+BB82+CC82</f>
        <v>10</v>
      </c>
      <c r="CI82" s="354">
        <f t="shared" ref="CI82" ca="1" si="358">AB82+BC82+CD82</f>
        <v>3</v>
      </c>
      <c r="CJ82" s="355">
        <f ca="1">COUNTIF(INDIRECT("D130:CA131"),"*●*")</f>
        <v>4</v>
      </c>
      <c r="CK82" s="356">
        <f ca="1">COUNTIF(INDIRECT("D130:CA131"),"*㋷*")</f>
        <v>0</v>
      </c>
      <c r="CL82" s="75"/>
      <c r="CN82" s="160">
        <f t="shared" si="350"/>
        <v>45720</v>
      </c>
      <c r="CO82" s="162" t="str">
        <f t="shared" si="351"/>
        <v>火</v>
      </c>
      <c r="CP82" s="357"/>
      <c r="CQ82" s="339"/>
      <c r="CR82" s="359"/>
      <c r="CS82" s="358"/>
      <c r="CT82" s="359"/>
      <c r="CU82" s="358"/>
      <c r="CZ82" s="73">
        <v>3</v>
      </c>
      <c r="DA82" s="73">
        <v>3</v>
      </c>
      <c r="DB82" s="73">
        <v>4</v>
      </c>
      <c r="DC82" s="74">
        <f t="shared" si="327"/>
        <v>45720</v>
      </c>
      <c r="DD82" s="68" t="str">
        <f t="shared" si="135"/>
        <v>火</v>
      </c>
      <c r="DF82" s="155">
        <f t="shared" ref="DF82" si="359">$DC82</f>
        <v>45720</v>
      </c>
      <c r="DG82" s="156" t="e">
        <f ca="1">IF($CH82&gt;=設定!$E$12,"✕",IF(SS予約表!$CG82&gt;=設定!$E$12,"△","○"))</f>
        <v>#NAME?</v>
      </c>
    </row>
    <row r="83" spans="1:111" ht="29.25" customHeight="1">
      <c r="A83" s="284"/>
      <c r="B83" s="285"/>
      <c r="C83" s="286" t="s">
        <v>28</v>
      </c>
      <c r="D83" s="299"/>
      <c r="E83" s="321"/>
      <c r="F83" s="299"/>
      <c r="G83" s="300"/>
      <c r="H83" s="319"/>
      <c r="I83" s="323"/>
      <c r="J83" s="299"/>
      <c r="K83" s="300"/>
      <c r="L83" s="320">
        <v>10</v>
      </c>
      <c r="M83" s="324" t="s">
        <v>103</v>
      </c>
      <c r="N83" s="376"/>
      <c r="O83" s="318"/>
      <c r="P83" s="319">
        <v>10</v>
      </c>
      <c r="Q83" s="318" t="s">
        <v>50</v>
      </c>
      <c r="R83" s="319"/>
      <c r="S83" s="318"/>
      <c r="T83" s="299"/>
      <c r="U83" s="300"/>
      <c r="V83" s="319"/>
      <c r="W83" s="318"/>
      <c r="X83" s="315"/>
      <c r="Y83" s="323"/>
      <c r="Z83" s="294"/>
      <c r="AA83" s="295"/>
      <c r="AB83" s="296"/>
      <c r="AC83" s="297"/>
      <c r="AD83" s="298"/>
      <c r="AE83" s="299"/>
      <c r="AF83" s="300"/>
      <c r="AG83" s="319"/>
      <c r="AH83" s="318"/>
      <c r="AI83" s="433" t="s">
        <v>39</v>
      </c>
      <c r="AJ83" s="404" t="s">
        <v>104</v>
      </c>
      <c r="AK83" s="319"/>
      <c r="AL83" s="323"/>
      <c r="AM83" s="299"/>
      <c r="AN83" s="300"/>
      <c r="AO83" s="319"/>
      <c r="AP83" s="318"/>
      <c r="AQ83" s="319"/>
      <c r="AR83" s="323"/>
      <c r="AS83" s="319"/>
      <c r="AT83" s="323"/>
      <c r="AU83" s="319"/>
      <c r="AV83" s="318"/>
      <c r="AW83" s="325" t="s">
        <v>39</v>
      </c>
      <c r="AX83" s="392"/>
      <c r="AY83" s="325"/>
      <c r="AZ83" s="326"/>
      <c r="BA83" s="294"/>
      <c r="BB83" s="295"/>
      <c r="BC83" s="296"/>
      <c r="BD83" s="284"/>
      <c r="BE83" s="298"/>
      <c r="BF83" s="305"/>
      <c r="BG83" s="302"/>
      <c r="BH83" s="301"/>
      <c r="BI83" s="302"/>
      <c r="BJ83" s="301"/>
      <c r="BK83" s="302"/>
      <c r="BL83" s="301"/>
      <c r="BM83" s="302"/>
      <c r="BN83" s="301"/>
      <c r="BO83" s="302"/>
      <c r="BP83" s="301"/>
      <c r="BQ83" s="302"/>
      <c r="BR83" s="301"/>
      <c r="BS83" s="302"/>
      <c r="BT83" s="301"/>
      <c r="BU83" s="302"/>
      <c r="BV83" s="301"/>
      <c r="BW83" s="302"/>
      <c r="BX83" s="301"/>
      <c r="BY83" s="302"/>
      <c r="BZ83" s="306"/>
      <c r="CA83" s="304"/>
      <c r="CB83" s="294"/>
      <c r="CC83" s="295"/>
      <c r="CD83" s="296"/>
      <c r="CE83" s="284"/>
      <c r="CF83" s="298"/>
      <c r="CG83" s="307"/>
      <c r="CH83" s="308"/>
      <c r="CI83" s="309"/>
      <c r="CJ83" s="310"/>
      <c r="CK83" s="311"/>
      <c r="CL83" s="75"/>
      <c r="CN83" s="161"/>
      <c r="CO83" s="163"/>
      <c r="CP83" s="315"/>
      <c r="CQ83" s="323"/>
      <c r="CR83" s="317"/>
      <c r="CS83" s="316"/>
      <c r="CT83" s="317"/>
      <c r="CU83" s="316"/>
      <c r="CZ83" s="73">
        <v>3</v>
      </c>
      <c r="DA83" s="73">
        <v>3</v>
      </c>
      <c r="DB83" s="73">
        <v>4</v>
      </c>
      <c r="DC83" s="74">
        <f t="shared" si="327"/>
        <v>45720</v>
      </c>
      <c r="DD83" s="68" t="str">
        <f t="shared" si="135"/>
        <v>火</v>
      </c>
      <c r="DF83" s="156"/>
      <c r="DG83" s="156"/>
    </row>
    <row r="84" spans="1:111" ht="28.5" customHeight="1">
      <c r="A84" s="327">
        <f t="shared" si="336"/>
        <v>45721</v>
      </c>
      <c r="B84" s="365" t="str">
        <f t="shared" si="337"/>
        <v>水</v>
      </c>
      <c r="C84" s="329" t="s">
        <v>27</v>
      </c>
      <c r="D84" s="335"/>
      <c r="E84" s="381" t="s">
        <v>105</v>
      </c>
      <c r="F84" s="335"/>
      <c r="G84" s="347"/>
      <c r="H84" s="332"/>
      <c r="I84" s="339"/>
      <c r="J84" s="335"/>
      <c r="K84" s="347"/>
      <c r="L84" s="333"/>
      <c r="M84" s="336" t="s">
        <v>100</v>
      </c>
      <c r="N84" s="380"/>
      <c r="O84" s="336"/>
      <c r="P84" s="332"/>
      <c r="Q84" s="338" t="s">
        <v>55</v>
      </c>
      <c r="R84" s="332"/>
      <c r="S84" s="338"/>
      <c r="T84" s="335"/>
      <c r="U84" s="347"/>
      <c r="V84" s="332"/>
      <c r="W84" s="338"/>
      <c r="X84" s="357"/>
      <c r="Y84" s="339"/>
      <c r="Z84" s="342">
        <f t="shared" ref="Z84" ca="1" si="360">UDayCou(1,ROW())</f>
        <v>6</v>
      </c>
      <c r="AA84" s="343">
        <f t="shared" ref="AA84" ca="1" si="361">UNightCou(1,ROW())</f>
        <v>6</v>
      </c>
      <c r="AB84" s="344">
        <f t="shared" ref="AB84" ca="1" si="362">UNewCou(1,ROW())</f>
        <v>1</v>
      </c>
      <c r="AC84" s="345">
        <f t="shared" si="341"/>
        <v>45721</v>
      </c>
      <c r="AD84" s="371" t="str">
        <f t="shared" si="342"/>
        <v>水</v>
      </c>
      <c r="AE84" s="335"/>
      <c r="AF84" s="347"/>
      <c r="AG84" s="332"/>
      <c r="AH84" s="336" t="s">
        <v>42</v>
      </c>
      <c r="AI84" s="434" t="s">
        <v>39</v>
      </c>
      <c r="AJ84" s="407" t="s">
        <v>106</v>
      </c>
      <c r="AK84" s="332"/>
      <c r="AL84" s="339"/>
      <c r="AM84" s="335"/>
      <c r="AN84" s="347"/>
      <c r="AO84" s="332"/>
      <c r="AP84" s="336" t="s">
        <v>42</v>
      </c>
      <c r="AQ84" s="333"/>
      <c r="AR84" s="381"/>
      <c r="AS84" s="332"/>
      <c r="AT84" s="339"/>
      <c r="AU84" s="332"/>
      <c r="AV84" s="336"/>
      <c r="AW84" s="348" t="s">
        <v>39</v>
      </c>
      <c r="AX84" s="387" t="s">
        <v>42</v>
      </c>
      <c r="AY84" s="348"/>
      <c r="AZ84" s="349"/>
      <c r="BA84" s="342">
        <f ca="1">UDayCou(2,ROW())</f>
        <v>6</v>
      </c>
      <c r="BB84" s="343">
        <f ca="1">UNightCou(2,ROW())</f>
        <v>6</v>
      </c>
      <c r="BC84" s="344">
        <f ca="1">UNewCou(2,ROW())</f>
        <v>1</v>
      </c>
      <c r="BD84" s="327">
        <f t="shared" si="343"/>
        <v>45721</v>
      </c>
      <c r="BE84" s="371" t="str">
        <f t="shared" si="344"/>
        <v>水</v>
      </c>
      <c r="BF84" s="350"/>
      <c r="BG84" s="351"/>
      <c r="BH84" s="330"/>
      <c r="BI84" s="351"/>
      <c r="BJ84" s="330"/>
      <c r="BK84" s="351"/>
      <c r="BL84" s="330"/>
      <c r="BM84" s="351"/>
      <c r="BN84" s="330"/>
      <c r="BO84" s="351"/>
      <c r="BP84" s="330"/>
      <c r="BQ84" s="351"/>
      <c r="BR84" s="330"/>
      <c r="BS84" s="351"/>
      <c r="BT84" s="330"/>
      <c r="BU84" s="351"/>
      <c r="BV84" s="330"/>
      <c r="BW84" s="351"/>
      <c r="BX84" s="330"/>
      <c r="BY84" s="351"/>
      <c r="BZ84" s="389"/>
      <c r="CA84" s="341"/>
      <c r="CB84" s="342">
        <f ca="1">UDayCou(3,ROW())</f>
        <v>0</v>
      </c>
      <c r="CC84" s="343">
        <f ca="1">UNightCou(3,ROW())</f>
        <v>0</v>
      </c>
      <c r="CD84" s="344">
        <f ca="1">UNewCou(3,ROW())</f>
        <v>0</v>
      </c>
      <c r="CE84" s="327">
        <f t="shared" si="345"/>
        <v>45721</v>
      </c>
      <c r="CF84" s="371" t="str">
        <f t="shared" si="346"/>
        <v>水</v>
      </c>
      <c r="CG84" s="352">
        <f t="shared" ref="CG84" ca="1" si="363">Z84+BA84+CB84</f>
        <v>12</v>
      </c>
      <c r="CH84" s="353">
        <f t="shared" ref="CH84" ca="1" si="364">AA84+BB84+CC84</f>
        <v>12</v>
      </c>
      <c r="CI84" s="354">
        <f t="shared" ref="CI84" ca="1" si="365">AB84+BC84+CD84</f>
        <v>2</v>
      </c>
      <c r="CJ84" s="355">
        <f ca="1">COUNTIF(INDIRECT("D132:CA133"),"*●*")</f>
        <v>4</v>
      </c>
      <c r="CK84" s="356">
        <f ca="1">COUNTIF(INDIRECT("D132:CA133"),"*㋷*")</f>
        <v>0</v>
      </c>
      <c r="CL84" s="75"/>
      <c r="CN84" s="160">
        <f t="shared" si="350"/>
        <v>45721</v>
      </c>
      <c r="CO84" s="162" t="str">
        <f t="shared" si="351"/>
        <v>水</v>
      </c>
      <c r="CP84" s="357"/>
      <c r="CQ84" s="339"/>
      <c r="CR84" s="359"/>
      <c r="CS84" s="358"/>
      <c r="CT84" s="359"/>
      <c r="CU84" s="358"/>
      <c r="CZ84" s="73">
        <v>3</v>
      </c>
      <c r="DA84" s="73">
        <v>3</v>
      </c>
      <c r="DB84" s="73">
        <v>5</v>
      </c>
      <c r="DC84" s="74">
        <f t="shared" si="327"/>
        <v>45721</v>
      </c>
      <c r="DD84" s="68" t="str">
        <f t="shared" si="135"/>
        <v>水</v>
      </c>
      <c r="DF84" s="155">
        <f t="shared" ref="DF84" si="366">$DC84</f>
        <v>45721</v>
      </c>
      <c r="DG84" s="156" t="e">
        <f ca="1">IF($CH84&gt;=設定!$E$12,"✕",IF(SS予約表!$CG84&gt;=設定!$E$12,"△","○"))</f>
        <v>#NAME?</v>
      </c>
    </row>
    <row r="85" spans="1:111" ht="29.25" customHeight="1" thickBot="1">
      <c r="A85" s="284"/>
      <c r="B85" s="285"/>
      <c r="C85" s="286" t="s">
        <v>28</v>
      </c>
      <c r="D85" s="299">
        <v>10</v>
      </c>
      <c r="E85" s="324" t="s">
        <v>49</v>
      </c>
      <c r="F85" s="320"/>
      <c r="G85" s="321"/>
      <c r="H85" s="319"/>
      <c r="I85" s="323"/>
      <c r="J85" s="299"/>
      <c r="K85" s="300"/>
      <c r="L85" s="320"/>
      <c r="M85" s="324"/>
      <c r="N85" s="376"/>
      <c r="O85" s="318"/>
      <c r="P85" s="319"/>
      <c r="Q85" s="318"/>
      <c r="R85" s="319"/>
      <c r="S85" s="318"/>
      <c r="T85" s="299"/>
      <c r="U85" s="300"/>
      <c r="V85" s="319"/>
      <c r="W85" s="318"/>
      <c r="X85" s="315"/>
      <c r="Y85" s="316"/>
      <c r="Z85" s="294"/>
      <c r="AA85" s="295"/>
      <c r="AB85" s="296"/>
      <c r="AC85" s="297"/>
      <c r="AD85" s="298"/>
      <c r="AE85" s="299"/>
      <c r="AF85" s="300"/>
      <c r="AG85" s="319"/>
      <c r="AH85" s="318"/>
      <c r="AI85" s="429" t="s">
        <v>39</v>
      </c>
      <c r="AJ85" s="322"/>
      <c r="AK85" s="319"/>
      <c r="AL85" s="323"/>
      <c r="AM85" s="299"/>
      <c r="AN85" s="300"/>
      <c r="AO85" s="319"/>
      <c r="AP85" s="318"/>
      <c r="AQ85" s="320"/>
      <c r="AR85" s="321"/>
      <c r="AS85" s="319">
        <v>10</v>
      </c>
      <c r="AT85" s="318" t="s">
        <v>50</v>
      </c>
      <c r="AU85" s="319"/>
      <c r="AV85" s="318"/>
      <c r="AW85" s="325" t="s">
        <v>39</v>
      </c>
      <c r="AX85" s="392"/>
      <c r="AY85" s="325"/>
      <c r="AZ85" s="326"/>
      <c r="BA85" s="294"/>
      <c r="BB85" s="295"/>
      <c r="BC85" s="296"/>
      <c r="BD85" s="284"/>
      <c r="BE85" s="298"/>
      <c r="BF85" s="305"/>
      <c r="BG85" s="302"/>
      <c r="BH85" s="301"/>
      <c r="BI85" s="302"/>
      <c r="BJ85" s="301"/>
      <c r="BK85" s="302"/>
      <c r="BL85" s="301"/>
      <c r="BM85" s="302"/>
      <c r="BN85" s="301"/>
      <c r="BO85" s="302"/>
      <c r="BP85" s="301"/>
      <c r="BQ85" s="302"/>
      <c r="BR85" s="301"/>
      <c r="BS85" s="302"/>
      <c r="BT85" s="301"/>
      <c r="BU85" s="302"/>
      <c r="BV85" s="301"/>
      <c r="BW85" s="302"/>
      <c r="BX85" s="301"/>
      <c r="BY85" s="302"/>
      <c r="BZ85" s="306"/>
      <c r="CA85" s="304"/>
      <c r="CB85" s="294"/>
      <c r="CC85" s="295"/>
      <c r="CD85" s="296"/>
      <c r="CE85" s="284"/>
      <c r="CF85" s="298"/>
      <c r="CG85" s="307"/>
      <c r="CH85" s="308"/>
      <c r="CI85" s="309"/>
      <c r="CJ85" s="310"/>
      <c r="CK85" s="311"/>
      <c r="CL85" s="75"/>
      <c r="CN85" s="161"/>
      <c r="CO85" s="163"/>
      <c r="CP85" s="315"/>
      <c r="CQ85" s="316"/>
      <c r="CR85" s="317"/>
      <c r="CS85" s="316"/>
      <c r="CT85" s="317"/>
      <c r="CU85" s="316"/>
      <c r="CZ85" s="73">
        <v>3</v>
      </c>
      <c r="DA85" s="73">
        <v>3</v>
      </c>
      <c r="DB85" s="73">
        <v>5</v>
      </c>
      <c r="DC85" s="74">
        <f t="shared" si="327"/>
        <v>45721</v>
      </c>
      <c r="DD85" s="68" t="str">
        <f t="shared" ref="DD85:DD148" si="367">TEXT($DC85,"aaa")</f>
        <v>水</v>
      </c>
      <c r="DF85" s="156"/>
      <c r="DG85" s="156"/>
    </row>
    <row r="86" spans="1:111" ht="28.5" customHeight="1">
      <c r="A86" s="491">
        <f t="shared" si="336"/>
        <v>45722</v>
      </c>
      <c r="B86" s="524" t="str">
        <f t="shared" si="337"/>
        <v>木</v>
      </c>
      <c r="C86" s="493" t="s">
        <v>27</v>
      </c>
      <c r="D86" s="499">
        <v>15</v>
      </c>
      <c r="E86" s="501" t="s">
        <v>47</v>
      </c>
      <c r="F86" s="497"/>
      <c r="G86" s="539"/>
      <c r="H86" s="496"/>
      <c r="I86" s="539"/>
      <c r="J86" s="499"/>
      <c r="K86" s="511"/>
      <c r="L86" s="497"/>
      <c r="M86" s="527"/>
      <c r="N86" s="535"/>
      <c r="O86" s="500" t="s">
        <v>42</v>
      </c>
      <c r="P86" s="496"/>
      <c r="Q86" s="500" t="s">
        <v>42</v>
      </c>
      <c r="R86" s="496"/>
      <c r="S86" s="502"/>
      <c r="T86" s="499"/>
      <c r="U86" s="511"/>
      <c r="V86" s="496"/>
      <c r="W86" s="502"/>
      <c r="X86" s="521"/>
      <c r="Y86" s="522"/>
      <c r="Z86" s="506">
        <f t="shared" ref="Z86" ca="1" si="368">UDayCou(1,ROW())</f>
        <v>6</v>
      </c>
      <c r="AA86" s="507">
        <f t="shared" ref="AA86" ca="1" si="369">UNightCou(1,ROW())</f>
        <v>5</v>
      </c>
      <c r="AB86" s="508">
        <f t="shared" ref="AB86" ca="1" si="370">UNewCou(1,ROW())</f>
        <v>1</v>
      </c>
      <c r="AC86" s="509">
        <f t="shared" si="341"/>
        <v>45722</v>
      </c>
      <c r="AD86" s="531" t="str">
        <f t="shared" si="342"/>
        <v>木</v>
      </c>
      <c r="AE86" s="499"/>
      <c r="AF86" s="552"/>
      <c r="AG86" s="496">
        <v>15</v>
      </c>
      <c r="AH86" s="500"/>
      <c r="AI86" s="547" t="s">
        <v>39</v>
      </c>
      <c r="AJ86" s="500" t="s">
        <v>42</v>
      </c>
      <c r="AK86" s="496"/>
      <c r="AL86" s="503"/>
      <c r="AM86" s="499"/>
      <c r="AN86" s="511"/>
      <c r="AO86" s="496"/>
      <c r="AP86" s="502"/>
      <c r="AQ86" s="497"/>
      <c r="AR86" s="526"/>
      <c r="AS86" s="496"/>
      <c r="AT86" s="500" t="s">
        <v>107</v>
      </c>
      <c r="AU86" s="496"/>
      <c r="AV86" s="500" t="s">
        <v>42</v>
      </c>
      <c r="AW86" s="512" t="s">
        <v>39</v>
      </c>
      <c r="AX86" s="538"/>
      <c r="AY86" s="512"/>
      <c r="AZ86" s="513"/>
      <c r="BA86" s="506">
        <f ca="1">UDayCou(2,ROW())</f>
        <v>6</v>
      </c>
      <c r="BB86" s="507">
        <f ca="1">UNightCou(2,ROW())</f>
        <v>6</v>
      </c>
      <c r="BC86" s="508">
        <f ca="1">UNewCou(2,ROW())</f>
        <v>1</v>
      </c>
      <c r="BD86" s="491">
        <f t="shared" si="343"/>
        <v>45722</v>
      </c>
      <c r="BE86" s="531" t="str">
        <f t="shared" si="344"/>
        <v>木</v>
      </c>
      <c r="BF86" s="514"/>
      <c r="BG86" s="515"/>
      <c r="BH86" s="494"/>
      <c r="BI86" s="515"/>
      <c r="BJ86" s="494"/>
      <c r="BK86" s="515"/>
      <c r="BL86" s="494"/>
      <c r="BM86" s="515"/>
      <c r="BN86" s="494"/>
      <c r="BO86" s="515"/>
      <c r="BP86" s="494"/>
      <c r="BQ86" s="515"/>
      <c r="BR86" s="494"/>
      <c r="BS86" s="515"/>
      <c r="BT86" s="494"/>
      <c r="BU86" s="515"/>
      <c r="BV86" s="494"/>
      <c r="BW86" s="515"/>
      <c r="BX86" s="494"/>
      <c r="BY86" s="515"/>
      <c r="BZ86" s="530"/>
      <c r="CA86" s="505"/>
      <c r="CB86" s="506">
        <f ca="1">UDayCou(3,ROW())</f>
        <v>0</v>
      </c>
      <c r="CC86" s="507">
        <f ca="1">UNightCou(3,ROW())</f>
        <v>0</v>
      </c>
      <c r="CD86" s="508">
        <f ca="1">UNewCou(3,ROW())</f>
        <v>0</v>
      </c>
      <c r="CE86" s="491">
        <f t="shared" si="345"/>
        <v>45722</v>
      </c>
      <c r="CF86" s="531" t="str">
        <f t="shared" si="346"/>
        <v>木</v>
      </c>
      <c r="CG86" s="516">
        <f t="shared" ref="CG86" ca="1" si="371">Z86+BA86+CB86</f>
        <v>12</v>
      </c>
      <c r="CH86" s="517">
        <f t="shared" ref="CH86" ca="1" si="372">AA86+BB86+CC86</f>
        <v>11</v>
      </c>
      <c r="CI86" s="518">
        <f t="shared" ref="CI86" ca="1" si="373">AB86+BC86+CD86</f>
        <v>2</v>
      </c>
      <c r="CJ86" s="519">
        <f ca="1">COUNTIF(INDIRECT("D134:CA135"),"*●*")</f>
        <v>8</v>
      </c>
      <c r="CK86" s="520">
        <f ca="1">COUNTIF(INDIRECT("D134:CA135"),"*㋷*")</f>
        <v>0</v>
      </c>
      <c r="CL86" s="75"/>
      <c r="CN86" s="164">
        <f t="shared" si="350"/>
        <v>45722</v>
      </c>
      <c r="CO86" s="165" t="str">
        <f t="shared" si="351"/>
        <v>木</v>
      </c>
      <c r="CP86" s="521"/>
      <c r="CQ86" s="522"/>
      <c r="CR86" s="523"/>
      <c r="CS86" s="522"/>
      <c r="CT86" s="523"/>
      <c r="CU86" s="522"/>
      <c r="CZ86" s="73">
        <v>3</v>
      </c>
      <c r="DA86" s="73">
        <v>3</v>
      </c>
      <c r="DB86" s="73">
        <v>6</v>
      </c>
      <c r="DC86" s="74">
        <f t="shared" si="327"/>
        <v>45722</v>
      </c>
      <c r="DD86" s="68" t="str">
        <f t="shared" si="367"/>
        <v>木</v>
      </c>
      <c r="DF86" s="155">
        <f t="shared" ref="DF86" si="374">$DC86</f>
        <v>45722</v>
      </c>
      <c r="DG86" s="156" t="e">
        <f ca="1">IF($CH86&gt;=設定!$E$12,"✕",IF(SS予約表!$CG86&gt;=設定!$E$12,"△","○"))</f>
        <v>#NAME?</v>
      </c>
    </row>
    <row r="87" spans="1:111" ht="29.25" customHeight="1">
      <c r="A87" s="284"/>
      <c r="B87" s="285"/>
      <c r="C87" s="286" t="s">
        <v>28</v>
      </c>
      <c r="D87" s="299"/>
      <c r="E87" s="321"/>
      <c r="F87" s="320"/>
      <c r="G87" s="321"/>
      <c r="H87" s="319"/>
      <c r="I87" s="323"/>
      <c r="J87" s="319"/>
      <c r="K87" s="323"/>
      <c r="L87" s="320"/>
      <c r="M87" s="324"/>
      <c r="N87" s="376"/>
      <c r="O87" s="318"/>
      <c r="P87" s="319"/>
      <c r="Q87" s="318"/>
      <c r="R87" s="319"/>
      <c r="S87" s="318"/>
      <c r="T87" s="299"/>
      <c r="U87" s="300"/>
      <c r="V87" s="319"/>
      <c r="W87" s="318"/>
      <c r="X87" s="315"/>
      <c r="Y87" s="316"/>
      <c r="Z87" s="294"/>
      <c r="AA87" s="295"/>
      <c r="AB87" s="296"/>
      <c r="AC87" s="297"/>
      <c r="AD87" s="298"/>
      <c r="AE87" s="319"/>
      <c r="AF87" s="437"/>
      <c r="AG87" s="319"/>
      <c r="AH87" s="318"/>
      <c r="AI87" s="429" t="s">
        <v>39</v>
      </c>
      <c r="AJ87" s="322"/>
      <c r="AK87" s="299"/>
      <c r="AL87" s="300"/>
      <c r="AM87" s="299"/>
      <c r="AN87" s="300"/>
      <c r="AO87" s="319"/>
      <c r="AP87" s="401"/>
      <c r="AQ87" s="320"/>
      <c r="AR87" s="321"/>
      <c r="AS87" s="319"/>
      <c r="AT87" s="318"/>
      <c r="AU87" s="319"/>
      <c r="AV87" s="318"/>
      <c r="AW87" s="325" t="s">
        <v>39</v>
      </c>
      <c r="AX87" s="392"/>
      <c r="AY87" s="325"/>
      <c r="AZ87" s="326"/>
      <c r="BA87" s="294"/>
      <c r="BB87" s="295"/>
      <c r="BC87" s="296"/>
      <c r="BD87" s="284"/>
      <c r="BE87" s="298"/>
      <c r="BF87" s="305"/>
      <c r="BG87" s="302"/>
      <c r="BH87" s="301"/>
      <c r="BI87" s="302"/>
      <c r="BJ87" s="301"/>
      <c r="BK87" s="302"/>
      <c r="BL87" s="301"/>
      <c r="BM87" s="302"/>
      <c r="BN87" s="301"/>
      <c r="BO87" s="302"/>
      <c r="BP87" s="301"/>
      <c r="BQ87" s="302"/>
      <c r="BR87" s="301"/>
      <c r="BS87" s="302"/>
      <c r="BT87" s="301"/>
      <c r="BU87" s="302"/>
      <c r="BV87" s="301"/>
      <c r="BW87" s="302"/>
      <c r="BX87" s="301"/>
      <c r="BY87" s="302"/>
      <c r="BZ87" s="306"/>
      <c r="CA87" s="304"/>
      <c r="CB87" s="294"/>
      <c r="CC87" s="295"/>
      <c r="CD87" s="296"/>
      <c r="CE87" s="284"/>
      <c r="CF87" s="298"/>
      <c r="CG87" s="307"/>
      <c r="CH87" s="308"/>
      <c r="CI87" s="309"/>
      <c r="CJ87" s="310"/>
      <c r="CK87" s="311"/>
      <c r="CL87" s="75"/>
      <c r="CN87" s="161"/>
      <c r="CO87" s="163"/>
      <c r="CP87" s="315"/>
      <c r="CQ87" s="316"/>
      <c r="CR87" s="317"/>
      <c r="CS87" s="316"/>
      <c r="CT87" s="317"/>
      <c r="CU87" s="316"/>
      <c r="CZ87" s="73">
        <v>3</v>
      </c>
      <c r="DA87" s="73">
        <v>3</v>
      </c>
      <c r="DB87" s="73">
        <v>6</v>
      </c>
      <c r="DC87" s="74">
        <f t="shared" si="327"/>
        <v>45722</v>
      </c>
      <c r="DD87" s="68" t="str">
        <f t="shared" si="367"/>
        <v>木</v>
      </c>
      <c r="DF87" s="156"/>
      <c r="DG87" s="156"/>
    </row>
    <row r="88" spans="1:111" ht="28.5" customHeight="1">
      <c r="A88" s="327">
        <f t="shared" si="336"/>
        <v>45723</v>
      </c>
      <c r="B88" s="365" t="str">
        <f t="shared" si="337"/>
        <v>金</v>
      </c>
      <c r="C88" s="329" t="s">
        <v>27</v>
      </c>
      <c r="D88" s="335"/>
      <c r="E88" s="381"/>
      <c r="F88" s="333"/>
      <c r="G88" s="381"/>
      <c r="H88" s="332"/>
      <c r="I88" s="339" t="s">
        <v>108</v>
      </c>
      <c r="J88" s="332"/>
      <c r="K88" s="378"/>
      <c r="L88" s="333"/>
      <c r="M88" s="377"/>
      <c r="N88" s="380"/>
      <c r="O88" s="338"/>
      <c r="P88" s="332"/>
      <c r="Q88" s="336"/>
      <c r="R88" s="332"/>
      <c r="S88" s="336" t="s">
        <v>42</v>
      </c>
      <c r="T88" s="335"/>
      <c r="U88" s="347"/>
      <c r="V88" s="332"/>
      <c r="W88" s="336" t="s">
        <v>42</v>
      </c>
      <c r="X88" s="357"/>
      <c r="Y88" s="358"/>
      <c r="Z88" s="342">
        <f t="shared" ref="Z88" ca="1" si="375">UDayCou(1,ROW())</f>
        <v>7</v>
      </c>
      <c r="AA88" s="343">
        <f t="shared" ref="AA88" ca="1" si="376">UNightCou(1,ROW())</f>
        <v>7</v>
      </c>
      <c r="AB88" s="344">
        <f t="shared" ref="AB88" ca="1" si="377">UNewCou(1,ROW())</f>
        <v>1</v>
      </c>
      <c r="AC88" s="345">
        <f t="shared" si="341"/>
        <v>45723</v>
      </c>
      <c r="AD88" s="371" t="str">
        <f t="shared" si="342"/>
        <v>金</v>
      </c>
      <c r="AE88" s="332"/>
      <c r="AF88" s="438" t="s">
        <v>105</v>
      </c>
      <c r="AG88" s="332">
        <v>15</v>
      </c>
      <c r="AH88" s="366" t="s">
        <v>47</v>
      </c>
      <c r="AI88" s="430" t="s">
        <v>39</v>
      </c>
      <c r="AJ88" s="336"/>
      <c r="AK88" s="335"/>
      <c r="AL88" s="347"/>
      <c r="AM88" s="335"/>
      <c r="AN88" s="347"/>
      <c r="AO88" s="332"/>
      <c r="AP88" s="336"/>
      <c r="AQ88" s="333"/>
      <c r="AR88" s="381"/>
      <c r="AS88" s="332">
        <v>15</v>
      </c>
      <c r="AT88" s="366" t="s">
        <v>109</v>
      </c>
      <c r="AU88" s="332"/>
      <c r="AV88" s="338"/>
      <c r="AW88" s="348" t="s">
        <v>39</v>
      </c>
      <c r="AX88" s="396"/>
      <c r="AY88" s="348"/>
      <c r="AZ88" s="349"/>
      <c r="BA88" s="342">
        <f ca="1">UDayCou(2,ROW())</f>
        <v>9</v>
      </c>
      <c r="BB88" s="343">
        <f ca="1">UNightCou(2,ROW())</f>
        <v>7</v>
      </c>
      <c r="BC88" s="344">
        <f ca="1">UNewCou(2,ROW())</f>
        <v>1</v>
      </c>
      <c r="BD88" s="327">
        <f t="shared" si="343"/>
        <v>45723</v>
      </c>
      <c r="BE88" s="371" t="str">
        <f t="shared" si="344"/>
        <v>金</v>
      </c>
      <c r="BF88" s="350"/>
      <c r="BG88" s="351"/>
      <c r="BH88" s="330"/>
      <c r="BI88" s="351"/>
      <c r="BJ88" s="330"/>
      <c r="BK88" s="351"/>
      <c r="BL88" s="330"/>
      <c r="BM88" s="351"/>
      <c r="BN88" s="330"/>
      <c r="BO88" s="351"/>
      <c r="BP88" s="330"/>
      <c r="BQ88" s="351"/>
      <c r="BR88" s="330"/>
      <c r="BS88" s="351"/>
      <c r="BT88" s="330"/>
      <c r="BU88" s="351"/>
      <c r="BV88" s="330"/>
      <c r="BW88" s="351"/>
      <c r="BX88" s="330"/>
      <c r="BY88" s="351"/>
      <c r="BZ88" s="389"/>
      <c r="CA88" s="341"/>
      <c r="CB88" s="342">
        <f ca="1">UDayCou(3,ROW())</f>
        <v>0</v>
      </c>
      <c r="CC88" s="343">
        <f ca="1">UNightCou(3,ROW())</f>
        <v>0</v>
      </c>
      <c r="CD88" s="344">
        <f ca="1">UNewCou(3,ROW())</f>
        <v>0</v>
      </c>
      <c r="CE88" s="327">
        <f t="shared" si="345"/>
        <v>45723</v>
      </c>
      <c r="CF88" s="371" t="str">
        <f t="shared" si="346"/>
        <v>金</v>
      </c>
      <c r="CG88" s="352">
        <f t="shared" ref="CG88" ca="1" si="378">Z88+BA88+CB88</f>
        <v>16</v>
      </c>
      <c r="CH88" s="353">
        <f t="shared" ref="CH88" ca="1" si="379">AA88+BB88+CC88</f>
        <v>14</v>
      </c>
      <c r="CI88" s="354">
        <f t="shared" ref="CI88" ca="1" si="380">AB88+BC88+CD88</f>
        <v>2</v>
      </c>
      <c r="CJ88" s="355">
        <f ca="1">COUNTIF(INDIRECT("D136:CA137"),"*●*")</f>
        <v>4</v>
      </c>
      <c r="CK88" s="356">
        <f ca="1">COUNTIF(INDIRECT("D136:CA137"),"*㋷*")</f>
        <v>0</v>
      </c>
      <c r="CL88" s="75"/>
      <c r="CN88" s="160">
        <f t="shared" si="350"/>
        <v>45723</v>
      </c>
      <c r="CO88" s="162" t="str">
        <f t="shared" si="351"/>
        <v>金</v>
      </c>
      <c r="CP88" s="357"/>
      <c r="CQ88" s="358"/>
      <c r="CR88" s="359"/>
      <c r="CS88" s="358"/>
      <c r="CT88" s="359"/>
      <c r="CU88" s="358"/>
      <c r="CZ88" s="73">
        <v>3</v>
      </c>
      <c r="DA88" s="73">
        <v>3</v>
      </c>
      <c r="DB88" s="73">
        <v>7</v>
      </c>
      <c r="DC88" s="74">
        <f t="shared" si="327"/>
        <v>45723</v>
      </c>
      <c r="DD88" s="68" t="str">
        <f t="shared" si="367"/>
        <v>金</v>
      </c>
      <c r="DF88" s="155">
        <f t="shared" ref="DF88" si="381">$DC88</f>
        <v>45723</v>
      </c>
      <c r="DG88" s="156" t="e">
        <f ca="1">IF($CH88&gt;=設定!$E$12,"✕",IF(SS予約表!$CG88&gt;=設定!$E$12,"△","○"))</f>
        <v>#NAME?</v>
      </c>
    </row>
    <row r="89" spans="1:111" ht="29.25" customHeight="1">
      <c r="A89" s="284"/>
      <c r="B89" s="285"/>
      <c r="C89" s="286" t="s">
        <v>28</v>
      </c>
      <c r="D89" s="362"/>
      <c r="E89" s="321"/>
      <c r="F89" s="319"/>
      <c r="G89" s="323"/>
      <c r="H89" s="320">
        <v>10</v>
      </c>
      <c r="I89" s="324" t="s">
        <v>110</v>
      </c>
      <c r="J89" s="319"/>
      <c r="K89" s="323"/>
      <c r="L89" s="320"/>
      <c r="M89" s="324"/>
      <c r="N89" s="376"/>
      <c r="O89" s="318"/>
      <c r="P89" s="319"/>
      <c r="Q89" s="318"/>
      <c r="R89" s="319"/>
      <c r="S89" s="318"/>
      <c r="T89" s="319">
        <v>10</v>
      </c>
      <c r="U89" s="318" t="s">
        <v>111</v>
      </c>
      <c r="V89" s="319"/>
      <c r="W89" s="318"/>
      <c r="X89" s="315"/>
      <c r="Y89" s="316"/>
      <c r="Z89" s="294"/>
      <c r="AA89" s="295"/>
      <c r="AB89" s="296"/>
      <c r="AC89" s="297"/>
      <c r="AD89" s="298"/>
      <c r="AE89" s="319">
        <v>10</v>
      </c>
      <c r="AF89" s="318" t="s">
        <v>97</v>
      </c>
      <c r="AG89" s="319"/>
      <c r="AH89" s="323"/>
      <c r="AI89" s="429" t="s">
        <v>39</v>
      </c>
      <c r="AJ89" s="322"/>
      <c r="AK89" s="299"/>
      <c r="AL89" s="300"/>
      <c r="AM89" s="411">
        <v>10</v>
      </c>
      <c r="AN89" s="324" t="s">
        <v>112</v>
      </c>
      <c r="AO89" s="319"/>
      <c r="AP89" s="318"/>
      <c r="AQ89" s="299">
        <v>10</v>
      </c>
      <c r="AR89" s="322" t="s">
        <v>113</v>
      </c>
      <c r="AS89" s="362"/>
      <c r="AT89" s="321"/>
      <c r="AU89" s="319"/>
      <c r="AV89" s="318"/>
      <c r="AW89" s="325" t="s">
        <v>39</v>
      </c>
      <c r="AX89" s="392"/>
      <c r="AY89" s="325"/>
      <c r="AZ89" s="326"/>
      <c r="BA89" s="294"/>
      <c r="BB89" s="295"/>
      <c r="BC89" s="296"/>
      <c r="BD89" s="284"/>
      <c r="BE89" s="298"/>
      <c r="BF89" s="305"/>
      <c r="BG89" s="302"/>
      <c r="BH89" s="301"/>
      <c r="BI89" s="302"/>
      <c r="BJ89" s="301"/>
      <c r="BK89" s="302"/>
      <c r="BL89" s="301"/>
      <c r="BM89" s="302"/>
      <c r="BN89" s="301"/>
      <c r="BO89" s="302"/>
      <c r="BP89" s="301"/>
      <c r="BQ89" s="302"/>
      <c r="BR89" s="301"/>
      <c r="BS89" s="302"/>
      <c r="BT89" s="301"/>
      <c r="BU89" s="302"/>
      <c r="BV89" s="301"/>
      <c r="BW89" s="302"/>
      <c r="BX89" s="301"/>
      <c r="BY89" s="302"/>
      <c r="BZ89" s="306"/>
      <c r="CA89" s="304"/>
      <c r="CB89" s="294"/>
      <c r="CC89" s="295"/>
      <c r="CD89" s="296"/>
      <c r="CE89" s="284"/>
      <c r="CF89" s="298"/>
      <c r="CG89" s="307"/>
      <c r="CH89" s="308"/>
      <c r="CI89" s="309"/>
      <c r="CJ89" s="310"/>
      <c r="CK89" s="311"/>
      <c r="CL89" s="75"/>
      <c r="CN89" s="161"/>
      <c r="CO89" s="163"/>
      <c r="CP89" s="411"/>
      <c r="CQ89" s="300"/>
      <c r="CR89" s="317"/>
      <c r="CS89" s="316"/>
      <c r="CT89" s="317"/>
      <c r="CU89" s="316"/>
      <c r="CZ89" s="73">
        <v>3</v>
      </c>
      <c r="DA89" s="73">
        <v>3</v>
      </c>
      <c r="DB89" s="73">
        <v>7</v>
      </c>
      <c r="DC89" s="74">
        <f t="shared" si="327"/>
        <v>45723</v>
      </c>
      <c r="DD89" s="68" t="str">
        <f t="shared" si="367"/>
        <v>金</v>
      </c>
      <c r="DF89" s="156"/>
      <c r="DG89" s="156"/>
    </row>
    <row r="90" spans="1:111" ht="28.5" customHeight="1">
      <c r="A90" s="327">
        <f t="shared" si="336"/>
        <v>45724</v>
      </c>
      <c r="B90" s="393" t="str">
        <f t="shared" si="337"/>
        <v>土</v>
      </c>
      <c r="C90" s="329" t="s">
        <v>27</v>
      </c>
      <c r="D90" s="370"/>
      <c r="E90" s="381"/>
      <c r="F90" s="332"/>
      <c r="G90" s="339"/>
      <c r="H90" s="333"/>
      <c r="I90" s="377"/>
      <c r="J90" s="332"/>
      <c r="K90" s="339"/>
      <c r="L90" s="333"/>
      <c r="M90" s="336" t="s">
        <v>42</v>
      </c>
      <c r="N90" s="380"/>
      <c r="O90" s="336"/>
      <c r="P90" s="332">
        <v>15</v>
      </c>
      <c r="Q90" s="366" t="s">
        <v>47</v>
      </c>
      <c r="R90" s="332">
        <v>15</v>
      </c>
      <c r="S90" s="366" t="s">
        <v>47</v>
      </c>
      <c r="T90" s="332"/>
      <c r="U90" s="338" t="s">
        <v>47</v>
      </c>
      <c r="V90" s="332"/>
      <c r="W90" s="338"/>
      <c r="X90" s="357"/>
      <c r="Y90" s="358"/>
      <c r="Z90" s="342">
        <f t="shared" ref="Z90" ca="1" si="382">UDayCou(1,ROW())</f>
        <v>8</v>
      </c>
      <c r="AA90" s="343">
        <f t="shared" ref="AA90" ca="1" si="383">UNightCou(1,ROW())</f>
        <v>6</v>
      </c>
      <c r="AB90" s="344">
        <f t="shared" ref="AB90" ca="1" si="384">UNewCou(1,ROW())</f>
        <v>1</v>
      </c>
      <c r="AC90" s="345">
        <f t="shared" si="341"/>
        <v>45724</v>
      </c>
      <c r="AD90" s="394" t="str">
        <f t="shared" si="342"/>
        <v>土</v>
      </c>
      <c r="AE90" s="332">
        <v>15</v>
      </c>
      <c r="AF90" s="366" t="s">
        <v>114</v>
      </c>
      <c r="AG90" s="332"/>
      <c r="AH90" s="339"/>
      <c r="AI90" s="430" t="s">
        <v>39</v>
      </c>
      <c r="AJ90" s="439" t="s">
        <v>106</v>
      </c>
      <c r="AK90" s="335"/>
      <c r="AL90" s="347"/>
      <c r="AM90" s="440"/>
      <c r="AN90" s="377" t="s">
        <v>115</v>
      </c>
      <c r="AO90" s="332"/>
      <c r="AP90" s="338"/>
      <c r="AQ90" s="335"/>
      <c r="AR90" s="409" t="s">
        <v>105</v>
      </c>
      <c r="AS90" s="370"/>
      <c r="AT90" s="381"/>
      <c r="AU90" s="332"/>
      <c r="AV90" s="338"/>
      <c r="AW90" s="348" t="s">
        <v>39</v>
      </c>
      <c r="AX90" s="387" t="s">
        <v>42</v>
      </c>
      <c r="AY90" s="348"/>
      <c r="AZ90" s="349"/>
      <c r="BA90" s="342">
        <f ca="1">UDayCou(2,ROW())</f>
        <v>10</v>
      </c>
      <c r="BB90" s="343">
        <f ca="1">UNightCou(2,ROW())</f>
        <v>9</v>
      </c>
      <c r="BC90" s="344">
        <f ca="1">UNewCou(2,ROW())</f>
        <v>1</v>
      </c>
      <c r="BD90" s="327">
        <f t="shared" si="343"/>
        <v>45724</v>
      </c>
      <c r="BE90" s="394" t="str">
        <f t="shared" si="344"/>
        <v>土</v>
      </c>
      <c r="BF90" s="350"/>
      <c r="BG90" s="351"/>
      <c r="BH90" s="330"/>
      <c r="BI90" s="351"/>
      <c r="BJ90" s="330"/>
      <c r="BK90" s="351"/>
      <c r="BL90" s="330"/>
      <c r="BM90" s="351"/>
      <c r="BN90" s="330"/>
      <c r="BO90" s="351"/>
      <c r="BP90" s="330"/>
      <c r="BQ90" s="351"/>
      <c r="BR90" s="330"/>
      <c r="BS90" s="351"/>
      <c r="BT90" s="330"/>
      <c r="BU90" s="351"/>
      <c r="BV90" s="330"/>
      <c r="BW90" s="351"/>
      <c r="BX90" s="330"/>
      <c r="BY90" s="351"/>
      <c r="BZ90" s="389"/>
      <c r="CA90" s="341"/>
      <c r="CB90" s="342">
        <f ca="1">UDayCou(3,ROW())</f>
        <v>0</v>
      </c>
      <c r="CC90" s="343">
        <f ca="1">UNightCou(3,ROW())</f>
        <v>0</v>
      </c>
      <c r="CD90" s="344">
        <f ca="1">UNewCou(3,ROW())</f>
        <v>0</v>
      </c>
      <c r="CE90" s="327">
        <f t="shared" si="345"/>
        <v>45724</v>
      </c>
      <c r="CF90" s="394" t="str">
        <f t="shared" si="346"/>
        <v>土</v>
      </c>
      <c r="CG90" s="352">
        <f t="shared" ref="CG90" ca="1" si="385">Z90+BA90+CB90</f>
        <v>18</v>
      </c>
      <c r="CH90" s="353">
        <f t="shared" ref="CH90" ca="1" si="386">AA90+BB90+CC90</f>
        <v>15</v>
      </c>
      <c r="CI90" s="354">
        <f t="shared" ref="CI90" ca="1" si="387">AB90+BC90+CD90</f>
        <v>2</v>
      </c>
      <c r="CJ90" s="355">
        <f ca="1">COUNTIF(INDIRECT("D138:CA139"),"*●*")</f>
        <v>4</v>
      </c>
      <c r="CK90" s="356">
        <f ca="1">COUNTIF(INDIRECT("D138:CA139"),"*㋷*")</f>
        <v>0</v>
      </c>
      <c r="CL90" s="75"/>
      <c r="CN90" s="160">
        <f t="shared" si="350"/>
        <v>45724</v>
      </c>
      <c r="CO90" s="167" t="str">
        <f t="shared" si="351"/>
        <v>土</v>
      </c>
      <c r="CP90" s="440"/>
      <c r="CQ90" s="347"/>
      <c r="CR90" s="359"/>
      <c r="CS90" s="358"/>
      <c r="CT90" s="359"/>
      <c r="CU90" s="358"/>
      <c r="CZ90" s="73">
        <v>3</v>
      </c>
      <c r="DA90" s="73">
        <v>3</v>
      </c>
      <c r="DB90" s="73">
        <v>8</v>
      </c>
      <c r="DC90" s="74">
        <f t="shared" si="327"/>
        <v>45724</v>
      </c>
      <c r="DD90" s="68" t="str">
        <f t="shared" si="367"/>
        <v>土</v>
      </c>
      <c r="DF90" s="155">
        <f t="shared" ref="DF90" si="388">$DC90</f>
        <v>45724</v>
      </c>
      <c r="DG90" s="156" t="e">
        <f ca="1">IF($CH90&gt;=設定!$E$12,"✕",IF(SS予約表!$CG90&gt;=設定!$E$12,"△","○"))</f>
        <v>#NAME?</v>
      </c>
    </row>
    <row r="91" spans="1:111" ht="29.25" customHeight="1">
      <c r="A91" s="284"/>
      <c r="B91" s="285"/>
      <c r="C91" s="286" t="s">
        <v>28</v>
      </c>
      <c r="D91" s="299"/>
      <c r="E91" s="300"/>
      <c r="F91" s="319"/>
      <c r="G91" s="323"/>
      <c r="H91" s="320"/>
      <c r="I91" s="324"/>
      <c r="J91" s="319">
        <v>10</v>
      </c>
      <c r="K91" s="318" t="s">
        <v>116</v>
      </c>
      <c r="L91" s="320"/>
      <c r="M91" s="324"/>
      <c r="N91" s="376"/>
      <c r="O91" s="318"/>
      <c r="P91" s="299"/>
      <c r="Q91" s="300"/>
      <c r="R91" s="319"/>
      <c r="S91" s="323"/>
      <c r="T91" s="319"/>
      <c r="U91" s="318"/>
      <c r="V91" s="319"/>
      <c r="W91" s="318"/>
      <c r="X91" s="299"/>
      <c r="Y91" s="300"/>
      <c r="Z91" s="294"/>
      <c r="AA91" s="295"/>
      <c r="AB91" s="296"/>
      <c r="AC91" s="297"/>
      <c r="AD91" s="298"/>
      <c r="AE91" s="319"/>
      <c r="AF91" s="323"/>
      <c r="AG91" s="320">
        <v>10</v>
      </c>
      <c r="AH91" s="324" t="s">
        <v>103</v>
      </c>
      <c r="AI91" s="429" t="s">
        <v>39</v>
      </c>
      <c r="AJ91" s="322" t="s">
        <v>117</v>
      </c>
      <c r="AK91" s="319">
        <v>10</v>
      </c>
      <c r="AL91" s="318" t="s">
        <v>118</v>
      </c>
      <c r="AM91" s="411"/>
      <c r="AN91" s="441"/>
      <c r="AO91" s="319"/>
      <c r="AP91" s="318"/>
      <c r="AQ91" s="299"/>
      <c r="AR91" s="322"/>
      <c r="AS91" s="319">
        <v>10</v>
      </c>
      <c r="AT91" s="318" t="s">
        <v>119</v>
      </c>
      <c r="AU91" s="319"/>
      <c r="AV91" s="318"/>
      <c r="AW91" s="325" t="s">
        <v>39</v>
      </c>
      <c r="AX91" s="392"/>
      <c r="AY91" s="325"/>
      <c r="AZ91" s="326"/>
      <c r="BA91" s="294"/>
      <c r="BB91" s="295"/>
      <c r="BC91" s="296"/>
      <c r="BD91" s="284"/>
      <c r="BE91" s="298"/>
      <c r="BF91" s="305"/>
      <c r="BG91" s="302"/>
      <c r="BH91" s="301"/>
      <c r="BI91" s="302"/>
      <c r="BJ91" s="301"/>
      <c r="BK91" s="302"/>
      <c r="BL91" s="301"/>
      <c r="BM91" s="302"/>
      <c r="BN91" s="301"/>
      <c r="BO91" s="302"/>
      <c r="BP91" s="301"/>
      <c r="BQ91" s="302"/>
      <c r="BR91" s="301"/>
      <c r="BS91" s="302"/>
      <c r="BT91" s="301"/>
      <c r="BU91" s="302"/>
      <c r="BV91" s="301"/>
      <c r="BW91" s="302"/>
      <c r="BX91" s="301"/>
      <c r="BY91" s="302"/>
      <c r="BZ91" s="306"/>
      <c r="CA91" s="304"/>
      <c r="CB91" s="294"/>
      <c r="CC91" s="295"/>
      <c r="CD91" s="296"/>
      <c r="CE91" s="284"/>
      <c r="CF91" s="298"/>
      <c r="CG91" s="307"/>
      <c r="CH91" s="308"/>
      <c r="CI91" s="309"/>
      <c r="CJ91" s="310"/>
      <c r="CK91" s="311"/>
      <c r="CL91" s="75"/>
      <c r="CN91" s="161"/>
      <c r="CO91" s="163"/>
      <c r="CP91" s="411"/>
      <c r="CQ91" s="442"/>
      <c r="CR91" s="317"/>
      <c r="CS91" s="316"/>
      <c r="CT91" s="317"/>
      <c r="CU91" s="316"/>
      <c r="CZ91" s="73">
        <v>3</v>
      </c>
      <c r="DA91" s="73">
        <v>3</v>
      </c>
      <c r="DB91" s="73">
        <v>8</v>
      </c>
      <c r="DC91" s="74">
        <f t="shared" si="327"/>
        <v>45724</v>
      </c>
      <c r="DD91" s="68" t="str">
        <f t="shared" si="367"/>
        <v>土</v>
      </c>
      <c r="DF91" s="156"/>
      <c r="DG91" s="156"/>
    </row>
    <row r="92" spans="1:111" ht="28.5" customHeight="1">
      <c r="A92" s="327">
        <f t="shared" si="336"/>
        <v>45725</v>
      </c>
      <c r="B92" s="328" t="str">
        <f t="shared" si="337"/>
        <v>日</v>
      </c>
      <c r="C92" s="329" t="s">
        <v>27</v>
      </c>
      <c r="D92" s="335"/>
      <c r="E92" s="347"/>
      <c r="F92" s="332"/>
      <c r="G92" s="339"/>
      <c r="H92" s="333"/>
      <c r="I92" s="377"/>
      <c r="J92" s="332"/>
      <c r="K92" s="336"/>
      <c r="L92" s="333"/>
      <c r="M92" s="377"/>
      <c r="N92" s="380"/>
      <c r="O92" s="336" t="s">
        <v>42</v>
      </c>
      <c r="P92" s="335"/>
      <c r="Q92" s="347"/>
      <c r="R92" s="332"/>
      <c r="S92" s="339"/>
      <c r="T92" s="332"/>
      <c r="U92" s="336" t="s">
        <v>42</v>
      </c>
      <c r="V92" s="332"/>
      <c r="W92" s="338" t="s">
        <v>120</v>
      </c>
      <c r="X92" s="335"/>
      <c r="Y92" s="347"/>
      <c r="Z92" s="342">
        <f t="shared" ref="Z92" ca="1" si="389">UDayCou(1,ROW())</f>
        <v>6</v>
      </c>
      <c r="AA92" s="343">
        <f t="shared" ref="AA92" ca="1" si="390">UNightCou(1,ROW())</f>
        <v>6</v>
      </c>
      <c r="AB92" s="344">
        <f t="shared" ref="AB92" ca="1" si="391">UNewCou(1,ROW())</f>
        <v>1</v>
      </c>
      <c r="AC92" s="345">
        <f t="shared" si="341"/>
        <v>45725</v>
      </c>
      <c r="AD92" s="346" t="str">
        <f t="shared" si="342"/>
        <v>日</v>
      </c>
      <c r="AE92" s="332"/>
      <c r="AF92" s="339"/>
      <c r="AG92" s="333"/>
      <c r="AH92" s="377" t="s">
        <v>121</v>
      </c>
      <c r="AI92" s="430" t="s">
        <v>39</v>
      </c>
      <c r="AJ92" s="336" t="s">
        <v>42</v>
      </c>
      <c r="AK92" s="332"/>
      <c r="AL92" s="338" t="s">
        <v>55</v>
      </c>
      <c r="AM92" s="440"/>
      <c r="AN92" s="377"/>
      <c r="AO92" s="332"/>
      <c r="AP92" s="336" t="s">
        <v>42</v>
      </c>
      <c r="AQ92" s="335">
        <v>15</v>
      </c>
      <c r="AR92" s="367" t="s">
        <v>122</v>
      </c>
      <c r="AS92" s="332"/>
      <c r="AT92" s="338" t="s">
        <v>123</v>
      </c>
      <c r="AU92" s="332"/>
      <c r="AV92" s="336" t="s">
        <v>42</v>
      </c>
      <c r="AW92" s="348" t="s">
        <v>39</v>
      </c>
      <c r="AX92" s="396" t="s">
        <v>120</v>
      </c>
      <c r="AY92" s="348"/>
      <c r="AZ92" s="349"/>
      <c r="BA92" s="342">
        <f ca="1">UDayCou(2,ROW())</f>
        <v>9</v>
      </c>
      <c r="BB92" s="343">
        <f ca="1">UNightCou(2,ROW())</f>
        <v>8</v>
      </c>
      <c r="BC92" s="344">
        <f ca="1">UNewCou(2,ROW())</f>
        <v>1</v>
      </c>
      <c r="BD92" s="327">
        <f t="shared" si="343"/>
        <v>45725</v>
      </c>
      <c r="BE92" s="346" t="str">
        <f t="shared" si="344"/>
        <v>日</v>
      </c>
      <c r="BF92" s="350"/>
      <c r="BG92" s="351"/>
      <c r="BH92" s="330"/>
      <c r="BI92" s="351"/>
      <c r="BJ92" s="330"/>
      <c r="BK92" s="351"/>
      <c r="BL92" s="330"/>
      <c r="BM92" s="351"/>
      <c r="BN92" s="330"/>
      <c r="BO92" s="351"/>
      <c r="BP92" s="330"/>
      <c r="BQ92" s="351"/>
      <c r="BR92" s="330"/>
      <c r="BS92" s="351"/>
      <c r="BT92" s="330"/>
      <c r="BU92" s="351"/>
      <c r="BV92" s="330"/>
      <c r="BW92" s="351"/>
      <c r="BX92" s="330"/>
      <c r="BY92" s="351"/>
      <c r="BZ92" s="389"/>
      <c r="CA92" s="341"/>
      <c r="CB92" s="342">
        <f ca="1">UDayCou(3,ROW())</f>
        <v>0</v>
      </c>
      <c r="CC92" s="343">
        <f ca="1">UNightCou(3,ROW())</f>
        <v>0</v>
      </c>
      <c r="CD92" s="344">
        <f ca="1">UNewCou(3,ROW())</f>
        <v>0</v>
      </c>
      <c r="CE92" s="327">
        <f t="shared" si="345"/>
        <v>45725</v>
      </c>
      <c r="CF92" s="346" t="str">
        <f t="shared" si="346"/>
        <v>日</v>
      </c>
      <c r="CG92" s="352">
        <f t="shared" ref="CG92" ca="1" si="392">Z92+BA92+CB92</f>
        <v>15</v>
      </c>
      <c r="CH92" s="353">
        <f t="shared" ref="CH92" ca="1" si="393">AA92+BB92+CC92</f>
        <v>14</v>
      </c>
      <c r="CI92" s="354">
        <f t="shared" ref="CI92" ca="1" si="394">AB92+BC92+CD92</f>
        <v>2</v>
      </c>
      <c r="CJ92" s="355">
        <f ca="1">COUNTIF(INDIRECT("D140:CA141"),"*●*")</f>
        <v>3</v>
      </c>
      <c r="CK92" s="356">
        <f ca="1">COUNTIF(INDIRECT("D140:CA141"),"*㋷*")</f>
        <v>0</v>
      </c>
      <c r="CL92" s="75"/>
      <c r="CN92" s="160">
        <f t="shared" si="350"/>
        <v>45725</v>
      </c>
      <c r="CO92" s="168" t="str">
        <f t="shared" si="351"/>
        <v>日</v>
      </c>
      <c r="CP92" s="440"/>
      <c r="CQ92" s="347"/>
      <c r="CR92" s="359"/>
      <c r="CS92" s="358"/>
      <c r="CT92" s="359"/>
      <c r="CU92" s="358"/>
      <c r="CZ92" s="73">
        <v>3</v>
      </c>
      <c r="DA92" s="73">
        <v>3</v>
      </c>
      <c r="DB92" s="73">
        <v>9</v>
      </c>
      <c r="DC92" s="74">
        <f t="shared" si="327"/>
        <v>45725</v>
      </c>
      <c r="DD92" s="68" t="str">
        <f t="shared" si="367"/>
        <v>日</v>
      </c>
      <c r="DF92" s="155">
        <f t="shared" ref="DF92" si="395">$DC92</f>
        <v>45725</v>
      </c>
      <c r="DG92" s="156" t="e">
        <f ca="1">IF($CH92&gt;=設定!$E$12,"✕",IF(SS予約表!$CG92&gt;=設定!$E$12,"△","○"))</f>
        <v>#NAME?</v>
      </c>
    </row>
    <row r="93" spans="1:111" ht="29.25" customHeight="1">
      <c r="A93" s="284"/>
      <c r="B93" s="285"/>
      <c r="C93" s="286" t="s">
        <v>28</v>
      </c>
      <c r="D93" s="299"/>
      <c r="E93" s="300"/>
      <c r="F93" s="319"/>
      <c r="G93" s="323"/>
      <c r="H93" s="320"/>
      <c r="I93" s="324"/>
      <c r="J93" s="319"/>
      <c r="K93" s="318"/>
      <c r="L93" s="320"/>
      <c r="M93" s="324"/>
      <c r="N93" s="376"/>
      <c r="O93" s="318"/>
      <c r="P93" s="299"/>
      <c r="Q93" s="300"/>
      <c r="R93" s="299"/>
      <c r="S93" s="300"/>
      <c r="T93" s="319"/>
      <c r="U93" s="318"/>
      <c r="V93" s="319"/>
      <c r="W93" s="318"/>
      <c r="X93" s="299"/>
      <c r="Y93" s="300"/>
      <c r="Z93" s="294"/>
      <c r="AA93" s="295"/>
      <c r="AB93" s="296"/>
      <c r="AC93" s="297"/>
      <c r="AD93" s="298"/>
      <c r="AE93" s="319"/>
      <c r="AF93" s="323"/>
      <c r="AG93" s="320"/>
      <c r="AH93" s="324"/>
      <c r="AI93" s="429" t="s">
        <v>39</v>
      </c>
      <c r="AJ93" s="322" t="s">
        <v>120</v>
      </c>
      <c r="AK93" s="319"/>
      <c r="AL93" s="318"/>
      <c r="AM93" s="411"/>
      <c r="AN93" s="324"/>
      <c r="AO93" s="299"/>
      <c r="AP93" s="322"/>
      <c r="AQ93" s="299"/>
      <c r="AR93" s="300"/>
      <c r="AS93" s="319"/>
      <c r="AT93" s="318"/>
      <c r="AU93" s="319"/>
      <c r="AV93" s="318"/>
      <c r="AW93" s="325" t="s">
        <v>39</v>
      </c>
      <c r="AX93" s="392"/>
      <c r="AY93" s="325"/>
      <c r="AZ93" s="326"/>
      <c r="BA93" s="294"/>
      <c r="BB93" s="295"/>
      <c r="BC93" s="296"/>
      <c r="BD93" s="284"/>
      <c r="BE93" s="298"/>
      <c r="BF93" s="305"/>
      <c r="BG93" s="302"/>
      <c r="BH93" s="301"/>
      <c r="BI93" s="302"/>
      <c r="BJ93" s="301"/>
      <c r="BK93" s="302"/>
      <c r="BL93" s="301"/>
      <c r="BM93" s="302"/>
      <c r="BN93" s="301"/>
      <c r="BO93" s="302"/>
      <c r="BP93" s="301"/>
      <c r="BQ93" s="302"/>
      <c r="BR93" s="301"/>
      <c r="BS93" s="302"/>
      <c r="BT93" s="301"/>
      <c r="BU93" s="302"/>
      <c r="BV93" s="301"/>
      <c r="BW93" s="302"/>
      <c r="BX93" s="301"/>
      <c r="BY93" s="302"/>
      <c r="BZ93" s="306"/>
      <c r="CA93" s="304"/>
      <c r="CB93" s="294"/>
      <c r="CC93" s="295"/>
      <c r="CD93" s="296"/>
      <c r="CE93" s="284"/>
      <c r="CF93" s="298"/>
      <c r="CG93" s="307"/>
      <c r="CH93" s="308"/>
      <c r="CI93" s="309"/>
      <c r="CJ93" s="310"/>
      <c r="CK93" s="311"/>
      <c r="CL93" s="75"/>
      <c r="CN93" s="161"/>
      <c r="CO93" s="163"/>
      <c r="CP93" s="411"/>
      <c r="CQ93" s="300"/>
      <c r="CR93" s="317"/>
      <c r="CS93" s="316"/>
      <c r="CT93" s="317"/>
      <c r="CU93" s="316"/>
      <c r="CZ93" s="73">
        <v>3</v>
      </c>
      <c r="DA93" s="73">
        <v>3</v>
      </c>
      <c r="DB93" s="73">
        <v>9</v>
      </c>
      <c r="DC93" s="74">
        <f t="shared" si="327"/>
        <v>45725</v>
      </c>
      <c r="DD93" s="68" t="str">
        <f t="shared" si="367"/>
        <v>日</v>
      </c>
      <c r="DF93" s="156"/>
      <c r="DG93" s="156"/>
    </row>
    <row r="94" spans="1:111" ht="28.5" customHeight="1">
      <c r="A94" s="327">
        <f t="shared" si="336"/>
        <v>45726</v>
      </c>
      <c r="B94" s="365" t="str">
        <f t="shared" si="337"/>
        <v>月</v>
      </c>
      <c r="C94" s="329" t="s">
        <v>27</v>
      </c>
      <c r="D94" s="335"/>
      <c r="E94" s="347"/>
      <c r="F94" s="332"/>
      <c r="G94" s="378"/>
      <c r="H94" s="333"/>
      <c r="I94" s="336" t="s">
        <v>42</v>
      </c>
      <c r="J94" s="332">
        <v>15</v>
      </c>
      <c r="K94" s="336" t="s">
        <v>124</v>
      </c>
      <c r="L94" s="333"/>
      <c r="M94" s="377"/>
      <c r="N94" s="402">
        <v>15</v>
      </c>
      <c r="O94" s="366" t="s">
        <v>54</v>
      </c>
      <c r="P94" s="335"/>
      <c r="Q94" s="347"/>
      <c r="R94" s="335"/>
      <c r="S94" s="347"/>
      <c r="T94" s="332">
        <v>15</v>
      </c>
      <c r="U94" s="366" t="s">
        <v>91</v>
      </c>
      <c r="V94" s="332"/>
      <c r="W94" s="336" t="s">
        <v>42</v>
      </c>
      <c r="X94" s="335"/>
      <c r="Y94" s="347"/>
      <c r="Z94" s="342">
        <f t="shared" ref="Z94" ca="1" si="396">UDayCou(1,ROW())</f>
        <v>7</v>
      </c>
      <c r="AA94" s="343">
        <f t="shared" ref="AA94" ca="1" si="397">UNightCou(1,ROW())</f>
        <v>5</v>
      </c>
      <c r="AB94" s="344">
        <f t="shared" ref="AB94" ca="1" si="398">UNewCou(1,ROW())</f>
        <v>1</v>
      </c>
      <c r="AC94" s="345">
        <f t="shared" si="341"/>
        <v>45726</v>
      </c>
      <c r="AD94" s="371" t="str">
        <f t="shared" si="342"/>
        <v>月</v>
      </c>
      <c r="AE94" s="332"/>
      <c r="AF94" s="339"/>
      <c r="AG94" s="333"/>
      <c r="AH94" s="377"/>
      <c r="AI94" s="430" t="s">
        <v>39</v>
      </c>
      <c r="AJ94" s="409"/>
      <c r="AK94" s="332"/>
      <c r="AL94" s="336" t="s">
        <v>42</v>
      </c>
      <c r="AM94" s="440"/>
      <c r="AN94" s="336" t="s">
        <v>42</v>
      </c>
      <c r="AO94" s="335">
        <v>15</v>
      </c>
      <c r="AP94" s="337" t="s">
        <v>54</v>
      </c>
      <c r="AQ94" s="335"/>
      <c r="AR94" s="347"/>
      <c r="AS94" s="332">
        <v>15</v>
      </c>
      <c r="AT94" s="366" t="s">
        <v>55</v>
      </c>
      <c r="AU94" s="332"/>
      <c r="AV94" s="338"/>
      <c r="AW94" s="348" t="s">
        <v>39</v>
      </c>
      <c r="AX94" s="396"/>
      <c r="AY94" s="348"/>
      <c r="AZ94" s="349"/>
      <c r="BA94" s="342">
        <f ca="1">UDayCou(2,ROW())</f>
        <v>8</v>
      </c>
      <c r="BB94" s="343">
        <f ca="1">UNightCou(2,ROW())</f>
        <v>6</v>
      </c>
      <c r="BC94" s="344">
        <f ca="1">UNewCou(2,ROW())</f>
        <v>1</v>
      </c>
      <c r="BD94" s="327">
        <f t="shared" si="343"/>
        <v>45726</v>
      </c>
      <c r="BE94" s="371" t="str">
        <f t="shared" si="344"/>
        <v>月</v>
      </c>
      <c r="BF94" s="350"/>
      <c r="BG94" s="351"/>
      <c r="BH94" s="330"/>
      <c r="BI94" s="351"/>
      <c r="BJ94" s="330"/>
      <c r="BK94" s="351"/>
      <c r="BL94" s="330"/>
      <c r="BM94" s="351"/>
      <c r="BN94" s="330"/>
      <c r="BO94" s="351"/>
      <c r="BP94" s="330"/>
      <c r="BQ94" s="351"/>
      <c r="BR94" s="330"/>
      <c r="BS94" s="351"/>
      <c r="BT94" s="330"/>
      <c r="BU94" s="351"/>
      <c r="BV94" s="330"/>
      <c r="BW94" s="351"/>
      <c r="BX94" s="330"/>
      <c r="BY94" s="351"/>
      <c r="BZ94" s="389"/>
      <c r="CA94" s="341"/>
      <c r="CB94" s="342">
        <f ca="1">UDayCou(3,ROW())</f>
        <v>0</v>
      </c>
      <c r="CC94" s="343">
        <f ca="1">UNightCou(3,ROW())</f>
        <v>0</v>
      </c>
      <c r="CD94" s="344">
        <f ca="1">UNewCou(3,ROW())</f>
        <v>0</v>
      </c>
      <c r="CE94" s="327">
        <f t="shared" si="345"/>
        <v>45726</v>
      </c>
      <c r="CF94" s="371" t="str">
        <f t="shared" si="346"/>
        <v>月</v>
      </c>
      <c r="CG94" s="352">
        <f t="shared" ref="CG94" ca="1" si="399">Z94+BA94+CB94</f>
        <v>15</v>
      </c>
      <c r="CH94" s="353">
        <f t="shared" ref="CH94" ca="1" si="400">AA94+BB94+CC94</f>
        <v>11</v>
      </c>
      <c r="CI94" s="354">
        <f t="shared" ref="CI94" ca="1" si="401">AB94+BC94+CD94</f>
        <v>2</v>
      </c>
      <c r="CJ94" s="355">
        <f ca="1">COUNTIF(INDIRECT("D142:CA143"),"*●*")</f>
        <v>6</v>
      </c>
      <c r="CK94" s="356">
        <f ca="1">COUNTIF(INDIRECT("D142:CA143"),"*㋷*")</f>
        <v>0</v>
      </c>
      <c r="CL94" s="75"/>
      <c r="CN94" s="160">
        <f t="shared" si="350"/>
        <v>45726</v>
      </c>
      <c r="CO94" s="162" t="str">
        <f t="shared" si="351"/>
        <v>月</v>
      </c>
      <c r="CP94" s="440"/>
      <c r="CQ94" s="347"/>
      <c r="CR94" s="359"/>
      <c r="CS94" s="358"/>
      <c r="CT94" s="359"/>
      <c r="CU94" s="358"/>
      <c r="CZ94" s="73">
        <v>3</v>
      </c>
      <c r="DA94" s="73">
        <v>3</v>
      </c>
      <c r="DB94" s="73">
        <v>10</v>
      </c>
      <c r="DC94" s="74">
        <f t="shared" si="327"/>
        <v>45726</v>
      </c>
      <c r="DD94" s="68" t="str">
        <f t="shared" si="367"/>
        <v>月</v>
      </c>
      <c r="DF94" s="155">
        <f t="shared" ref="DF94" si="402">$DC94</f>
        <v>45726</v>
      </c>
      <c r="DG94" s="156" t="e">
        <f ca="1">IF($CH94&gt;=設定!$E$12,"✕",IF(SS予約表!$CG94&gt;=設定!$E$12,"△","○"))</f>
        <v>#NAME?</v>
      </c>
    </row>
    <row r="95" spans="1:111" ht="29.25" customHeight="1" thickBot="1">
      <c r="A95" s="284"/>
      <c r="B95" s="285"/>
      <c r="C95" s="286" t="s">
        <v>28</v>
      </c>
      <c r="D95" s="299"/>
      <c r="E95" s="300"/>
      <c r="F95" s="319"/>
      <c r="G95" s="323"/>
      <c r="H95" s="320"/>
      <c r="I95" s="324"/>
      <c r="J95" s="320"/>
      <c r="K95" s="324" t="s">
        <v>125</v>
      </c>
      <c r="L95" s="320"/>
      <c r="M95" s="324" t="s">
        <v>126</v>
      </c>
      <c r="N95" s="422"/>
      <c r="O95" s="423"/>
      <c r="P95" s="320"/>
      <c r="Q95" s="321"/>
      <c r="R95" s="319">
        <v>10</v>
      </c>
      <c r="S95" s="318" t="s">
        <v>127</v>
      </c>
      <c r="T95" s="299"/>
      <c r="U95" s="300"/>
      <c r="V95" s="319"/>
      <c r="W95" s="318"/>
      <c r="X95" s="315"/>
      <c r="Y95" s="316"/>
      <c r="Z95" s="294"/>
      <c r="AA95" s="295"/>
      <c r="AB95" s="296"/>
      <c r="AC95" s="297"/>
      <c r="AD95" s="298"/>
      <c r="AE95" s="299"/>
      <c r="AF95" s="300"/>
      <c r="AG95" s="320"/>
      <c r="AH95" s="324"/>
      <c r="AI95" s="429" t="s">
        <v>39</v>
      </c>
      <c r="AJ95" s="322"/>
      <c r="AK95" s="319"/>
      <c r="AL95" s="318"/>
      <c r="AM95" s="411"/>
      <c r="AN95" s="324"/>
      <c r="AO95" s="422"/>
      <c r="AP95" s="443"/>
      <c r="AQ95" s="320"/>
      <c r="AR95" s="321"/>
      <c r="AS95" s="362"/>
      <c r="AT95" s="321"/>
      <c r="AU95" s="319"/>
      <c r="AV95" s="318"/>
      <c r="AW95" s="325" t="s">
        <v>39</v>
      </c>
      <c r="AX95" s="392"/>
      <c r="AY95" s="422"/>
      <c r="AZ95" s="443"/>
      <c r="BA95" s="294"/>
      <c r="BB95" s="295"/>
      <c r="BC95" s="296"/>
      <c r="BD95" s="284"/>
      <c r="BE95" s="298"/>
      <c r="BF95" s="305"/>
      <c r="BG95" s="302"/>
      <c r="BH95" s="301"/>
      <c r="BI95" s="302"/>
      <c r="BJ95" s="301"/>
      <c r="BK95" s="302"/>
      <c r="BL95" s="301"/>
      <c r="BM95" s="302"/>
      <c r="BN95" s="301"/>
      <c r="BO95" s="302"/>
      <c r="BP95" s="301"/>
      <c r="BQ95" s="302"/>
      <c r="BR95" s="301"/>
      <c r="BS95" s="302"/>
      <c r="BT95" s="301"/>
      <c r="BU95" s="302"/>
      <c r="BV95" s="301"/>
      <c r="BW95" s="302"/>
      <c r="BX95" s="301"/>
      <c r="BY95" s="302"/>
      <c r="BZ95" s="306"/>
      <c r="CA95" s="304"/>
      <c r="CB95" s="294"/>
      <c r="CC95" s="295"/>
      <c r="CD95" s="296"/>
      <c r="CE95" s="284"/>
      <c r="CF95" s="298"/>
      <c r="CG95" s="307"/>
      <c r="CH95" s="308"/>
      <c r="CI95" s="309"/>
      <c r="CJ95" s="310"/>
      <c r="CK95" s="311"/>
      <c r="CL95" s="75"/>
      <c r="CN95" s="161"/>
      <c r="CO95" s="163"/>
      <c r="CP95" s="411"/>
      <c r="CQ95" s="300"/>
      <c r="CR95" s="317"/>
      <c r="CS95" s="316"/>
      <c r="CT95" s="317"/>
      <c r="CU95" s="316"/>
      <c r="CZ95" s="73">
        <v>3</v>
      </c>
      <c r="DA95" s="73">
        <v>3</v>
      </c>
      <c r="DB95" s="73">
        <v>10</v>
      </c>
      <c r="DC95" s="74">
        <f t="shared" si="327"/>
        <v>45726</v>
      </c>
      <c r="DD95" s="68" t="str">
        <f t="shared" si="367"/>
        <v>月</v>
      </c>
      <c r="DF95" s="156"/>
      <c r="DG95" s="156"/>
    </row>
    <row r="96" spans="1:111" ht="28.5" customHeight="1">
      <c r="A96" s="491">
        <f t="shared" si="336"/>
        <v>45727</v>
      </c>
      <c r="B96" s="524" t="str">
        <f t="shared" si="337"/>
        <v>火</v>
      </c>
      <c r="C96" s="493" t="s">
        <v>27</v>
      </c>
      <c r="D96" s="499"/>
      <c r="E96" s="511"/>
      <c r="F96" s="496"/>
      <c r="G96" s="539"/>
      <c r="H96" s="497">
        <v>15</v>
      </c>
      <c r="I96" s="501" t="s">
        <v>54</v>
      </c>
      <c r="J96" s="497">
        <v>15</v>
      </c>
      <c r="K96" s="527"/>
      <c r="L96" s="497">
        <v>15</v>
      </c>
      <c r="M96" s="501" t="s">
        <v>47</v>
      </c>
      <c r="N96" s="549"/>
      <c r="O96" s="553"/>
      <c r="P96" s="497"/>
      <c r="Q96" s="526"/>
      <c r="R96" s="496"/>
      <c r="S96" s="500" t="s">
        <v>42</v>
      </c>
      <c r="T96" s="499"/>
      <c r="U96" s="511"/>
      <c r="V96" s="496"/>
      <c r="W96" s="502"/>
      <c r="X96" s="521"/>
      <c r="Y96" s="522"/>
      <c r="Z96" s="506">
        <f t="shared" ref="Z96" ca="1" si="403">UDayCou(1,ROW())</f>
        <v>8</v>
      </c>
      <c r="AA96" s="507">
        <f t="shared" ref="AA96" ca="1" si="404">UNightCou(1,ROW())</f>
        <v>6</v>
      </c>
      <c r="AB96" s="508">
        <f t="shared" ref="AB96" ca="1" si="405">UNewCou(1,ROW())</f>
        <v>0</v>
      </c>
      <c r="AC96" s="509">
        <f t="shared" si="341"/>
        <v>45727</v>
      </c>
      <c r="AD96" s="531" t="str">
        <f t="shared" si="342"/>
        <v>火</v>
      </c>
      <c r="AE96" s="499"/>
      <c r="AF96" s="511"/>
      <c r="AG96" s="497"/>
      <c r="AH96" s="527"/>
      <c r="AI96" s="547" t="s">
        <v>39</v>
      </c>
      <c r="AJ96" s="548"/>
      <c r="AK96" s="496">
        <v>15</v>
      </c>
      <c r="AL96" s="525" t="s">
        <v>128</v>
      </c>
      <c r="AM96" s="554">
        <v>15</v>
      </c>
      <c r="AN96" s="501" t="s">
        <v>51</v>
      </c>
      <c r="AO96" s="549"/>
      <c r="AP96" s="555"/>
      <c r="AQ96" s="497"/>
      <c r="AR96" s="526" t="s">
        <v>129</v>
      </c>
      <c r="AS96" s="556"/>
      <c r="AT96" s="526"/>
      <c r="AU96" s="496"/>
      <c r="AV96" s="500" t="s">
        <v>42</v>
      </c>
      <c r="AW96" s="512" t="s">
        <v>39</v>
      </c>
      <c r="AX96" s="541" t="s">
        <v>42</v>
      </c>
      <c r="AY96" s="549"/>
      <c r="AZ96" s="555"/>
      <c r="BA96" s="506">
        <f ca="1">UDayCou(2,ROW())</f>
        <v>8</v>
      </c>
      <c r="BB96" s="507">
        <f ca="1">UNightCou(2,ROW())</f>
        <v>6</v>
      </c>
      <c r="BC96" s="508">
        <f ca="1">UNewCou(2,ROW())</f>
        <v>1</v>
      </c>
      <c r="BD96" s="491">
        <f t="shared" si="343"/>
        <v>45727</v>
      </c>
      <c r="BE96" s="531" t="str">
        <f t="shared" si="344"/>
        <v>火</v>
      </c>
      <c r="BF96" s="514"/>
      <c r="BG96" s="515"/>
      <c r="BH96" s="494"/>
      <c r="BI96" s="515"/>
      <c r="BJ96" s="494"/>
      <c r="BK96" s="515"/>
      <c r="BL96" s="494"/>
      <c r="BM96" s="515"/>
      <c r="BN96" s="494"/>
      <c r="BO96" s="515"/>
      <c r="BP96" s="494"/>
      <c r="BQ96" s="515"/>
      <c r="BR96" s="494"/>
      <c r="BS96" s="515"/>
      <c r="BT96" s="494"/>
      <c r="BU96" s="515"/>
      <c r="BV96" s="494"/>
      <c r="BW96" s="515"/>
      <c r="BX96" s="494"/>
      <c r="BY96" s="515"/>
      <c r="BZ96" s="530"/>
      <c r="CA96" s="505"/>
      <c r="CB96" s="506">
        <f ca="1">UDayCou(3,ROW())</f>
        <v>0</v>
      </c>
      <c r="CC96" s="507">
        <f ca="1">UNightCou(3,ROW())</f>
        <v>0</v>
      </c>
      <c r="CD96" s="508">
        <f ca="1">UNewCou(3,ROW())</f>
        <v>0</v>
      </c>
      <c r="CE96" s="491">
        <f t="shared" si="345"/>
        <v>45727</v>
      </c>
      <c r="CF96" s="531" t="str">
        <f t="shared" si="346"/>
        <v>火</v>
      </c>
      <c r="CG96" s="516">
        <f t="shared" ref="CG96" ca="1" si="406">Z96+BA96+CB96</f>
        <v>16</v>
      </c>
      <c r="CH96" s="517">
        <f t="shared" ref="CH96" ca="1" si="407">AA96+BB96+CC96</f>
        <v>12</v>
      </c>
      <c r="CI96" s="518">
        <f t="shared" ref="CI96" ca="1" si="408">AB96+BC96+CD96</f>
        <v>1</v>
      </c>
      <c r="CJ96" s="519">
        <f ca="1">COUNTIF(INDIRECT("D144:CA145"),"*●*")</f>
        <v>5</v>
      </c>
      <c r="CK96" s="520">
        <f ca="1">COUNTIF(INDIRECT("D144:CA145"),"*㋷*")</f>
        <v>0</v>
      </c>
      <c r="CL96" s="75"/>
      <c r="CN96" s="164">
        <f t="shared" si="350"/>
        <v>45727</v>
      </c>
      <c r="CO96" s="165" t="str">
        <f t="shared" si="351"/>
        <v>火</v>
      </c>
      <c r="CP96" s="554"/>
      <c r="CQ96" s="511"/>
      <c r="CR96" s="523"/>
      <c r="CS96" s="522"/>
      <c r="CT96" s="523"/>
      <c r="CU96" s="522"/>
      <c r="CZ96" s="73">
        <v>3</v>
      </c>
      <c r="DA96" s="73">
        <v>3</v>
      </c>
      <c r="DB96" s="73">
        <v>11</v>
      </c>
      <c r="DC96" s="74">
        <f t="shared" si="327"/>
        <v>45727</v>
      </c>
      <c r="DD96" s="68" t="str">
        <f t="shared" si="367"/>
        <v>火</v>
      </c>
      <c r="DF96" s="155">
        <f t="shared" ref="DF96" si="409">$DC96</f>
        <v>45727</v>
      </c>
      <c r="DG96" s="156" t="e">
        <f ca="1">IF($CH96&gt;=設定!$E$12,"✕",IF(SS予約表!$CG96&gt;=設定!$E$12,"△","○"))</f>
        <v>#NAME?</v>
      </c>
    </row>
    <row r="97" spans="1:111" ht="29.25" customHeight="1">
      <c r="A97" s="284"/>
      <c r="B97" s="285"/>
      <c r="C97" s="286" t="s">
        <v>28</v>
      </c>
      <c r="D97" s="320"/>
      <c r="E97" s="321"/>
      <c r="F97" s="320">
        <v>10</v>
      </c>
      <c r="G97" s="324" t="s">
        <v>50</v>
      </c>
      <c r="H97" s="319">
        <v>10</v>
      </c>
      <c r="I97" s="318" t="s">
        <v>130</v>
      </c>
      <c r="J97" s="320"/>
      <c r="K97" s="324"/>
      <c r="L97" s="320"/>
      <c r="M97" s="321"/>
      <c r="N97" s="422"/>
      <c r="O97" s="423"/>
      <c r="P97" s="299">
        <v>10</v>
      </c>
      <c r="Q97" s="324" t="s">
        <v>131</v>
      </c>
      <c r="R97" s="320"/>
      <c r="S97" s="324"/>
      <c r="T97" s="299"/>
      <c r="U97" s="300"/>
      <c r="V97" s="319"/>
      <c r="W97" s="318"/>
      <c r="X97" s="315"/>
      <c r="Y97" s="316"/>
      <c r="Z97" s="294"/>
      <c r="AA97" s="295"/>
      <c r="AB97" s="296"/>
      <c r="AC97" s="297"/>
      <c r="AD97" s="298"/>
      <c r="AE97" s="319"/>
      <c r="AF97" s="323"/>
      <c r="AG97" s="320"/>
      <c r="AH97" s="324"/>
      <c r="AI97" s="429" t="s">
        <v>39</v>
      </c>
      <c r="AJ97" s="322"/>
      <c r="AK97" s="319"/>
      <c r="AL97" s="323"/>
      <c r="AM97" s="422"/>
      <c r="AN97" s="423"/>
      <c r="AO97" s="320">
        <v>10</v>
      </c>
      <c r="AP97" s="324" t="s">
        <v>132</v>
      </c>
      <c r="AQ97" s="299">
        <v>10</v>
      </c>
      <c r="AR97" s="445" t="s">
        <v>133</v>
      </c>
      <c r="AS97" s="320"/>
      <c r="AT97" s="321"/>
      <c r="AU97" s="319"/>
      <c r="AV97" s="318"/>
      <c r="AW97" s="325" t="s">
        <v>39</v>
      </c>
      <c r="AX97" s="392"/>
      <c r="AY97" s="422"/>
      <c r="AZ97" s="443"/>
      <c r="BA97" s="294"/>
      <c r="BB97" s="295"/>
      <c r="BC97" s="296"/>
      <c r="BD97" s="284"/>
      <c r="BE97" s="298"/>
      <c r="BF97" s="305"/>
      <c r="BG97" s="302"/>
      <c r="BH97" s="301"/>
      <c r="BI97" s="302"/>
      <c r="BJ97" s="301"/>
      <c r="BK97" s="302"/>
      <c r="BL97" s="301"/>
      <c r="BM97" s="302"/>
      <c r="BN97" s="301"/>
      <c r="BO97" s="302"/>
      <c r="BP97" s="301"/>
      <c r="BQ97" s="302"/>
      <c r="BR97" s="301"/>
      <c r="BS97" s="302"/>
      <c r="BT97" s="301"/>
      <c r="BU97" s="302"/>
      <c r="BV97" s="301"/>
      <c r="BW97" s="302"/>
      <c r="BX97" s="301"/>
      <c r="BY97" s="302"/>
      <c r="BZ97" s="306"/>
      <c r="CA97" s="304"/>
      <c r="CB97" s="294"/>
      <c r="CC97" s="295"/>
      <c r="CD97" s="296"/>
      <c r="CE97" s="284"/>
      <c r="CF97" s="298"/>
      <c r="CG97" s="307"/>
      <c r="CH97" s="308"/>
      <c r="CI97" s="309"/>
      <c r="CJ97" s="310"/>
      <c r="CK97" s="311"/>
      <c r="CL97" s="75"/>
      <c r="CN97" s="161"/>
      <c r="CO97" s="163"/>
      <c r="CP97" s="315"/>
      <c r="CQ97" s="316"/>
      <c r="CR97" s="317"/>
      <c r="CS97" s="316"/>
      <c r="CT97" s="317"/>
      <c r="CU97" s="316"/>
      <c r="CZ97" s="73">
        <v>3</v>
      </c>
      <c r="DA97" s="73">
        <v>3</v>
      </c>
      <c r="DB97" s="73">
        <v>11</v>
      </c>
      <c r="DC97" s="74">
        <f t="shared" si="327"/>
        <v>45727</v>
      </c>
      <c r="DD97" s="68" t="str">
        <f t="shared" si="367"/>
        <v>火</v>
      </c>
      <c r="DF97" s="156"/>
      <c r="DG97" s="156"/>
    </row>
    <row r="98" spans="1:111" ht="28.5" customHeight="1">
      <c r="A98" s="327">
        <f t="shared" si="336"/>
        <v>45728</v>
      </c>
      <c r="B98" s="365" t="str">
        <f t="shared" si="337"/>
        <v>水</v>
      </c>
      <c r="C98" s="329" t="s">
        <v>27</v>
      </c>
      <c r="D98" s="333"/>
      <c r="E98" s="334"/>
      <c r="F98" s="333"/>
      <c r="G98" s="331" t="s">
        <v>94</v>
      </c>
      <c r="H98" s="332"/>
      <c r="I98" s="338"/>
      <c r="J98" s="333">
        <v>15</v>
      </c>
      <c r="K98" s="377"/>
      <c r="L98" s="333"/>
      <c r="M98" s="381" t="s">
        <v>105</v>
      </c>
      <c r="N98" s="425"/>
      <c r="O98" s="426"/>
      <c r="P98" s="335"/>
      <c r="Q98" s="331" t="s">
        <v>55</v>
      </c>
      <c r="R98" s="333">
        <v>15</v>
      </c>
      <c r="S98" s="337" t="s">
        <v>47</v>
      </c>
      <c r="T98" s="335"/>
      <c r="U98" s="347"/>
      <c r="V98" s="332"/>
      <c r="W98" s="338"/>
      <c r="X98" s="357"/>
      <c r="Y98" s="358"/>
      <c r="Z98" s="342">
        <f t="shared" ref="Z98" ca="1" si="410">UDayCou(1,ROW())</f>
        <v>8</v>
      </c>
      <c r="AA98" s="343">
        <f t="shared" ref="AA98" ca="1" si="411">UNightCou(1,ROW())</f>
        <v>7</v>
      </c>
      <c r="AB98" s="344">
        <f t="shared" ref="AB98" ca="1" si="412">UNewCou(1,ROW())</f>
        <v>0</v>
      </c>
      <c r="AC98" s="345">
        <f t="shared" si="341"/>
        <v>45728</v>
      </c>
      <c r="AD98" s="371" t="str">
        <f t="shared" si="342"/>
        <v>水</v>
      </c>
      <c r="AE98" s="332"/>
      <c r="AF98" s="339"/>
      <c r="AG98" s="333">
        <v>15</v>
      </c>
      <c r="AH98" s="336" t="s">
        <v>42</v>
      </c>
      <c r="AI98" s="430" t="s">
        <v>39</v>
      </c>
      <c r="AJ98" s="336" t="s">
        <v>42</v>
      </c>
      <c r="AK98" s="332"/>
      <c r="AL98" s="339"/>
      <c r="AM98" s="425"/>
      <c r="AN98" s="444" t="s">
        <v>134</v>
      </c>
      <c r="AO98" s="333"/>
      <c r="AP98" s="377" t="s">
        <v>94</v>
      </c>
      <c r="AQ98" s="335"/>
      <c r="AR98" s="409" t="s">
        <v>94</v>
      </c>
      <c r="AS98" s="333"/>
      <c r="AT98" s="334"/>
      <c r="AU98" s="332"/>
      <c r="AV98" s="336"/>
      <c r="AW98" s="348" t="s">
        <v>39</v>
      </c>
      <c r="AX98" s="396"/>
      <c r="AY98" s="425"/>
      <c r="AZ98" s="444"/>
      <c r="BA98" s="342">
        <f ca="1">UDayCou(2,ROW())</f>
        <v>7</v>
      </c>
      <c r="BB98" s="343">
        <f ca="1">UNightCou(2,ROW())</f>
        <v>7</v>
      </c>
      <c r="BC98" s="344">
        <f ca="1">UNewCou(2,ROW())</f>
        <v>1</v>
      </c>
      <c r="BD98" s="327">
        <f t="shared" si="343"/>
        <v>45728</v>
      </c>
      <c r="BE98" s="371" t="str">
        <f t="shared" si="344"/>
        <v>水</v>
      </c>
      <c r="BF98" s="350"/>
      <c r="BG98" s="351"/>
      <c r="BH98" s="330"/>
      <c r="BI98" s="351"/>
      <c r="BJ98" s="330"/>
      <c r="BK98" s="351"/>
      <c r="BL98" s="330"/>
      <c r="BM98" s="351"/>
      <c r="BN98" s="330"/>
      <c r="BO98" s="351"/>
      <c r="BP98" s="330"/>
      <c r="BQ98" s="351"/>
      <c r="BR98" s="330"/>
      <c r="BS98" s="351"/>
      <c r="BT98" s="330"/>
      <c r="BU98" s="351"/>
      <c r="BV98" s="330"/>
      <c r="BW98" s="351"/>
      <c r="BX98" s="330"/>
      <c r="BY98" s="351"/>
      <c r="BZ98" s="389"/>
      <c r="CA98" s="341"/>
      <c r="CB98" s="342">
        <f ca="1">UDayCou(3,ROW())</f>
        <v>0</v>
      </c>
      <c r="CC98" s="343">
        <f ca="1">UNightCou(3,ROW())</f>
        <v>0</v>
      </c>
      <c r="CD98" s="344">
        <f ca="1">UNewCou(3,ROW())</f>
        <v>0</v>
      </c>
      <c r="CE98" s="327">
        <f t="shared" si="345"/>
        <v>45728</v>
      </c>
      <c r="CF98" s="371" t="str">
        <f t="shared" si="346"/>
        <v>水</v>
      </c>
      <c r="CG98" s="352">
        <f t="shared" ref="CG98" ca="1" si="413">Z98+BA98+CB98</f>
        <v>15</v>
      </c>
      <c r="CH98" s="353">
        <f t="shared" ref="CH98" ca="1" si="414">AA98+BB98+CC98</f>
        <v>14</v>
      </c>
      <c r="CI98" s="354">
        <f t="shared" ref="CI98" ca="1" si="415">AB98+BC98+CD98</f>
        <v>1</v>
      </c>
      <c r="CJ98" s="355">
        <f ca="1">COUNTIF(INDIRECT("D146:CA147"),"*●*")</f>
        <v>0</v>
      </c>
      <c r="CK98" s="356">
        <f ca="1">COUNTIF(INDIRECT("D146:CA147"),"*㋷*")</f>
        <v>0</v>
      </c>
      <c r="CL98" s="75"/>
      <c r="CN98" s="160">
        <f t="shared" si="350"/>
        <v>45728</v>
      </c>
      <c r="CO98" s="162" t="str">
        <f t="shared" si="351"/>
        <v>水</v>
      </c>
      <c r="CP98" s="357"/>
      <c r="CQ98" s="358"/>
      <c r="CR98" s="359"/>
      <c r="CS98" s="358"/>
      <c r="CT98" s="359"/>
      <c r="CU98" s="358"/>
      <c r="CZ98" s="73">
        <v>3</v>
      </c>
      <c r="DA98" s="73">
        <v>3</v>
      </c>
      <c r="DB98" s="73">
        <v>12</v>
      </c>
      <c r="DC98" s="74">
        <f t="shared" si="327"/>
        <v>45728</v>
      </c>
      <c r="DD98" s="68" t="str">
        <f t="shared" si="367"/>
        <v>水</v>
      </c>
      <c r="DF98" s="155">
        <f t="shared" ref="DF98" si="416">$DC98</f>
        <v>45728</v>
      </c>
      <c r="DG98" s="156" t="e">
        <f ca="1">IF($CH98&gt;=設定!$E$12,"✕",IF(SS予約表!$CG98&gt;=設定!$E$12,"△","○"))</f>
        <v>#NAME?</v>
      </c>
    </row>
    <row r="99" spans="1:111" ht="29.25" customHeight="1">
      <c r="A99" s="284"/>
      <c r="B99" s="285"/>
      <c r="C99" s="286" t="s">
        <v>28</v>
      </c>
      <c r="D99" s="320">
        <v>10</v>
      </c>
      <c r="E99" s="324" t="s">
        <v>50</v>
      </c>
      <c r="F99" s="320"/>
      <c r="G99" s="324"/>
      <c r="H99" s="319"/>
      <c r="I99" s="318"/>
      <c r="J99" s="320"/>
      <c r="K99" s="324"/>
      <c r="L99" s="362">
        <v>10</v>
      </c>
      <c r="M99" s="324" t="s">
        <v>49</v>
      </c>
      <c r="N99" s="422"/>
      <c r="O99" s="423"/>
      <c r="P99" s="299"/>
      <c r="Q99" s="324" t="s">
        <v>135</v>
      </c>
      <c r="R99" s="299"/>
      <c r="S99" s="300"/>
      <c r="T99" s="299"/>
      <c r="U99" s="300"/>
      <c r="V99" s="319"/>
      <c r="W99" s="318"/>
      <c r="X99" s="315"/>
      <c r="Y99" s="316"/>
      <c r="Z99" s="294"/>
      <c r="AA99" s="295"/>
      <c r="AB99" s="296"/>
      <c r="AC99" s="297"/>
      <c r="AD99" s="298"/>
      <c r="AE99" s="319"/>
      <c r="AF99" s="323"/>
      <c r="AG99" s="299"/>
      <c r="AH99" s="446"/>
      <c r="AI99" s="429" t="s">
        <v>39</v>
      </c>
      <c r="AJ99" s="322"/>
      <c r="AK99" s="319"/>
      <c r="AL99" s="323"/>
      <c r="AM99" s="422">
        <v>10</v>
      </c>
      <c r="AN99" s="384" t="s">
        <v>136</v>
      </c>
      <c r="AO99" s="320"/>
      <c r="AP99" s="324"/>
      <c r="AQ99" s="299"/>
      <c r="AR99" s="322"/>
      <c r="AS99" s="320"/>
      <c r="AT99" s="321"/>
      <c r="AU99" s="319"/>
      <c r="AV99" s="318"/>
      <c r="AW99" s="325" t="s">
        <v>39</v>
      </c>
      <c r="AX99" s="392"/>
      <c r="AY99" s="422"/>
      <c r="AZ99" s="423"/>
      <c r="BA99" s="294"/>
      <c r="BB99" s="295"/>
      <c r="BC99" s="296"/>
      <c r="BD99" s="284"/>
      <c r="BE99" s="298"/>
      <c r="BF99" s="305"/>
      <c r="BG99" s="302"/>
      <c r="BH99" s="301"/>
      <c r="BI99" s="302"/>
      <c r="BJ99" s="301"/>
      <c r="BK99" s="302"/>
      <c r="BL99" s="301"/>
      <c r="BM99" s="302"/>
      <c r="BN99" s="301"/>
      <c r="BO99" s="302"/>
      <c r="BP99" s="301"/>
      <c r="BQ99" s="302"/>
      <c r="BR99" s="301"/>
      <c r="BS99" s="302"/>
      <c r="BT99" s="301"/>
      <c r="BU99" s="302"/>
      <c r="BV99" s="301"/>
      <c r="BW99" s="302"/>
      <c r="BX99" s="301"/>
      <c r="BY99" s="302"/>
      <c r="BZ99" s="306"/>
      <c r="CA99" s="304"/>
      <c r="CB99" s="294"/>
      <c r="CC99" s="295"/>
      <c r="CD99" s="296"/>
      <c r="CE99" s="284"/>
      <c r="CF99" s="298"/>
      <c r="CG99" s="307"/>
      <c r="CH99" s="308"/>
      <c r="CI99" s="309"/>
      <c r="CJ99" s="310"/>
      <c r="CK99" s="311"/>
      <c r="CL99" s="75"/>
      <c r="CN99" s="161"/>
      <c r="CO99" s="163"/>
      <c r="CP99" s="315"/>
      <c r="CQ99" s="316"/>
      <c r="CR99" s="317"/>
      <c r="CS99" s="316"/>
      <c r="CT99" s="317"/>
      <c r="CU99" s="316"/>
      <c r="CZ99" s="73">
        <v>3</v>
      </c>
      <c r="DA99" s="73">
        <v>3</v>
      </c>
      <c r="DB99" s="73">
        <v>12</v>
      </c>
      <c r="DC99" s="74">
        <f t="shared" si="327"/>
        <v>45728</v>
      </c>
      <c r="DD99" s="68" t="str">
        <f t="shared" si="367"/>
        <v>水</v>
      </c>
      <c r="DF99" s="156"/>
      <c r="DG99" s="156"/>
    </row>
    <row r="100" spans="1:111" ht="28.5" customHeight="1">
      <c r="A100" s="327">
        <f t="shared" si="336"/>
        <v>45729</v>
      </c>
      <c r="B100" s="365" t="str">
        <f t="shared" si="337"/>
        <v>木</v>
      </c>
      <c r="C100" s="329" t="s">
        <v>27</v>
      </c>
      <c r="D100" s="333"/>
      <c r="E100" s="336" t="s">
        <v>42</v>
      </c>
      <c r="F100" s="333"/>
      <c r="G100" s="377"/>
      <c r="H100" s="332"/>
      <c r="I100" s="336" t="s">
        <v>42</v>
      </c>
      <c r="J100" s="333">
        <v>15</v>
      </c>
      <c r="K100" s="375" t="s">
        <v>55</v>
      </c>
      <c r="L100" s="370">
        <v>15</v>
      </c>
      <c r="M100" s="337" t="s">
        <v>47</v>
      </c>
      <c r="N100" s="425"/>
      <c r="O100" s="426"/>
      <c r="P100" s="335">
        <v>15</v>
      </c>
      <c r="Q100" s="337" t="s">
        <v>54</v>
      </c>
      <c r="R100" s="335"/>
      <c r="S100" s="347"/>
      <c r="T100" s="335"/>
      <c r="U100" s="347"/>
      <c r="V100" s="332"/>
      <c r="W100" s="336" t="s">
        <v>42</v>
      </c>
      <c r="X100" s="357"/>
      <c r="Y100" s="358"/>
      <c r="Z100" s="342">
        <f t="shared" ref="Z100" ca="1" si="417">UDayCou(1,ROW())</f>
        <v>9</v>
      </c>
      <c r="AA100" s="343">
        <f t="shared" ref="AA100" ca="1" si="418">UNightCou(1,ROW())</f>
        <v>6</v>
      </c>
      <c r="AB100" s="344">
        <f t="shared" ref="AB100" ca="1" si="419">UNewCou(1,ROW())</f>
        <v>2</v>
      </c>
      <c r="AC100" s="345">
        <f t="shared" si="341"/>
        <v>45729</v>
      </c>
      <c r="AD100" s="371" t="str">
        <f t="shared" si="342"/>
        <v>木</v>
      </c>
      <c r="AE100" s="332"/>
      <c r="AF100" s="378" t="s">
        <v>55</v>
      </c>
      <c r="AG100" s="335">
        <v>15</v>
      </c>
      <c r="AH100" s="337" t="s">
        <v>91</v>
      </c>
      <c r="AI100" s="430" t="s">
        <v>39</v>
      </c>
      <c r="AJ100" s="409"/>
      <c r="AK100" s="332"/>
      <c r="AL100" s="378"/>
      <c r="AM100" s="425" t="s">
        <v>39</v>
      </c>
      <c r="AN100" s="374" t="s">
        <v>42</v>
      </c>
      <c r="AO100" s="333"/>
      <c r="AP100" s="336" t="s">
        <v>42</v>
      </c>
      <c r="AQ100" s="335"/>
      <c r="AR100" s="336" t="s">
        <v>135</v>
      </c>
      <c r="AS100" s="333"/>
      <c r="AT100" s="378"/>
      <c r="AU100" s="332">
        <v>15</v>
      </c>
      <c r="AV100" s="366" t="s">
        <v>51</v>
      </c>
      <c r="AW100" s="348" t="s">
        <v>39</v>
      </c>
      <c r="AX100" s="396"/>
      <c r="AY100" s="425"/>
      <c r="AZ100" s="426"/>
      <c r="BA100" s="342">
        <f ca="1">UDayCou(2,ROW())</f>
        <v>8</v>
      </c>
      <c r="BB100" s="343">
        <f ca="1">UNightCou(2,ROW())</f>
        <v>6</v>
      </c>
      <c r="BC100" s="344">
        <f ca="1">UNewCou(2,ROW())</f>
        <v>1</v>
      </c>
      <c r="BD100" s="327">
        <f t="shared" si="343"/>
        <v>45729</v>
      </c>
      <c r="BE100" s="371" t="str">
        <f t="shared" si="344"/>
        <v>木</v>
      </c>
      <c r="BF100" s="350"/>
      <c r="BG100" s="351"/>
      <c r="BH100" s="330"/>
      <c r="BI100" s="351"/>
      <c r="BJ100" s="330"/>
      <c r="BK100" s="351"/>
      <c r="BL100" s="330"/>
      <c r="BM100" s="351"/>
      <c r="BN100" s="330"/>
      <c r="BO100" s="351"/>
      <c r="BP100" s="330"/>
      <c r="BQ100" s="351"/>
      <c r="BR100" s="330"/>
      <c r="BS100" s="351"/>
      <c r="BT100" s="330"/>
      <c r="BU100" s="351"/>
      <c r="BV100" s="330"/>
      <c r="BW100" s="351"/>
      <c r="BX100" s="330"/>
      <c r="BY100" s="351"/>
      <c r="BZ100" s="389"/>
      <c r="CA100" s="341"/>
      <c r="CB100" s="342">
        <f ca="1">UDayCou(3,ROW())</f>
        <v>0</v>
      </c>
      <c r="CC100" s="343">
        <f ca="1">UNightCou(3,ROW())</f>
        <v>0</v>
      </c>
      <c r="CD100" s="344">
        <f ca="1">UNewCou(3,ROW())</f>
        <v>0</v>
      </c>
      <c r="CE100" s="327">
        <f t="shared" si="345"/>
        <v>45729</v>
      </c>
      <c r="CF100" s="371" t="str">
        <f t="shared" si="346"/>
        <v>木</v>
      </c>
      <c r="CG100" s="352">
        <f t="shared" ref="CG100" ca="1" si="420">Z100+BA100+CB100</f>
        <v>17</v>
      </c>
      <c r="CH100" s="353">
        <f t="shared" ref="CH100" ca="1" si="421">AA100+BB100+CC100</f>
        <v>12</v>
      </c>
      <c r="CI100" s="354">
        <f t="shared" ref="CI100" ca="1" si="422">AB100+BC100+CD100</f>
        <v>3</v>
      </c>
      <c r="CJ100" s="355">
        <f ca="1">COUNTIF(INDIRECT("D148:CA149"),"*●*")</f>
        <v>1</v>
      </c>
      <c r="CK100" s="356">
        <f ca="1">COUNTIF(INDIRECT("D148:CA149"),"*㋷*")</f>
        <v>0</v>
      </c>
      <c r="CL100" s="75"/>
      <c r="CN100" s="160">
        <f t="shared" si="350"/>
        <v>45729</v>
      </c>
      <c r="CO100" s="162" t="str">
        <f t="shared" si="351"/>
        <v>木</v>
      </c>
      <c r="CP100" s="357"/>
      <c r="CQ100" s="358"/>
      <c r="CR100" s="359"/>
      <c r="CS100" s="358"/>
      <c r="CT100" s="359"/>
      <c r="CU100" s="358"/>
      <c r="CZ100" s="73">
        <v>3</v>
      </c>
      <c r="DA100" s="73">
        <v>3</v>
      </c>
      <c r="DB100" s="73">
        <v>13</v>
      </c>
      <c r="DC100" s="74">
        <f t="shared" si="327"/>
        <v>45729</v>
      </c>
      <c r="DD100" s="68" t="str">
        <f t="shared" si="367"/>
        <v>木</v>
      </c>
      <c r="DF100" s="155">
        <f t="shared" ref="DF100" si="423">$DC100</f>
        <v>45729</v>
      </c>
      <c r="DG100" s="156" t="e">
        <f ca="1">IF($CH100&gt;=設定!$E$12,"✕",IF(SS予約表!$CG100&gt;=設定!$E$12,"△","○"))</f>
        <v>#NAME?</v>
      </c>
    </row>
    <row r="101" spans="1:111" ht="29.25" customHeight="1">
      <c r="A101" s="284"/>
      <c r="B101" s="285"/>
      <c r="C101" s="286" t="s">
        <v>28</v>
      </c>
      <c r="D101" s="320"/>
      <c r="E101" s="324"/>
      <c r="F101" s="320"/>
      <c r="G101" s="324"/>
      <c r="H101" s="319"/>
      <c r="I101" s="318"/>
      <c r="J101" s="325"/>
      <c r="K101" s="326"/>
      <c r="L101" s="391">
        <v>10</v>
      </c>
      <c r="M101" s="392" t="s">
        <v>137</v>
      </c>
      <c r="N101" s="363">
        <v>10</v>
      </c>
      <c r="O101" s="384" t="s">
        <v>138</v>
      </c>
      <c r="P101" s="320"/>
      <c r="Q101" s="321"/>
      <c r="R101" s="319"/>
      <c r="S101" s="323"/>
      <c r="T101" s="319"/>
      <c r="U101" s="323"/>
      <c r="V101" s="319"/>
      <c r="W101" s="318"/>
      <c r="X101" s="411"/>
      <c r="Y101" s="300"/>
      <c r="Z101" s="294"/>
      <c r="AA101" s="295"/>
      <c r="AB101" s="296"/>
      <c r="AC101" s="297"/>
      <c r="AD101" s="298"/>
      <c r="AE101" s="319">
        <v>10</v>
      </c>
      <c r="AF101" s="318" t="s">
        <v>139</v>
      </c>
      <c r="AG101" s="320"/>
      <c r="AH101" s="321"/>
      <c r="AI101" s="429" t="s">
        <v>39</v>
      </c>
      <c r="AJ101" s="322"/>
      <c r="AK101" s="319"/>
      <c r="AL101" s="323"/>
      <c r="AM101" s="422" t="s">
        <v>39</v>
      </c>
      <c r="AN101" s="384"/>
      <c r="AO101" s="319"/>
      <c r="AP101" s="318"/>
      <c r="AQ101" s="422"/>
      <c r="AR101" s="364"/>
      <c r="AS101" s="320"/>
      <c r="AT101" s="321"/>
      <c r="AU101" s="299"/>
      <c r="AV101" s="300"/>
      <c r="AW101" s="325" t="s">
        <v>39</v>
      </c>
      <c r="AX101" s="392"/>
      <c r="AY101" s="422"/>
      <c r="AZ101" s="443"/>
      <c r="BA101" s="294"/>
      <c r="BB101" s="295"/>
      <c r="BC101" s="296"/>
      <c r="BD101" s="284"/>
      <c r="BE101" s="298"/>
      <c r="BF101" s="305"/>
      <c r="BG101" s="302"/>
      <c r="BH101" s="301"/>
      <c r="BI101" s="302"/>
      <c r="BJ101" s="301"/>
      <c r="BK101" s="302"/>
      <c r="BL101" s="301"/>
      <c r="BM101" s="302"/>
      <c r="BN101" s="301"/>
      <c r="BO101" s="302"/>
      <c r="BP101" s="301"/>
      <c r="BQ101" s="302"/>
      <c r="BR101" s="301"/>
      <c r="BS101" s="302"/>
      <c r="BT101" s="301"/>
      <c r="BU101" s="302"/>
      <c r="BV101" s="301"/>
      <c r="BW101" s="302"/>
      <c r="BX101" s="301"/>
      <c r="BY101" s="302"/>
      <c r="BZ101" s="306"/>
      <c r="CA101" s="304"/>
      <c r="CB101" s="294"/>
      <c r="CC101" s="295"/>
      <c r="CD101" s="296"/>
      <c r="CE101" s="284"/>
      <c r="CF101" s="298"/>
      <c r="CG101" s="307"/>
      <c r="CH101" s="308"/>
      <c r="CI101" s="309"/>
      <c r="CJ101" s="310"/>
      <c r="CK101" s="311"/>
      <c r="CL101" s="75"/>
      <c r="CN101" s="161"/>
      <c r="CO101" s="163"/>
      <c r="CP101" s="315"/>
      <c r="CQ101" s="316"/>
      <c r="CR101" s="317"/>
      <c r="CS101" s="316"/>
      <c r="CT101" s="317"/>
      <c r="CU101" s="316"/>
      <c r="CZ101" s="73">
        <v>3</v>
      </c>
      <c r="DA101" s="73">
        <v>3</v>
      </c>
      <c r="DB101" s="73">
        <v>13</v>
      </c>
      <c r="DC101" s="74">
        <f t="shared" si="327"/>
        <v>45729</v>
      </c>
      <c r="DD101" s="68" t="str">
        <f t="shared" si="367"/>
        <v>木</v>
      </c>
      <c r="DF101" s="156"/>
      <c r="DG101" s="156"/>
    </row>
    <row r="102" spans="1:111" ht="28.5" customHeight="1">
      <c r="A102" s="327">
        <f t="shared" si="336"/>
        <v>45730</v>
      </c>
      <c r="B102" s="365" t="str">
        <f t="shared" si="337"/>
        <v>金</v>
      </c>
      <c r="C102" s="329" t="s">
        <v>27</v>
      </c>
      <c r="D102" s="333">
        <v>15</v>
      </c>
      <c r="E102" s="372" t="s">
        <v>55</v>
      </c>
      <c r="F102" s="333"/>
      <c r="G102" s="336" t="s">
        <v>42</v>
      </c>
      <c r="H102" s="332">
        <v>15</v>
      </c>
      <c r="I102" s="366" t="s">
        <v>47</v>
      </c>
      <c r="J102" s="348"/>
      <c r="K102" s="410"/>
      <c r="L102" s="395" t="s">
        <v>39</v>
      </c>
      <c r="M102" s="387" t="s">
        <v>42</v>
      </c>
      <c r="N102" s="386" t="s">
        <v>39</v>
      </c>
      <c r="O102" s="387" t="s">
        <v>42</v>
      </c>
      <c r="P102" s="333"/>
      <c r="Q102" s="378"/>
      <c r="R102" s="332"/>
      <c r="S102" s="339"/>
      <c r="T102" s="332"/>
      <c r="U102" s="339"/>
      <c r="V102" s="332"/>
      <c r="W102" s="338"/>
      <c r="X102" s="440"/>
      <c r="Y102" s="347"/>
      <c r="Z102" s="342">
        <f t="shared" ref="Z102" ca="1" si="424">UDayCou(1,ROW())</f>
        <v>6</v>
      </c>
      <c r="AA102" s="343">
        <f t="shared" ref="AA102" ca="1" si="425">UNightCou(1,ROW())</f>
        <v>4</v>
      </c>
      <c r="AB102" s="344">
        <f t="shared" ref="AB102" ca="1" si="426">UNewCou(1,ROW())</f>
        <v>2</v>
      </c>
      <c r="AC102" s="345">
        <f t="shared" si="341"/>
        <v>45730</v>
      </c>
      <c r="AD102" s="371" t="str">
        <f t="shared" si="342"/>
        <v>金</v>
      </c>
      <c r="AE102" s="332"/>
      <c r="AF102" s="338"/>
      <c r="AG102" s="333"/>
      <c r="AH102" s="378"/>
      <c r="AI102" s="368" t="s">
        <v>39</v>
      </c>
      <c r="AJ102" s="377"/>
      <c r="AK102" s="332"/>
      <c r="AL102" s="339"/>
      <c r="AM102" s="447">
        <v>15</v>
      </c>
      <c r="AN102" s="448" t="s">
        <v>51</v>
      </c>
      <c r="AO102" s="332">
        <v>15</v>
      </c>
      <c r="AP102" s="366" t="s">
        <v>54</v>
      </c>
      <c r="AQ102" s="425">
        <v>15</v>
      </c>
      <c r="AR102" s="448" t="s">
        <v>140</v>
      </c>
      <c r="AS102" s="333"/>
      <c r="AT102" s="334"/>
      <c r="AU102" s="335"/>
      <c r="AV102" s="347" t="s">
        <v>55</v>
      </c>
      <c r="AW102" s="348" t="s">
        <v>39</v>
      </c>
      <c r="AX102" s="387" t="s">
        <v>42</v>
      </c>
      <c r="AY102" s="447"/>
      <c r="AZ102" s="444"/>
      <c r="BA102" s="342">
        <f ca="1">UDayCou(2,ROW())</f>
        <v>8</v>
      </c>
      <c r="BB102" s="343">
        <f ca="1">UNightCou(2,ROW())</f>
        <v>5</v>
      </c>
      <c r="BC102" s="344">
        <f ca="1">UNewCou(2,ROW())</f>
        <v>1</v>
      </c>
      <c r="BD102" s="327">
        <f t="shared" si="343"/>
        <v>45730</v>
      </c>
      <c r="BE102" s="371" t="str">
        <f t="shared" si="344"/>
        <v>金</v>
      </c>
      <c r="BF102" s="350"/>
      <c r="BG102" s="351"/>
      <c r="BH102" s="330"/>
      <c r="BI102" s="351"/>
      <c r="BJ102" s="330"/>
      <c r="BK102" s="351"/>
      <c r="BL102" s="330"/>
      <c r="BM102" s="351"/>
      <c r="BN102" s="330"/>
      <c r="BO102" s="351"/>
      <c r="BP102" s="330"/>
      <c r="BQ102" s="351"/>
      <c r="BR102" s="330"/>
      <c r="BS102" s="351"/>
      <c r="BT102" s="330"/>
      <c r="BU102" s="351"/>
      <c r="BV102" s="330"/>
      <c r="BW102" s="351"/>
      <c r="BX102" s="330"/>
      <c r="BY102" s="351"/>
      <c r="BZ102" s="389"/>
      <c r="CA102" s="341"/>
      <c r="CB102" s="342">
        <f ca="1">UDayCou(3,ROW())</f>
        <v>0</v>
      </c>
      <c r="CC102" s="343">
        <f ca="1">UNightCou(3,ROW())</f>
        <v>0</v>
      </c>
      <c r="CD102" s="344">
        <f ca="1">UNewCou(3,ROW())</f>
        <v>0</v>
      </c>
      <c r="CE102" s="327">
        <f t="shared" si="345"/>
        <v>45730</v>
      </c>
      <c r="CF102" s="371" t="str">
        <f t="shared" si="346"/>
        <v>金</v>
      </c>
      <c r="CG102" s="352">
        <f t="shared" ref="CG102" ca="1" si="427">Z102+BA102+CB102</f>
        <v>14</v>
      </c>
      <c r="CH102" s="353">
        <f t="shared" ref="CH102" ca="1" si="428">AA102+BB102+CC102</f>
        <v>9</v>
      </c>
      <c r="CI102" s="354">
        <f t="shared" ref="CI102" ca="1" si="429">AB102+BC102+CD102</f>
        <v>3</v>
      </c>
      <c r="CJ102" s="355">
        <f ca="1">COUNTIF(INDIRECT("D150:CA151"),"*●*")</f>
        <v>0</v>
      </c>
      <c r="CK102" s="356">
        <f ca="1">COUNTIF(INDIRECT("D150:CA151"),"*㋷*")</f>
        <v>0</v>
      </c>
      <c r="CL102" s="75"/>
      <c r="CN102" s="160">
        <f t="shared" si="350"/>
        <v>45730</v>
      </c>
      <c r="CO102" s="162" t="str">
        <f t="shared" si="351"/>
        <v>金</v>
      </c>
      <c r="CP102" s="357"/>
      <c r="CQ102" s="358"/>
      <c r="CR102" s="359"/>
      <c r="CS102" s="358"/>
      <c r="CT102" s="359"/>
      <c r="CU102" s="358"/>
      <c r="CZ102" s="73">
        <v>3</v>
      </c>
      <c r="DA102" s="73">
        <v>3</v>
      </c>
      <c r="DB102" s="73">
        <v>14</v>
      </c>
      <c r="DC102" s="74">
        <f t="shared" si="327"/>
        <v>45730</v>
      </c>
      <c r="DD102" s="68" t="str">
        <f t="shared" si="367"/>
        <v>金</v>
      </c>
      <c r="DF102" s="155">
        <f t="shared" ref="DF102" si="430">$DC102</f>
        <v>45730</v>
      </c>
      <c r="DG102" s="156" t="e">
        <f ca="1">IF($CH102&gt;=設定!$E$12,"✕",IF(SS予約表!$CG102&gt;=設定!$E$12,"△","○"))</f>
        <v>#NAME?</v>
      </c>
    </row>
    <row r="103" spans="1:111" ht="29.25" customHeight="1">
      <c r="A103" s="284"/>
      <c r="B103" s="285"/>
      <c r="C103" s="286" t="s">
        <v>28</v>
      </c>
      <c r="D103" s="319"/>
      <c r="E103" s="323"/>
      <c r="F103" s="320"/>
      <c r="G103" s="324"/>
      <c r="H103" s="449"/>
      <c r="I103" s="443"/>
      <c r="J103" s="325"/>
      <c r="K103" s="326"/>
      <c r="L103" s="391" t="s">
        <v>39</v>
      </c>
      <c r="M103" s="392"/>
      <c r="N103" s="383" t="s">
        <v>39</v>
      </c>
      <c r="O103" s="384"/>
      <c r="P103" s="320"/>
      <c r="Q103" s="321"/>
      <c r="R103" s="319"/>
      <c r="S103" s="323"/>
      <c r="T103" s="305"/>
      <c r="U103" s="323"/>
      <c r="V103" s="319"/>
      <c r="W103" s="318"/>
      <c r="X103" s="411"/>
      <c r="Y103" s="300"/>
      <c r="Z103" s="294"/>
      <c r="AA103" s="295"/>
      <c r="AB103" s="296"/>
      <c r="AC103" s="297"/>
      <c r="AD103" s="298"/>
      <c r="AE103" s="319"/>
      <c r="AF103" s="318"/>
      <c r="AG103" s="320"/>
      <c r="AH103" s="321"/>
      <c r="AI103" s="360" t="s">
        <v>39</v>
      </c>
      <c r="AJ103" s="324"/>
      <c r="AK103" s="422"/>
      <c r="AL103" s="423"/>
      <c r="AM103" s="449"/>
      <c r="AN103" s="443"/>
      <c r="AO103" s="449"/>
      <c r="AP103" s="443"/>
      <c r="AQ103" s="320"/>
      <c r="AR103" s="321"/>
      <c r="AS103" s="305">
        <v>10</v>
      </c>
      <c r="AT103" s="318" t="s">
        <v>111</v>
      </c>
      <c r="AU103" s="320">
        <v>10</v>
      </c>
      <c r="AV103" s="324" t="s">
        <v>141</v>
      </c>
      <c r="AW103" s="325" t="s">
        <v>39</v>
      </c>
      <c r="AX103" s="392"/>
      <c r="AY103" s="449"/>
      <c r="AZ103" s="443"/>
      <c r="BA103" s="294"/>
      <c r="BB103" s="295"/>
      <c r="BC103" s="296"/>
      <c r="BD103" s="284"/>
      <c r="BE103" s="298"/>
      <c r="BF103" s="305"/>
      <c r="BG103" s="302"/>
      <c r="BH103" s="301"/>
      <c r="BI103" s="302"/>
      <c r="BJ103" s="301"/>
      <c r="BK103" s="302"/>
      <c r="BL103" s="301"/>
      <c r="BM103" s="302"/>
      <c r="BN103" s="301"/>
      <c r="BO103" s="302"/>
      <c r="BP103" s="301"/>
      <c r="BQ103" s="302"/>
      <c r="BR103" s="301"/>
      <c r="BS103" s="302"/>
      <c r="BT103" s="301"/>
      <c r="BU103" s="302"/>
      <c r="BV103" s="301"/>
      <c r="BW103" s="302"/>
      <c r="BX103" s="301"/>
      <c r="BY103" s="302"/>
      <c r="BZ103" s="306"/>
      <c r="CA103" s="304"/>
      <c r="CB103" s="294"/>
      <c r="CC103" s="295"/>
      <c r="CD103" s="296"/>
      <c r="CE103" s="284"/>
      <c r="CF103" s="298"/>
      <c r="CG103" s="307"/>
      <c r="CH103" s="308"/>
      <c r="CI103" s="309"/>
      <c r="CJ103" s="310"/>
      <c r="CK103" s="311"/>
      <c r="CL103" s="75"/>
      <c r="CN103" s="161"/>
      <c r="CO103" s="163"/>
      <c r="CP103" s="315"/>
      <c r="CQ103" s="316"/>
      <c r="CR103" s="317"/>
      <c r="CS103" s="316"/>
      <c r="CT103" s="317"/>
      <c r="CU103" s="316"/>
      <c r="CZ103" s="73">
        <v>3</v>
      </c>
      <c r="DA103" s="73">
        <v>3</v>
      </c>
      <c r="DB103" s="73">
        <v>14</v>
      </c>
      <c r="DC103" s="74">
        <f t="shared" si="327"/>
        <v>45730</v>
      </c>
      <c r="DD103" s="68" t="str">
        <f t="shared" si="367"/>
        <v>金</v>
      </c>
      <c r="DF103" s="156"/>
      <c r="DG103" s="156"/>
    </row>
    <row r="104" spans="1:111" ht="28.5" customHeight="1">
      <c r="A104" s="327">
        <f t="shared" si="336"/>
        <v>45731</v>
      </c>
      <c r="B104" s="393" t="str">
        <f t="shared" si="337"/>
        <v>土</v>
      </c>
      <c r="C104" s="329" t="s">
        <v>27</v>
      </c>
      <c r="D104" s="332"/>
      <c r="E104" s="378"/>
      <c r="F104" s="333">
        <v>15</v>
      </c>
      <c r="G104" s="337" t="s">
        <v>54</v>
      </c>
      <c r="H104" s="447"/>
      <c r="I104" s="444" t="s">
        <v>55</v>
      </c>
      <c r="J104" s="348"/>
      <c r="K104" s="349"/>
      <c r="L104" s="399">
        <v>15</v>
      </c>
      <c r="M104" s="408" t="s">
        <v>47</v>
      </c>
      <c r="N104" s="450">
        <v>15</v>
      </c>
      <c r="O104" s="448" t="s">
        <v>47</v>
      </c>
      <c r="P104" s="333"/>
      <c r="Q104" s="381"/>
      <c r="R104" s="332"/>
      <c r="S104" s="378"/>
      <c r="T104" s="350"/>
      <c r="U104" s="339"/>
      <c r="V104" s="332"/>
      <c r="W104" s="338"/>
      <c r="X104" s="440"/>
      <c r="Y104" s="347"/>
      <c r="Z104" s="342">
        <f t="shared" ref="Z104" ca="1" si="431">UDayCou(1,ROW())</f>
        <v>6</v>
      </c>
      <c r="AA104" s="343">
        <f t="shared" ref="AA104" ca="1" si="432">UNightCou(1,ROW())</f>
        <v>3</v>
      </c>
      <c r="AB104" s="344">
        <f t="shared" ref="AB104" ca="1" si="433">UNewCou(1,ROW())</f>
        <v>2</v>
      </c>
      <c r="AC104" s="345">
        <f t="shared" si="341"/>
        <v>45731</v>
      </c>
      <c r="AD104" s="394" t="str">
        <f t="shared" si="342"/>
        <v>土</v>
      </c>
      <c r="AE104" s="332"/>
      <c r="AF104" s="336" t="s">
        <v>42</v>
      </c>
      <c r="AG104" s="333"/>
      <c r="AH104" s="381"/>
      <c r="AI104" s="368" t="s">
        <v>39</v>
      </c>
      <c r="AJ104" s="336" t="s">
        <v>42</v>
      </c>
      <c r="AK104" s="425"/>
      <c r="AL104" s="426" t="s">
        <v>47</v>
      </c>
      <c r="AM104" s="447"/>
      <c r="AN104" s="444"/>
      <c r="AO104" s="447"/>
      <c r="AP104" s="444"/>
      <c r="AQ104" s="333"/>
      <c r="AR104" s="381"/>
      <c r="AS104" s="350"/>
      <c r="AT104" s="338" t="s">
        <v>47</v>
      </c>
      <c r="AU104" s="333"/>
      <c r="AV104" s="377"/>
      <c r="AW104" s="348" t="s">
        <v>39</v>
      </c>
      <c r="AX104" s="396"/>
      <c r="AY104" s="447"/>
      <c r="AZ104" s="444"/>
      <c r="BA104" s="342">
        <f ca="1">UDayCou(2,ROW())</f>
        <v>6</v>
      </c>
      <c r="BB104" s="343">
        <f ca="1">UNightCou(2,ROW())</f>
        <v>6</v>
      </c>
      <c r="BC104" s="344">
        <f ca="1">UNewCou(2,ROW())</f>
        <v>1</v>
      </c>
      <c r="BD104" s="327">
        <f t="shared" si="343"/>
        <v>45731</v>
      </c>
      <c r="BE104" s="394" t="str">
        <f t="shared" si="344"/>
        <v>土</v>
      </c>
      <c r="BF104" s="350"/>
      <c r="BG104" s="351"/>
      <c r="BH104" s="330"/>
      <c r="BI104" s="351"/>
      <c r="BJ104" s="330"/>
      <c r="BK104" s="351"/>
      <c r="BL104" s="330"/>
      <c r="BM104" s="351"/>
      <c r="BN104" s="330"/>
      <c r="BO104" s="351"/>
      <c r="BP104" s="330"/>
      <c r="BQ104" s="351"/>
      <c r="BR104" s="330"/>
      <c r="BS104" s="351"/>
      <c r="BT104" s="330"/>
      <c r="BU104" s="351"/>
      <c r="BV104" s="330"/>
      <c r="BW104" s="351"/>
      <c r="BX104" s="330"/>
      <c r="BY104" s="351"/>
      <c r="BZ104" s="389"/>
      <c r="CA104" s="341"/>
      <c r="CB104" s="342">
        <f ca="1">UDayCou(3,ROW())</f>
        <v>0</v>
      </c>
      <c r="CC104" s="343">
        <f ca="1">UNightCou(3,ROW())</f>
        <v>0</v>
      </c>
      <c r="CD104" s="344">
        <f ca="1">UNewCou(3,ROW())</f>
        <v>0</v>
      </c>
      <c r="CE104" s="327">
        <f t="shared" si="345"/>
        <v>45731</v>
      </c>
      <c r="CF104" s="394" t="str">
        <f t="shared" si="346"/>
        <v>土</v>
      </c>
      <c r="CG104" s="352">
        <f t="shared" ref="CG104" ca="1" si="434">Z104+BA104+CB104</f>
        <v>12</v>
      </c>
      <c r="CH104" s="353">
        <f t="shared" ref="CH104" ca="1" si="435">AA104+BB104+CC104</f>
        <v>9</v>
      </c>
      <c r="CI104" s="354">
        <f t="shared" ref="CI104" ca="1" si="436">AB104+BC104+CD104</f>
        <v>3</v>
      </c>
      <c r="CJ104" s="355">
        <f ca="1">COUNTIF(INDIRECT("D152:CA153"),"*●*")</f>
        <v>0</v>
      </c>
      <c r="CK104" s="356">
        <f ca="1">COUNTIF(INDIRECT("D152:CA153"),"*㋷*")</f>
        <v>0</v>
      </c>
      <c r="CL104" s="75"/>
      <c r="CN104" s="160">
        <f t="shared" si="350"/>
        <v>45731</v>
      </c>
      <c r="CO104" s="167" t="str">
        <f t="shared" si="351"/>
        <v>土</v>
      </c>
      <c r="CP104" s="357"/>
      <c r="CQ104" s="358"/>
      <c r="CR104" s="359"/>
      <c r="CS104" s="358"/>
      <c r="CT104" s="359"/>
      <c r="CU104" s="358"/>
      <c r="CZ104" s="73">
        <v>3</v>
      </c>
      <c r="DA104" s="73">
        <v>3</v>
      </c>
      <c r="DB104" s="73">
        <v>15</v>
      </c>
      <c r="DC104" s="74">
        <f t="shared" si="327"/>
        <v>45731</v>
      </c>
      <c r="DD104" s="68" t="str">
        <f t="shared" si="367"/>
        <v>土</v>
      </c>
      <c r="DF104" s="155">
        <f t="shared" ref="DF104" si="437">$DC104</f>
        <v>45731</v>
      </c>
      <c r="DG104" s="156" t="e">
        <f ca="1">IF($CH104&gt;=設定!$E$12,"✕",IF(SS予約表!$CG104&gt;=設定!$E$12,"△","○"))</f>
        <v>#NAME?</v>
      </c>
    </row>
    <row r="105" spans="1:111" ht="29.25" customHeight="1" thickBot="1">
      <c r="A105" s="284"/>
      <c r="B105" s="285"/>
      <c r="C105" s="286" t="s">
        <v>28</v>
      </c>
      <c r="D105" s="320">
        <v>10</v>
      </c>
      <c r="E105" s="324" t="s">
        <v>83</v>
      </c>
      <c r="F105" s="319"/>
      <c r="G105" s="323"/>
      <c r="H105" s="320">
        <v>10</v>
      </c>
      <c r="I105" s="324" t="s">
        <v>64</v>
      </c>
      <c r="J105" s="320"/>
      <c r="K105" s="321"/>
      <c r="L105" s="320"/>
      <c r="M105" s="321"/>
      <c r="N105" s="422"/>
      <c r="O105" s="423"/>
      <c r="P105" s="319"/>
      <c r="Q105" s="323"/>
      <c r="R105" s="319"/>
      <c r="S105" s="323"/>
      <c r="T105" s="299"/>
      <c r="U105" s="300"/>
      <c r="V105" s="319"/>
      <c r="W105" s="318"/>
      <c r="X105" s="299"/>
      <c r="Y105" s="300"/>
      <c r="Z105" s="294"/>
      <c r="AA105" s="295"/>
      <c r="AB105" s="296"/>
      <c r="AC105" s="297"/>
      <c r="AD105" s="298"/>
      <c r="AE105" s="319"/>
      <c r="AF105" s="318"/>
      <c r="AG105" s="320"/>
      <c r="AH105" s="321"/>
      <c r="AI105" s="360" t="s">
        <v>39</v>
      </c>
      <c r="AJ105" s="324"/>
      <c r="AK105" s="320">
        <v>10</v>
      </c>
      <c r="AL105" s="324" t="s">
        <v>142</v>
      </c>
      <c r="AM105" s="320"/>
      <c r="AN105" s="321"/>
      <c r="AO105" s="449"/>
      <c r="AP105" s="443"/>
      <c r="AQ105" s="320"/>
      <c r="AR105" s="321"/>
      <c r="AS105" s="287"/>
      <c r="AT105" s="324"/>
      <c r="AU105" s="319"/>
      <c r="AV105" s="318"/>
      <c r="AW105" s="325" t="s">
        <v>39</v>
      </c>
      <c r="AX105" s="392"/>
      <c r="AY105" s="449"/>
      <c r="AZ105" s="443"/>
      <c r="BA105" s="294"/>
      <c r="BB105" s="295"/>
      <c r="BC105" s="296"/>
      <c r="BD105" s="284"/>
      <c r="BE105" s="298"/>
      <c r="BF105" s="305"/>
      <c r="BG105" s="302"/>
      <c r="BH105" s="301"/>
      <c r="BI105" s="302"/>
      <c r="BJ105" s="301"/>
      <c r="BK105" s="302"/>
      <c r="BL105" s="301"/>
      <c r="BM105" s="302"/>
      <c r="BN105" s="301"/>
      <c r="BO105" s="302"/>
      <c r="BP105" s="301"/>
      <c r="BQ105" s="302"/>
      <c r="BR105" s="301"/>
      <c r="BS105" s="302"/>
      <c r="BT105" s="301"/>
      <c r="BU105" s="302"/>
      <c r="BV105" s="301"/>
      <c r="BW105" s="302"/>
      <c r="BX105" s="301"/>
      <c r="BY105" s="302"/>
      <c r="BZ105" s="306"/>
      <c r="CA105" s="304"/>
      <c r="CB105" s="294"/>
      <c r="CC105" s="295"/>
      <c r="CD105" s="296"/>
      <c r="CE105" s="284"/>
      <c r="CF105" s="298"/>
      <c r="CG105" s="307"/>
      <c r="CH105" s="308"/>
      <c r="CI105" s="309"/>
      <c r="CJ105" s="310"/>
      <c r="CK105" s="311"/>
      <c r="CL105" s="75"/>
      <c r="CN105" s="161"/>
      <c r="CO105" s="163"/>
      <c r="CP105" s="315"/>
      <c r="CQ105" s="316"/>
      <c r="CR105" s="317"/>
      <c r="CS105" s="316"/>
      <c r="CT105" s="317"/>
      <c r="CU105" s="316"/>
      <c r="CZ105" s="73">
        <v>3</v>
      </c>
      <c r="DA105" s="73">
        <v>3</v>
      </c>
      <c r="DB105" s="73">
        <v>15</v>
      </c>
      <c r="DC105" s="74">
        <f t="shared" si="327"/>
        <v>45731</v>
      </c>
      <c r="DD105" s="68" t="str">
        <f t="shared" si="367"/>
        <v>土</v>
      </c>
      <c r="DF105" s="156"/>
      <c r="DG105" s="156"/>
    </row>
    <row r="106" spans="1:111" ht="28.5" customHeight="1">
      <c r="A106" s="491">
        <f t="shared" si="336"/>
        <v>45732</v>
      </c>
      <c r="B106" s="492" t="str">
        <f t="shared" si="337"/>
        <v>日</v>
      </c>
      <c r="C106" s="493" t="s">
        <v>27</v>
      </c>
      <c r="D106" s="550"/>
      <c r="E106" s="500" t="s">
        <v>143</v>
      </c>
      <c r="F106" s="550"/>
      <c r="G106" s="551"/>
      <c r="H106" s="497"/>
      <c r="I106" s="500" t="s">
        <v>42</v>
      </c>
      <c r="J106" s="497"/>
      <c r="K106" s="539"/>
      <c r="L106" s="497"/>
      <c r="M106" s="539"/>
      <c r="N106" s="549"/>
      <c r="O106" s="553"/>
      <c r="P106" s="550"/>
      <c r="Q106" s="551"/>
      <c r="R106" s="494"/>
      <c r="S106" s="515"/>
      <c r="T106" s="499"/>
      <c r="U106" s="511"/>
      <c r="V106" s="494"/>
      <c r="W106" s="500" t="s">
        <v>42</v>
      </c>
      <c r="X106" s="499"/>
      <c r="Y106" s="511"/>
      <c r="Z106" s="506">
        <f t="shared" ref="Z106" ca="1" si="438">UDayCou(1,ROW())</f>
        <v>3</v>
      </c>
      <c r="AA106" s="507">
        <f t="shared" ref="AA106" ca="1" si="439">UNightCou(1,ROW())</f>
        <v>3</v>
      </c>
      <c r="AB106" s="508">
        <f t="shared" ref="AB106" ca="1" si="440">UNewCou(1,ROW())</f>
        <v>0</v>
      </c>
      <c r="AC106" s="509">
        <f t="shared" si="341"/>
        <v>45732</v>
      </c>
      <c r="AD106" s="510" t="str">
        <f t="shared" si="342"/>
        <v>日</v>
      </c>
      <c r="AE106" s="494">
        <v>15</v>
      </c>
      <c r="AF106" s="525" t="s">
        <v>144</v>
      </c>
      <c r="AG106" s="497"/>
      <c r="AH106" s="526"/>
      <c r="AI106" s="529" t="s">
        <v>39</v>
      </c>
      <c r="AJ106" s="527"/>
      <c r="AK106" s="497"/>
      <c r="AL106" s="500" t="s">
        <v>42</v>
      </c>
      <c r="AM106" s="497"/>
      <c r="AN106" s="539"/>
      <c r="AO106" s="557"/>
      <c r="AP106" s="555"/>
      <c r="AQ106" s="497"/>
      <c r="AR106" s="526"/>
      <c r="AS106" s="542"/>
      <c r="AT106" s="500" t="s">
        <v>42</v>
      </c>
      <c r="AU106" s="550"/>
      <c r="AV106" s="500" t="s">
        <v>42</v>
      </c>
      <c r="AW106" s="512" t="s">
        <v>39</v>
      </c>
      <c r="AX106" s="538"/>
      <c r="AY106" s="557"/>
      <c r="AZ106" s="555"/>
      <c r="BA106" s="506">
        <f ca="1">UDayCou(2,ROW())</f>
        <v>6</v>
      </c>
      <c r="BB106" s="507">
        <f ca="1">UNightCou(2,ROW())</f>
        <v>5</v>
      </c>
      <c r="BC106" s="508">
        <f ca="1">UNewCou(2,ROW())</f>
        <v>1</v>
      </c>
      <c r="BD106" s="491">
        <f t="shared" si="343"/>
        <v>45732</v>
      </c>
      <c r="BE106" s="510" t="str">
        <f t="shared" si="344"/>
        <v>日</v>
      </c>
      <c r="BF106" s="514"/>
      <c r="BG106" s="515"/>
      <c r="BH106" s="494"/>
      <c r="BI106" s="515"/>
      <c r="BJ106" s="494"/>
      <c r="BK106" s="515"/>
      <c r="BL106" s="494"/>
      <c r="BM106" s="515"/>
      <c r="BN106" s="494"/>
      <c r="BO106" s="515"/>
      <c r="BP106" s="494"/>
      <c r="BQ106" s="515"/>
      <c r="BR106" s="494"/>
      <c r="BS106" s="515"/>
      <c r="BT106" s="494"/>
      <c r="BU106" s="515"/>
      <c r="BV106" s="494"/>
      <c r="BW106" s="515"/>
      <c r="BX106" s="494"/>
      <c r="BY106" s="515"/>
      <c r="BZ106" s="530"/>
      <c r="CA106" s="505"/>
      <c r="CB106" s="506">
        <f ca="1">UDayCou(3,ROW())</f>
        <v>0</v>
      </c>
      <c r="CC106" s="507">
        <f ca="1">UNightCou(3,ROW())</f>
        <v>0</v>
      </c>
      <c r="CD106" s="508">
        <f ca="1">UNewCou(3,ROW())</f>
        <v>0</v>
      </c>
      <c r="CE106" s="491">
        <f t="shared" si="345"/>
        <v>45732</v>
      </c>
      <c r="CF106" s="510" t="str">
        <f t="shared" si="346"/>
        <v>日</v>
      </c>
      <c r="CG106" s="516">
        <f t="shared" ref="CG106" ca="1" si="441">Z106+BA106+CB106</f>
        <v>9</v>
      </c>
      <c r="CH106" s="517">
        <f t="shared" ref="CH106" ca="1" si="442">AA106+BB106+CC106</f>
        <v>8</v>
      </c>
      <c r="CI106" s="518">
        <f t="shared" ref="CI106" ca="1" si="443">AB106+BC106+CD106</f>
        <v>1</v>
      </c>
      <c r="CJ106" s="519">
        <f ca="1">COUNTIF(INDIRECT("D154:CA155"),"*●*")</f>
        <v>0</v>
      </c>
      <c r="CK106" s="520">
        <f ca="1">COUNTIF(INDIRECT("D154:CA155"),"*㋷*")</f>
        <v>0</v>
      </c>
      <c r="CL106" s="75"/>
      <c r="CN106" s="164">
        <f t="shared" si="350"/>
        <v>45732</v>
      </c>
      <c r="CO106" s="166" t="str">
        <f t="shared" si="351"/>
        <v>日</v>
      </c>
      <c r="CP106" s="521"/>
      <c r="CQ106" s="522"/>
      <c r="CR106" s="523"/>
      <c r="CS106" s="522"/>
      <c r="CT106" s="523"/>
      <c r="CU106" s="522"/>
      <c r="CZ106" s="73">
        <v>3</v>
      </c>
      <c r="DA106" s="73">
        <v>3</v>
      </c>
      <c r="DB106" s="73">
        <v>16</v>
      </c>
      <c r="DC106" s="74">
        <f t="shared" si="327"/>
        <v>45732</v>
      </c>
      <c r="DD106" s="68" t="str">
        <f t="shared" si="367"/>
        <v>日</v>
      </c>
      <c r="DF106" s="155">
        <f t="shared" ref="DF106" si="444">$DC106</f>
        <v>45732</v>
      </c>
      <c r="DG106" s="156" t="e">
        <f ca="1">IF($CH106&gt;=設定!$E$12,"✕",IF(SS予約表!$CG106&gt;=設定!$E$12,"△","○"))</f>
        <v>#NAME?</v>
      </c>
    </row>
    <row r="107" spans="1:111" ht="29.25" customHeight="1">
      <c r="A107" s="284"/>
      <c r="B107" s="285"/>
      <c r="C107" s="286" t="s">
        <v>28</v>
      </c>
      <c r="D107" s="289"/>
      <c r="E107" s="288"/>
      <c r="F107" s="289"/>
      <c r="G107" s="291"/>
      <c r="H107" s="320"/>
      <c r="I107" s="324"/>
      <c r="J107" s="320"/>
      <c r="K107" s="321"/>
      <c r="L107" s="320"/>
      <c r="M107" s="321"/>
      <c r="N107" s="422"/>
      <c r="O107" s="423"/>
      <c r="P107" s="289"/>
      <c r="Q107" s="291"/>
      <c r="R107" s="299"/>
      <c r="S107" s="300"/>
      <c r="T107" s="299"/>
      <c r="U107" s="300"/>
      <c r="V107" s="301"/>
      <c r="W107" s="451"/>
      <c r="X107" s="299"/>
      <c r="Y107" s="300"/>
      <c r="Z107" s="294"/>
      <c r="AA107" s="295"/>
      <c r="AB107" s="296"/>
      <c r="AC107" s="297"/>
      <c r="AD107" s="298"/>
      <c r="AE107" s="289"/>
      <c r="AF107" s="321"/>
      <c r="AG107" s="320"/>
      <c r="AH107" s="321"/>
      <c r="AI107" s="360" t="s">
        <v>39</v>
      </c>
      <c r="AJ107" s="324"/>
      <c r="AK107" s="320"/>
      <c r="AL107" s="324"/>
      <c r="AM107" s="320"/>
      <c r="AN107" s="321"/>
      <c r="AO107" s="449"/>
      <c r="AP107" s="443"/>
      <c r="AQ107" s="320"/>
      <c r="AR107" s="321"/>
      <c r="AS107" s="287"/>
      <c r="AT107" s="288"/>
      <c r="AU107" s="289"/>
      <c r="AV107" s="288"/>
      <c r="AW107" s="325" t="s">
        <v>39</v>
      </c>
      <c r="AX107" s="392"/>
      <c r="AY107" s="449"/>
      <c r="AZ107" s="443"/>
      <c r="BA107" s="294"/>
      <c r="BB107" s="295"/>
      <c r="BC107" s="296"/>
      <c r="BD107" s="284"/>
      <c r="BE107" s="298"/>
      <c r="BF107" s="305"/>
      <c r="BG107" s="302"/>
      <c r="BH107" s="301"/>
      <c r="BI107" s="302"/>
      <c r="BJ107" s="301"/>
      <c r="BK107" s="302"/>
      <c r="BL107" s="301"/>
      <c r="BM107" s="302"/>
      <c r="BN107" s="301"/>
      <c r="BO107" s="302"/>
      <c r="BP107" s="301"/>
      <c r="BQ107" s="302"/>
      <c r="BR107" s="301"/>
      <c r="BS107" s="302"/>
      <c r="BT107" s="301"/>
      <c r="BU107" s="302"/>
      <c r="BV107" s="301"/>
      <c r="BW107" s="302"/>
      <c r="BX107" s="301"/>
      <c r="BY107" s="302"/>
      <c r="BZ107" s="306"/>
      <c r="CA107" s="304"/>
      <c r="CB107" s="294"/>
      <c r="CC107" s="295"/>
      <c r="CD107" s="296"/>
      <c r="CE107" s="284"/>
      <c r="CF107" s="298"/>
      <c r="CG107" s="307"/>
      <c r="CH107" s="308"/>
      <c r="CI107" s="309"/>
      <c r="CJ107" s="310"/>
      <c r="CK107" s="311"/>
      <c r="CL107" s="75"/>
      <c r="CN107" s="161"/>
      <c r="CO107" s="163"/>
      <c r="CP107" s="315"/>
      <c r="CQ107" s="316"/>
      <c r="CR107" s="317"/>
      <c r="CS107" s="316"/>
      <c r="CT107" s="317"/>
      <c r="CU107" s="316"/>
      <c r="CZ107" s="73">
        <v>3</v>
      </c>
      <c r="DA107" s="73">
        <v>3</v>
      </c>
      <c r="DB107" s="73">
        <v>16</v>
      </c>
      <c r="DC107" s="74">
        <f t="shared" si="327"/>
        <v>45732</v>
      </c>
      <c r="DD107" s="68" t="str">
        <f t="shared" si="367"/>
        <v>日</v>
      </c>
      <c r="DF107" s="156"/>
      <c r="DG107" s="156"/>
    </row>
    <row r="108" spans="1:111" ht="28.5" customHeight="1">
      <c r="A108" s="327">
        <f t="shared" si="336"/>
        <v>45733</v>
      </c>
      <c r="B108" s="365" t="str">
        <f t="shared" si="337"/>
        <v>月</v>
      </c>
      <c r="C108" s="329" t="s">
        <v>27</v>
      </c>
      <c r="D108" s="431"/>
      <c r="E108" s="439"/>
      <c r="F108" s="431"/>
      <c r="G108" s="432"/>
      <c r="H108" s="333">
        <v>15</v>
      </c>
      <c r="I108" s="337" t="s">
        <v>47</v>
      </c>
      <c r="J108" s="333"/>
      <c r="K108" s="381"/>
      <c r="L108" s="333"/>
      <c r="M108" s="381"/>
      <c r="N108" s="425"/>
      <c r="O108" s="426"/>
      <c r="P108" s="431"/>
      <c r="Q108" s="432"/>
      <c r="R108" s="335"/>
      <c r="S108" s="347"/>
      <c r="T108" s="335"/>
      <c r="U108" s="347"/>
      <c r="V108" s="330">
        <v>15</v>
      </c>
      <c r="W108" s="452" t="s">
        <v>47</v>
      </c>
      <c r="X108" s="335"/>
      <c r="Y108" s="347"/>
      <c r="Z108" s="342">
        <f t="shared" ref="Z108" ca="1" si="445">UDayCou(1,ROW())</f>
        <v>4</v>
      </c>
      <c r="AA108" s="343">
        <f t="shared" ref="AA108" ca="1" si="446">UNightCou(1,ROW())</f>
        <v>2</v>
      </c>
      <c r="AB108" s="344">
        <f t="shared" ref="AB108" ca="1" si="447">UNewCou(1,ROW())</f>
        <v>0</v>
      </c>
      <c r="AC108" s="345">
        <f t="shared" si="341"/>
        <v>45733</v>
      </c>
      <c r="AD108" s="371" t="str">
        <f t="shared" si="342"/>
        <v>月</v>
      </c>
      <c r="AE108" s="431"/>
      <c r="AF108" s="381"/>
      <c r="AG108" s="333"/>
      <c r="AH108" s="381"/>
      <c r="AI108" s="368" t="s">
        <v>39</v>
      </c>
      <c r="AJ108" s="377"/>
      <c r="AK108" s="333">
        <v>15</v>
      </c>
      <c r="AL108" s="337" t="s">
        <v>55</v>
      </c>
      <c r="AM108" s="333"/>
      <c r="AN108" s="381"/>
      <c r="AO108" s="447"/>
      <c r="AP108" s="444"/>
      <c r="AQ108" s="333"/>
      <c r="AR108" s="381"/>
      <c r="AS108" s="405">
        <v>15</v>
      </c>
      <c r="AT108" s="453" t="s">
        <v>91</v>
      </c>
      <c r="AU108" s="431"/>
      <c r="AV108" s="439"/>
      <c r="AW108" s="348" t="s">
        <v>39</v>
      </c>
      <c r="AX108" s="387"/>
      <c r="AY108" s="447"/>
      <c r="AZ108" s="444"/>
      <c r="BA108" s="342">
        <f ca="1">UDayCou(2,ROW())</f>
        <v>5</v>
      </c>
      <c r="BB108" s="343">
        <f ca="1">UNightCou(2,ROW())</f>
        <v>3</v>
      </c>
      <c r="BC108" s="344">
        <f ca="1">UNewCou(2,ROW())</f>
        <v>1</v>
      </c>
      <c r="BD108" s="327">
        <f t="shared" si="343"/>
        <v>45733</v>
      </c>
      <c r="BE108" s="371" t="str">
        <f t="shared" si="344"/>
        <v>月</v>
      </c>
      <c r="BF108" s="350"/>
      <c r="BG108" s="351"/>
      <c r="BH108" s="330"/>
      <c r="BI108" s="351"/>
      <c r="BJ108" s="330"/>
      <c r="BK108" s="351"/>
      <c r="BL108" s="330"/>
      <c r="BM108" s="351"/>
      <c r="BN108" s="330"/>
      <c r="BO108" s="351"/>
      <c r="BP108" s="330"/>
      <c r="BQ108" s="351"/>
      <c r="BR108" s="330"/>
      <c r="BS108" s="351"/>
      <c r="BT108" s="330"/>
      <c r="BU108" s="351"/>
      <c r="BV108" s="330"/>
      <c r="BW108" s="351"/>
      <c r="BX108" s="330"/>
      <c r="BY108" s="351"/>
      <c r="BZ108" s="389"/>
      <c r="CA108" s="341"/>
      <c r="CB108" s="342">
        <f ca="1">UDayCou(3,ROW())</f>
        <v>0</v>
      </c>
      <c r="CC108" s="343">
        <f ca="1">UNightCou(3,ROW())</f>
        <v>0</v>
      </c>
      <c r="CD108" s="344">
        <f ca="1">UNewCou(3,ROW())</f>
        <v>0</v>
      </c>
      <c r="CE108" s="327">
        <f t="shared" si="345"/>
        <v>45733</v>
      </c>
      <c r="CF108" s="371" t="str">
        <f t="shared" si="346"/>
        <v>月</v>
      </c>
      <c r="CG108" s="352">
        <f t="shared" ref="CG108" ca="1" si="448">Z108+BA108+CB108</f>
        <v>9</v>
      </c>
      <c r="CH108" s="353">
        <f t="shared" ref="CH108" ca="1" si="449">AA108+BB108+CC108</f>
        <v>5</v>
      </c>
      <c r="CI108" s="354">
        <f t="shared" ref="CI108" ca="1" si="450">AB108+BC108+CD108</f>
        <v>1</v>
      </c>
      <c r="CJ108" s="355">
        <f ca="1">COUNTIF(INDIRECT("D156:CA157"),"*●*")</f>
        <v>0</v>
      </c>
      <c r="CK108" s="356">
        <f ca="1">COUNTIF(INDIRECT("D156:CA157"),"*㋷*")</f>
        <v>0</v>
      </c>
      <c r="CL108" s="75"/>
      <c r="CN108" s="160">
        <f t="shared" si="350"/>
        <v>45733</v>
      </c>
      <c r="CO108" s="162" t="str">
        <f t="shared" si="351"/>
        <v>月</v>
      </c>
      <c r="CP108" s="357"/>
      <c r="CQ108" s="358"/>
      <c r="CR108" s="359"/>
      <c r="CS108" s="358"/>
      <c r="CT108" s="359"/>
      <c r="CU108" s="358"/>
      <c r="CZ108" s="73">
        <v>3</v>
      </c>
      <c r="DA108" s="73">
        <v>3</v>
      </c>
      <c r="DB108" s="73">
        <v>17</v>
      </c>
      <c r="DC108" s="74">
        <f t="shared" si="327"/>
        <v>45733</v>
      </c>
      <c r="DD108" s="68" t="str">
        <f t="shared" si="367"/>
        <v>月</v>
      </c>
      <c r="DF108" s="155">
        <f t="shared" ref="DF108" si="451">$DC108</f>
        <v>45733</v>
      </c>
      <c r="DG108" s="156" t="e">
        <f ca="1">IF($CH108&gt;=設定!$E$12,"✕",IF(SS予約表!$CG108&gt;=設定!$E$12,"△","○"))</f>
        <v>#NAME?</v>
      </c>
    </row>
    <row r="109" spans="1:111" ht="29.25" customHeight="1">
      <c r="A109" s="284"/>
      <c r="B109" s="285"/>
      <c r="C109" s="286" t="s">
        <v>28</v>
      </c>
      <c r="D109" s="289"/>
      <c r="E109" s="288"/>
      <c r="F109" s="301"/>
      <c r="G109" s="323"/>
      <c r="H109" s="301"/>
      <c r="I109" s="302"/>
      <c r="J109" s="289"/>
      <c r="K109" s="291"/>
      <c r="L109" s="449"/>
      <c r="M109" s="443"/>
      <c r="N109" s="422"/>
      <c r="O109" s="423"/>
      <c r="P109" s="301">
        <v>10</v>
      </c>
      <c r="Q109" s="318" t="s">
        <v>145</v>
      </c>
      <c r="R109" s="299"/>
      <c r="S109" s="300"/>
      <c r="T109" s="301"/>
      <c r="U109" s="323"/>
      <c r="V109" s="454"/>
      <c r="W109" s="423"/>
      <c r="X109" s="299"/>
      <c r="Y109" s="300"/>
      <c r="Z109" s="294"/>
      <c r="AA109" s="295"/>
      <c r="AB109" s="296"/>
      <c r="AC109" s="297"/>
      <c r="AD109" s="298"/>
      <c r="AE109" s="301"/>
      <c r="AF109" s="323"/>
      <c r="AG109" s="320"/>
      <c r="AH109" s="321"/>
      <c r="AI109" s="360" t="s">
        <v>39</v>
      </c>
      <c r="AJ109" s="324"/>
      <c r="AK109" s="422"/>
      <c r="AL109" s="423" t="s">
        <v>51</v>
      </c>
      <c r="AM109" s="325"/>
      <c r="AN109" s="326" t="s">
        <v>146</v>
      </c>
      <c r="AO109" s="449"/>
      <c r="AP109" s="443"/>
      <c r="AQ109" s="325"/>
      <c r="AR109" s="326"/>
      <c r="AS109" s="320"/>
      <c r="AT109" s="321"/>
      <c r="AU109" s="289"/>
      <c r="AV109" s="288"/>
      <c r="AW109" s="325" t="s">
        <v>39</v>
      </c>
      <c r="AX109" s="392"/>
      <c r="AY109" s="449"/>
      <c r="AZ109" s="443"/>
      <c r="BA109" s="294"/>
      <c r="BB109" s="295"/>
      <c r="BC109" s="296"/>
      <c r="BD109" s="284"/>
      <c r="BE109" s="298"/>
      <c r="BF109" s="305"/>
      <c r="BG109" s="302"/>
      <c r="BH109" s="301"/>
      <c r="BI109" s="302"/>
      <c r="BJ109" s="301"/>
      <c r="BK109" s="302"/>
      <c r="BL109" s="301"/>
      <c r="BM109" s="302"/>
      <c r="BN109" s="301"/>
      <c r="BO109" s="302"/>
      <c r="BP109" s="301"/>
      <c r="BQ109" s="302"/>
      <c r="BR109" s="301"/>
      <c r="BS109" s="302"/>
      <c r="BT109" s="301"/>
      <c r="BU109" s="302"/>
      <c r="BV109" s="301"/>
      <c r="BW109" s="302"/>
      <c r="BX109" s="301"/>
      <c r="BY109" s="302"/>
      <c r="BZ109" s="306"/>
      <c r="CA109" s="304"/>
      <c r="CB109" s="294"/>
      <c r="CC109" s="295"/>
      <c r="CD109" s="296"/>
      <c r="CE109" s="284"/>
      <c r="CF109" s="298"/>
      <c r="CG109" s="307"/>
      <c r="CH109" s="308"/>
      <c r="CI109" s="309"/>
      <c r="CJ109" s="310"/>
      <c r="CK109" s="311"/>
      <c r="CL109" s="75"/>
      <c r="CN109" s="161"/>
      <c r="CO109" s="163"/>
      <c r="CP109" s="315"/>
      <c r="CQ109" s="316"/>
      <c r="CR109" s="317"/>
      <c r="CS109" s="316"/>
      <c r="CT109" s="317"/>
      <c r="CU109" s="316"/>
      <c r="CZ109" s="73">
        <v>3</v>
      </c>
      <c r="DA109" s="73">
        <v>3</v>
      </c>
      <c r="DB109" s="73">
        <v>17</v>
      </c>
      <c r="DC109" s="74">
        <f t="shared" si="327"/>
        <v>45733</v>
      </c>
      <c r="DD109" s="68" t="str">
        <f t="shared" si="367"/>
        <v>月</v>
      </c>
      <c r="DF109" s="156"/>
      <c r="DG109" s="156"/>
    </row>
    <row r="110" spans="1:111" ht="28.5" customHeight="1">
      <c r="A110" s="327">
        <f t="shared" si="336"/>
        <v>45734</v>
      </c>
      <c r="B110" s="365" t="str">
        <f t="shared" si="337"/>
        <v>火</v>
      </c>
      <c r="C110" s="329" t="s">
        <v>27</v>
      </c>
      <c r="D110" s="431"/>
      <c r="E110" s="439"/>
      <c r="F110" s="330"/>
      <c r="G110" s="339" t="s">
        <v>94</v>
      </c>
      <c r="H110" s="330"/>
      <c r="I110" s="351"/>
      <c r="J110" s="431"/>
      <c r="K110" s="432"/>
      <c r="L110" s="447"/>
      <c r="M110" s="444"/>
      <c r="N110" s="425"/>
      <c r="O110" s="426"/>
      <c r="P110" s="330"/>
      <c r="Q110" s="338" t="s">
        <v>147</v>
      </c>
      <c r="R110" s="335"/>
      <c r="S110" s="347"/>
      <c r="T110" s="330"/>
      <c r="U110" s="339"/>
      <c r="V110" s="455"/>
      <c r="W110" s="426"/>
      <c r="X110" s="335"/>
      <c r="Y110" s="347"/>
      <c r="Z110" s="342">
        <f t="shared" ref="Z110" ca="1" si="452">UDayCou(1,ROW())</f>
        <v>4</v>
      </c>
      <c r="AA110" s="343">
        <f t="shared" ref="AA110" ca="1" si="453">UNightCou(1,ROW())</f>
        <v>4</v>
      </c>
      <c r="AB110" s="344">
        <f t="shared" ref="AB110" ca="1" si="454">UNewCou(1,ROW())</f>
        <v>0</v>
      </c>
      <c r="AC110" s="345">
        <f t="shared" si="341"/>
        <v>45734</v>
      </c>
      <c r="AD110" s="371" t="str">
        <f t="shared" si="342"/>
        <v>火</v>
      </c>
      <c r="AE110" s="330"/>
      <c r="AF110" s="339"/>
      <c r="AG110" s="333"/>
      <c r="AH110" s="381"/>
      <c r="AI110" s="368" t="s">
        <v>39</v>
      </c>
      <c r="AJ110" s="377"/>
      <c r="AK110" s="425"/>
      <c r="AL110" s="426"/>
      <c r="AM110" s="348"/>
      <c r="AN110" s="456" t="s">
        <v>148</v>
      </c>
      <c r="AO110" s="447"/>
      <c r="AP110" s="444"/>
      <c r="AQ110" s="348"/>
      <c r="AR110" s="349"/>
      <c r="AS110" s="333"/>
      <c r="AT110" s="381"/>
      <c r="AU110" s="431"/>
      <c r="AV110" s="439"/>
      <c r="AW110" s="348" t="s">
        <v>39</v>
      </c>
      <c r="AX110" s="387" t="s">
        <v>42</v>
      </c>
      <c r="AY110" s="447"/>
      <c r="AZ110" s="444"/>
      <c r="BA110" s="342">
        <f ca="1">UDayCou(2,ROW())</f>
        <v>4</v>
      </c>
      <c r="BB110" s="343">
        <f ca="1">UNightCou(2,ROW())</f>
        <v>4</v>
      </c>
      <c r="BC110" s="344">
        <f ca="1">UNewCou(2,ROW())</f>
        <v>2</v>
      </c>
      <c r="BD110" s="327">
        <f t="shared" si="343"/>
        <v>45734</v>
      </c>
      <c r="BE110" s="371" t="str">
        <f t="shared" si="344"/>
        <v>火</v>
      </c>
      <c r="BF110" s="350"/>
      <c r="BG110" s="351"/>
      <c r="BH110" s="330"/>
      <c r="BI110" s="351"/>
      <c r="BJ110" s="330"/>
      <c r="BK110" s="351"/>
      <c r="BL110" s="330"/>
      <c r="BM110" s="351"/>
      <c r="BN110" s="330"/>
      <c r="BO110" s="351"/>
      <c r="BP110" s="330"/>
      <c r="BQ110" s="351"/>
      <c r="BR110" s="330"/>
      <c r="BS110" s="351"/>
      <c r="BT110" s="330"/>
      <c r="BU110" s="351"/>
      <c r="BV110" s="330"/>
      <c r="BW110" s="351"/>
      <c r="BX110" s="330"/>
      <c r="BY110" s="351"/>
      <c r="BZ110" s="389"/>
      <c r="CA110" s="341"/>
      <c r="CB110" s="342">
        <f ca="1">UDayCou(3,ROW())</f>
        <v>0</v>
      </c>
      <c r="CC110" s="343">
        <f ca="1">UNightCou(3,ROW())</f>
        <v>0</v>
      </c>
      <c r="CD110" s="344">
        <f ca="1">UNewCou(3,ROW())</f>
        <v>0</v>
      </c>
      <c r="CE110" s="327">
        <f t="shared" si="345"/>
        <v>45734</v>
      </c>
      <c r="CF110" s="371" t="str">
        <f t="shared" si="346"/>
        <v>火</v>
      </c>
      <c r="CG110" s="352">
        <f t="shared" ref="CG110" ca="1" si="455">Z110+BA110+CB110</f>
        <v>8</v>
      </c>
      <c r="CH110" s="353">
        <f t="shared" ref="CH110" ca="1" si="456">AA110+BB110+CC110</f>
        <v>8</v>
      </c>
      <c r="CI110" s="354">
        <f t="shared" ref="CI110" ca="1" si="457">AB110+BC110+CD110</f>
        <v>2</v>
      </c>
      <c r="CJ110" s="355">
        <f ca="1">COUNTIF(INDIRECT("D158:CA159"),"*●*")</f>
        <v>0</v>
      </c>
      <c r="CK110" s="356">
        <f ca="1">COUNTIF(INDIRECT("D158:CA159"),"*㋷*")</f>
        <v>0</v>
      </c>
      <c r="CL110" s="75"/>
      <c r="CN110" s="160">
        <f t="shared" si="350"/>
        <v>45734</v>
      </c>
      <c r="CO110" s="162" t="str">
        <f t="shared" si="351"/>
        <v>火</v>
      </c>
      <c r="CP110" s="357"/>
      <c r="CQ110" s="358"/>
      <c r="CR110" s="359"/>
      <c r="CS110" s="358"/>
      <c r="CT110" s="359"/>
      <c r="CU110" s="358"/>
      <c r="CZ110" s="73">
        <v>3</v>
      </c>
      <c r="DA110" s="73">
        <v>3</v>
      </c>
      <c r="DB110" s="73">
        <v>18</v>
      </c>
      <c r="DC110" s="74">
        <f t="shared" si="327"/>
        <v>45734</v>
      </c>
      <c r="DD110" s="68" t="str">
        <f t="shared" si="367"/>
        <v>火</v>
      </c>
      <c r="DF110" s="155">
        <f t="shared" ref="DF110" si="458">$DC110</f>
        <v>45734</v>
      </c>
      <c r="DG110" s="156" t="e">
        <f ca="1">IF($CH110&gt;=設定!$E$12,"✕",IF(SS予約表!$CG110&gt;=設定!$E$12,"△","○"))</f>
        <v>#NAME?</v>
      </c>
    </row>
    <row r="111" spans="1:111" ht="29.25" customHeight="1">
      <c r="A111" s="284"/>
      <c r="B111" s="285"/>
      <c r="C111" s="286" t="s">
        <v>28</v>
      </c>
      <c r="D111" s="289"/>
      <c r="E111" s="288"/>
      <c r="F111" s="289">
        <v>10</v>
      </c>
      <c r="G111" s="288" t="s">
        <v>50</v>
      </c>
      <c r="H111" s="301"/>
      <c r="I111" s="302"/>
      <c r="J111" s="301">
        <v>10</v>
      </c>
      <c r="K111" s="318" t="s">
        <v>149</v>
      </c>
      <c r="L111" s="449"/>
      <c r="M111" s="443"/>
      <c r="N111" s="422"/>
      <c r="O111" s="423"/>
      <c r="P111" s="301"/>
      <c r="Q111" s="318"/>
      <c r="R111" s="299"/>
      <c r="S111" s="300"/>
      <c r="T111" s="301"/>
      <c r="U111" s="323"/>
      <c r="V111" s="289"/>
      <c r="W111" s="291"/>
      <c r="X111" s="301"/>
      <c r="Y111" s="302"/>
      <c r="Z111" s="294"/>
      <c r="AA111" s="295"/>
      <c r="AB111" s="296"/>
      <c r="AC111" s="297"/>
      <c r="AD111" s="298"/>
      <c r="AE111" s="301"/>
      <c r="AF111" s="323"/>
      <c r="AG111" s="320"/>
      <c r="AH111" s="321"/>
      <c r="AI111" s="360" t="s">
        <v>39</v>
      </c>
      <c r="AJ111" s="324"/>
      <c r="AK111" s="422"/>
      <c r="AL111" s="423"/>
      <c r="AM111" s="360">
        <v>10</v>
      </c>
      <c r="AN111" s="324" t="s">
        <v>150</v>
      </c>
      <c r="AO111" s="449"/>
      <c r="AP111" s="443"/>
      <c r="AQ111" s="325"/>
      <c r="AR111" s="326"/>
      <c r="AS111" s="320"/>
      <c r="AT111" s="321"/>
      <c r="AU111" s="289"/>
      <c r="AV111" s="288"/>
      <c r="AW111" s="325" t="s">
        <v>39</v>
      </c>
      <c r="AX111" s="392"/>
      <c r="AY111" s="449"/>
      <c r="AZ111" s="443"/>
      <c r="BA111" s="294"/>
      <c r="BB111" s="295"/>
      <c r="BC111" s="296"/>
      <c r="BD111" s="284"/>
      <c r="BE111" s="298"/>
      <c r="BF111" s="305"/>
      <c r="BG111" s="302"/>
      <c r="BH111" s="301"/>
      <c r="BI111" s="302"/>
      <c r="BJ111" s="301"/>
      <c r="BK111" s="302"/>
      <c r="BL111" s="301"/>
      <c r="BM111" s="302"/>
      <c r="BN111" s="301"/>
      <c r="BO111" s="302"/>
      <c r="BP111" s="301"/>
      <c r="BQ111" s="302"/>
      <c r="BR111" s="301"/>
      <c r="BS111" s="302"/>
      <c r="BT111" s="301"/>
      <c r="BU111" s="302"/>
      <c r="BV111" s="301"/>
      <c r="BW111" s="302"/>
      <c r="BX111" s="301"/>
      <c r="BY111" s="302"/>
      <c r="BZ111" s="306"/>
      <c r="CA111" s="304"/>
      <c r="CB111" s="294"/>
      <c r="CC111" s="295"/>
      <c r="CD111" s="296"/>
      <c r="CE111" s="284"/>
      <c r="CF111" s="298"/>
      <c r="CG111" s="307"/>
      <c r="CH111" s="308"/>
      <c r="CI111" s="309"/>
      <c r="CJ111" s="310"/>
      <c r="CK111" s="311"/>
      <c r="CL111" s="75"/>
      <c r="CN111" s="161"/>
      <c r="CO111" s="163"/>
      <c r="CP111" s="315"/>
      <c r="CQ111" s="316"/>
      <c r="CR111" s="317"/>
      <c r="CS111" s="316"/>
      <c r="CT111" s="317"/>
      <c r="CU111" s="316"/>
      <c r="CZ111" s="73">
        <v>3</v>
      </c>
      <c r="DA111" s="73">
        <v>3</v>
      </c>
      <c r="DB111" s="73">
        <v>18</v>
      </c>
      <c r="DC111" s="74">
        <f t="shared" si="327"/>
        <v>45734</v>
      </c>
      <c r="DD111" s="68" t="str">
        <f t="shared" si="367"/>
        <v>火</v>
      </c>
      <c r="DF111" s="156"/>
      <c r="DG111" s="156"/>
    </row>
    <row r="112" spans="1:111" ht="28.5" customHeight="1">
      <c r="A112" s="327">
        <f t="shared" si="336"/>
        <v>45735</v>
      </c>
      <c r="B112" s="365" t="str">
        <f t="shared" si="337"/>
        <v>水</v>
      </c>
      <c r="C112" s="329" t="s">
        <v>27</v>
      </c>
      <c r="D112" s="431"/>
      <c r="E112" s="336" t="s">
        <v>44</v>
      </c>
      <c r="F112" s="431"/>
      <c r="G112" s="439"/>
      <c r="H112" s="330"/>
      <c r="I112" s="351"/>
      <c r="J112" s="330"/>
      <c r="K112" s="338" t="s">
        <v>55</v>
      </c>
      <c r="L112" s="447"/>
      <c r="M112" s="444"/>
      <c r="N112" s="425"/>
      <c r="O112" s="426"/>
      <c r="P112" s="330"/>
      <c r="Q112" s="338"/>
      <c r="R112" s="335"/>
      <c r="S112" s="347"/>
      <c r="T112" s="330"/>
      <c r="U112" s="339"/>
      <c r="V112" s="431"/>
      <c r="W112" s="432"/>
      <c r="X112" s="330"/>
      <c r="Y112" s="351"/>
      <c r="Z112" s="342">
        <f t="shared" ref="Z112" ca="1" si="459">UDayCou(1,ROW())</f>
        <v>6</v>
      </c>
      <c r="AA112" s="343">
        <f t="shared" ref="AA112" ca="1" si="460">UNightCou(1,ROW())</f>
        <v>6</v>
      </c>
      <c r="AB112" s="344">
        <f t="shared" ref="AB112" ca="1" si="461">UNewCou(1,ROW())</f>
        <v>0</v>
      </c>
      <c r="AC112" s="345">
        <f t="shared" si="341"/>
        <v>45735</v>
      </c>
      <c r="AD112" s="371" t="str">
        <f t="shared" si="342"/>
        <v>水</v>
      </c>
      <c r="AE112" s="330"/>
      <c r="AF112" s="339" t="s">
        <v>151</v>
      </c>
      <c r="AG112" s="333"/>
      <c r="AH112" s="381"/>
      <c r="AI112" s="388">
        <v>15</v>
      </c>
      <c r="AJ112" s="337"/>
      <c r="AK112" s="425"/>
      <c r="AL112" s="426" t="s">
        <v>94</v>
      </c>
      <c r="AM112" s="368"/>
      <c r="AN112" s="377" t="s">
        <v>152</v>
      </c>
      <c r="AO112" s="447"/>
      <c r="AP112" s="444"/>
      <c r="AQ112" s="348"/>
      <c r="AR112" s="349"/>
      <c r="AS112" s="333"/>
      <c r="AT112" s="381" t="s">
        <v>54</v>
      </c>
      <c r="AU112" s="431"/>
      <c r="AV112" s="336" t="s">
        <v>42</v>
      </c>
      <c r="AW112" s="348" t="s">
        <v>39</v>
      </c>
      <c r="AX112" s="396"/>
      <c r="AY112" s="447"/>
      <c r="AZ112" s="444"/>
      <c r="BA112" s="342">
        <f ca="1">UDayCou(2,ROW())</f>
        <v>7</v>
      </c>
      <c r="BB112" s="343">
        <f ca="1">UNightCou(2,ROW())</f>
        <v>6</v>
      </c>
      <c r="BC112" s="344">
        <f ca="1">UNewCou(2,ROW())</f>
        <v>3</v>
      </c>
      <c r="BD112" s="327">
        <f t="shared" si="343"/>
        <v>45735</v>
      </c>
      <c r="BE112" s="371" t="str">
        <f t="shared" si="344"/>
        <v>水</v>
      </c>
      <c r="BF112" s="350"/>
      <c r="BG112" s="351"/>
      <c r="BH112" s="330"/>
      <c r="BI112" s="351"/>
      <c r="BJ112" s="330"/>
      <c r="BK112" s="351"/>
      <c r="BL112" s="330"/>
      <c r="BM112" s="351"/>
      <c r="BN112" s="330"/>
      <c r="BO112" s="351"/>
      <c r="BP112" s="330"/>
      <c r="BQ112" s="351"/>
      <c r="BR112" s="330"/>
      <c r="BS112" s="351"/>
      <c r="BT112" s="330"/>
      <c r="BU112" s="351"/>
      <c r="BV112" s="330"/>
      <c r="BW112" s="351"/>
      <c r="BX112" s="330"/>
      <c r="BY112" s="351"/>
      <c r="BZ112" s="389"/>
      <c r="CA112" s="341"/>
      <c r="CB112" s="342">
        <f ca="1">UDayCou(3,ROW())</f>
        <v>0</v>
      </c>
      <c r="CC112" s="343">
        <f ca="1">UNightCou(3,ROW())</f>
        <v>0</v>
      </c>
      <c r="CD112" s="344">
        <f ca="1">UNewCou(3,ROW())</f>
        <v>0</v>
      </c>
      <c r="CE112" s="327">
        <f t="shared" si="345"/>
        <v>45735</v>
      </c>
      <c r="CF112" s="371" t="str">
        <f t="shared" si="346"/>
        <v>水</v>
      </c>
      <c r="CG112" s="352">
        <f t="shared" ref="CG112" ca="1" si="462">Z112+BA112+CB112</f>
        <v>13</v>
      </c>
      <c r="CH112" s="353">
        <f t="shared" ref="CH112" ca="1" si="463">AA112+BB112+CC112</f>
        <v>12</v>
      </c>
      <c r="CI112" s="354">
        <f t="shared" ref="CI112" ca="1" si="464">AB112+BC112+CD112</f>
        <v>3</v>
      </c>
      <c r="CJ112" s="355">
        <f ca="1">COUNTIF(INDIRECT("D160:CA161"),"*●*")</f>
        <v>0</v>
      </c>
      <c r="CK112" s="356">
        <f ca="1">COUNTIF(INDIRECT("D160:CA161"),"*㋷*")</f>
        <v>0</v>
      </c>
      <c r="CL112" s="75"/>
      <c r="CN112" s="160">
        <f t="shared" si="350"/>
        <v>45735</v>
      </c>
      <c r="CO112" s="162" t="str">
        <f t="shared" si="351"/>
        <v>水</v>
      </c>
      <c r="CP112" s="357"/>
      <c r="CQ112" s="358"/>
      <c r="CR112" s="359"/>
      <c r="CS112" s="358"/>
      <c r="CT112" s="359"/>
      <c r="CU112" s="358"/>
      <c r="CZ112" s="73">
        <v>3</v>
      </c>
      <c r="DA112" s="73">
        <v>3</v>
      </c>
      <c r="DB112" s="73">
        <v>19</v>
      </c>
      <c r="DC112" s="74">
        <f t="shared" si="327"/>
        <v>45735</v>
      </c>
      <c r="DD112" s="68" t="str">
        <f t="shared" si="367"/>
        <v>水</v>
      </c>
      <c r="DF112" s="155">
        <f t="shared" ref="DF112" si="465">$DC112</f>
        <v>45735</v>
      </c>
      <c r="DG112" s="156" t="e">
        <f ca="1">IF($CH112&gt;=設定!$E$12,"✕",IF(SS予約表!$CG112&gt;=設定!$E$12,"△","○"))</f>
        <v>#NAME?</v>
      </c>
    </row>
    <row r="113" spans="1:111" ht="29.25" customHeight="1">
      <c r="A113" s="284"/>
      <c r="B113" s="285"/>
      <c r="C113" s="286" t="s">
        <v>28</v>
      </c>
      <c r="D113" s="289"/>
      <c r="E113" s="288"/>
      <c r="F113" s="289"/>
      <c r="G113" s="288"/>
      <c r="H113" s="299"/>
      <c r="I113" s="300"/>
      <c r="J113" s="301"/>
      <c r="K113" s="318" t="s">
        <v>44</v>
      </c>
      <c r="L113" s="362"/>
      <c r="M113" s="457"/>
      <c r="N113" s="362">
        <v>10</v>
      </c>
      <c r="O113" s="416" t="s">
        <v>153</v>
      </c>
      <c r="P113" s="301"/>
      <c r="Q113" s="318"/>
      <c r="R113" s="301"/>
      <c r="S113" s="302"/>
      <c r="T113" s="301">
        <v>10</v>
      </c>
      <c r="U113" s="451" t="s">
        <v>50</v>
      </c>
      <c r="V113" s="289"/>
      <c r="W113" s="291"/>
      <c r="X113" s="289"/>
      <c r="Y113" s="291"/>
      <c r="Z113" s="294"/>
      <c r="AA113" s="295"/>
      <c r="AB113" s="296"/>
      <c r="AC113" s="297"/>
      <c r="AD113" s="298"/>
      <c r="AE113" s="289">
        <v>10</v>
      </c>
      <c r="AF113" s="324" t="s">
        <v>49</v>
      </c>
      <c r="AG113" s="320"/>
      <c r="AH113" s="321"/>
      <c r="AI113" s="449"/>
      <c r="AJ113" s="443"/>
      <c r="AK113" s="383">
        <v>10</v>
      </c>
      <c r="AL113" s="384" t="s">
        <v>154</v>
      </c>
      <c r="AM113" s="360"/>
      <c r="AN113" s="324" t="s">
        <v>155</v>
      </c>
      <c r="AO113" s="449"/>
      <c r="AP113" s="443"/>
      <c r="AQ113" s="289"/>
      <c r="AR113" s="321"/>
      <c r="AS113" s="319">
        <v>10</v>
      </c>
      <c r="AT113" s="318" t="s">
        <v>111</v>
      </c>
      <c r="AU113" s="289"/>
      <c r="AV113" s="288"/>
      <c r="AW113" s="325" t="s">
        <v>39</v>
      </c>
      <c r="AX113" s="392"/>
      <c r="AY113" s="449"/>
      <c r="AZ113" s="443"/>
      <c r="BA113" s="294"/>
      <c r="BB113" s="295"/>
      <c r="BC113" s="296"/>
      <c r="BD113" s="284"/>
      <c r="BE113" s="298"/>
      <c r="BF113" s="305"/>
      <c r="BG113" s="302"/>
      <c r="BH113" s="301"/>
      <c r="BI113" s="302"/>
      <c r="BJ113" s="301"/>
      <c r="BK113" s="302"/>
      <c r="BL113" s="301"/>
      <c r="BM113" s="302"/>
      <c r="BN113" s="301"/>
      <c r="BO113" s="302"/>
      <c r="BP113" s="301"/>
      <c r="BQ113" s="302"/>
      <c r="BR113" s="301"/>
      <c r="BS113" s="302"/>
      <c r="BT113" s="301"/>
      <c r="BU113" s="302"/>
      <c r="BV113" s="301"/>
      <c r="BW113" s="302"/>
      <c r="BX113" s="301"/>
      <c r="BY113" s="302"/>
      <c r="BZ113" s="306"/>
      <c r="CA113" s="304"/>
      <c r="CB113" s="294"/>
      <c r="CC113" s="295"/>
      <c r="CD113" s="296"/>
      <c r="CE113" s="284"/>
      <c r="CF113" s="298"/>
      <c r="CG113" s="307"/>
      <c r="CH113" s="308"/>
      <c r="CI113" s="309"/>
      <c r="CJ113" s="310"/>
      <c r="CK113" s="311"/>
      <c r="CL113" s="75"/>
      <c r="CN113" s="161"/>
      <c r="CO113" s="163"/>
      <c r="CP113" s="315"/>
      <c r="CQ113" s="316"/>
      <c r="CR113" s="317"/>
      <c r="CS113" s="316"/>
      <c r="CT113" s="317"/>
      <c r="CU113" s="316"/>
      <c r="CZ113" s="73">
        <v>3</v>
      </c>
      <c r="DA113" s="73">
        <v>3</v>
      </c>
      <c r="DB113" s="73">
        <v>19</v>
      </c>
      <c r="DC113" s="74">
        <f t="shared" si="327"/>
        <v>45735</v>
      </c>
      <c r="DD113" s="68" t="str">
        <f t="shared" si="367"/>
        <v>水</v>
      </c>
      <c r="DF113" s="156"/>
      <c r="DG113" s="156"/>
    </row>
    <row r="114" spans="1:111" ht="28.5" customHeight="1">
      <c r="A114" s="327">
        <f t="shared" si="336"/>
        <v>45736</v>
      </c>
      <c r="B114" s="365" t="str">
        <f t="shared" si="337"/>
        <v>木</v>
      </c>
      <c r="C114" s="329" t="s">
        <v>27</v>
      </c>
      <c r="D114" s="431"/>
      <c r="E114" s="336" t="s">
        <v>42</v>
      </c>
      <c r="F114" s="431"/>
      <c r="G114" s="439"/>
      <c r="H114" s="335"/>
      <c r="I114" s="347" t="s">
        <v>105</v>
      </c>
      <c r="J114" s="330"/>
      <c r="K114" s="336" t="s">
        <v>42</v>
      </c>
      <c r="L114" s="370"/>
      <c r="M114" s="436"/>
      <c r="N114" s="370">
        <v>15</v>
      </c>
      <c r="O114" s="417" t="s">
        <v>156</v>
      </c>
      <c r="P114" s="330"/>
      <c r="Q114" s="338"/>
      <c r="R114" s="330"/>
      <c r="S114" s="351"/>
      <c r="T114" s="330"/>
      <c r="U114" s="458" t="s">
        <v>123</v>
      </c>
      <c r="V114" s="431"/>
      <c r="W114" s="432" t="s">
        <v>105</v>
      </c>
      <c r="X114" s="431"/>
      <c r="Y114" s="432"/>
      <c r="Z114" s="342">
        <f t="shared" ref="Z114" ca="1" si="466">UDayCou(1,ROW())</f>
        <v>8</v>
      </c>
      <c r="AA114" s="343">
        <f t="shared" ref="AA114" ca="1" si="467">UNightCou(1,ROW())</f>
        <v>7</v>
      </c>
      <c r="AB114" s="344">
        <f t="shared" ref="AB114" ca="1" si="468">UNewCou(1,ROW())</f>
        <v>0</v>
      </c>
      <c r="AC114" s="345">
        <f t="shared" si="341"/>
        <v>45736</v>
      </c>
      <c r="AD114" s="371" t="str">
        <f t="shared" si="342"/>
        <v>木</v>
      </c>
      <c r="AE114" s="431">
        <v>15</v>
      </c>
      <c r="AF114" s="337" t="s">
        <v>157</v>
      </c>
      <c r="AG114" s="333"/>
      <c r="AH114" s="381"/>
      <c r="AI114" s="447"/>
      <c r="AJ114" s="444" t="s">
        <v>55</v>
      </c>
      <c r="AK114" s="386" t="s">
        <v>39</v>
      </c>
      <c r="AL114" s="387" t="s">
        <v>42</v>
      </c>
      <c r="AM114" s="368"/>
      <c r="AN114" s="377" t="s">
        <v>158</v>
      </c>
      <c r="AO114" s="447"/>
      <c r="AP114" s="444"/>
      <c r="AQ114" s="431"/>
      <c r="AR114" s="381" t="s">
        <v>159</v>
      </c>
      <c r="AS114" s="332"/>
      <c r="AT114" s="336" t="s">
        <v>42</v>
      </c>
      <c r="AU114" s="431">
        <v>15</v>
      </c>
      <c r="AV114" s="453" t="s">
        <v>47</v>
      </c>
      <c r="AW114" s="348" t="s">
        <v>39</v>
      </c>
      <c r="AX114" s="387"/>
      <c r="AY114" s="447"/>
      <c r="AZ114" s="444"/>
      <c r="BA114" s="342">
        <f ca="1">UDayCou(2,ROW())</f>
        <v>8</v>
      </c>
      <c r="BB114" s="343">
        <f ca="1">UNightCou(2,ROW())</f>
        <v>6</v>
      </c>
      <c r="BC114" s="344">
        <f ca="1">UNewCou(2,ROW())</f>
        <v>2</v>
      </c>
      <c r="BD114" s="327">
        <f t="shared" si="343"/>
        <v>45736</v>
      </c>
      <c r="BE114" s="371" t="str">
        <f t="shared" si="344"/>
        <v>木</v>
      </c>
      <c r="BF114" s="350"/>
      <c r="BG114" s="351"/>
      <c r="BH114" s="330"/>
      <c r="BI114" s="351"/>
      <c r="BJ114" s="330"/>
      <c r="BK114" s="351"/>
      <c r="BL114" s="330"/>
      <c r="BM114" s="351"/>
      <c r="BN114" s="330"/>
      <c r="BO114" s="351"/>
      <c r="BP114" s="330"/>
      <c r="BQ114" s="351"/>
      <c r="BR114" s="330"/>
      <c r="BS114" s="351"/>
      <c r="BT114" s="330"/>
      <c r="BU114" s="351"/>
      <c r="BV114" s="330"/>
      <c r="BW114" s="351"/>
      <c r="BX114" s="330"/>
      <c r="BY114" s="351"/>
      <c r="BZ114" s="389"/>
      <c r="CA114" s="341"/>
      <c r="CB114" s="342">
        <f ca="1">UDayCou(3,ROW())</f>
        <v>0</v>
      </c>
      <c r="CC114" s="343">
        <f ca="1">UNightCou(3,ROW())</f>
        <v>0</v>
      </c>
      <c r="CD114" s="344">
        <f ca="1">UNewCou(3,ROW())</f>
        <v>0</v>
      </c>
      <c r="CE114" s="327">
        <f t="shared" si="345"/>
        <v>45736</v>
      </c>
      <c r="CF114" s="371" t="str">
        <f t="shared" si="346"/>
        <v>木</v>
      </c>
      <c r="CG114" s="352">
        <f t="shared" ref="CG114" ca="1" si="469">Z114+BA114+CB114</f>
        <v>16</v>
      </c>
      <c r="CH114" s="353">
        <f t="shared" ref="CH114" ca="1" si="470">AA114+BB114+CC114</f>
        <v>13</v>
      </c>
      <c r="CI114" s="354">
        <f t="shared" ref="CI114" ca="1" si="471">AB114+BC114+CD114</f>
        <v>2</v>
      </c>
      <c r="CJ114" s="355">
        <f ca="1">COUNTIF(INDIRECT("D162:CA163"),"*●*")</f>
        <v>0</v>
      </c>
      <c r="CK114" s="356">
        <f ca="1">COUNTIF(INDIRECT("D162:CA163"),"*㋷*")</f>
        <v>0</v>
      </c>
      <c r="CL114" s="75"/>
      <c r="CN114" s="160">
        <f t="shared" si="350"/>
        <v>45736</v>
      </c>
      <c r="CO114" s="162" t="str">
        <f t="shared" si="351"/>
        <v>木</v>
      </c>
      <c r="CP114" s="357"/>
      <c r="CQ114" s="358"/>
      <c r="CR114" s="359"/>
      <c r="CS114" s="358"/>
      <c r="CT114" s="359"/>
      <c r="CU114" s="358"/>
      <c r="CZ114" s="73">
        <v>3</v>
      </c>
      <c r="DA114" s="73">
        <v>3</v>
      </c>
      <c r="DB114" s="73">
        <v>20</v>
      </c>
      <c r="DC114" s="74">
        <f t="shared" si="327"/>
        <v>45736</v>
      </c>
      <c r="DD114" s="68" t="str">
        <f t="shared" si="367"/>
        <v>木</v>
      </c>
      <c r="DF114" s="155">
        <f t="shared" ref="DF114" si="472">$DC114</f>
        <v>45736</v>
      </c>
      <c r="DG114" s="156" t="e">
        <f ca="1">IF($CH114&gt;=設定!$E$12,"✕",IF(SS予約表!$CG114&gt;=設定!$E$12,"△","○"))</f>
        <v>#NAME?</v>
      </c>
    </row>
    <row r="115" spans="1:111" ht="29.25" customHeight="1" thickBot="1">
      <c r="A115" s="284"/>
      <c r="B115" s="285"/>
      <c r="C115" s="286" t="s">
        <v>28</v>
      </c>
      <c r="D115" s="289"/>
      <c r="E115" s="288"/>
      <c r="F115" s="289"/>
      <c r="G115" s="288"/>
      <c r="H115" s="299">
        <v>10</v>
      </c>
      <c r="I115" s="322" t="s">
        <v>160</v>
      </c>
      <c r="J115" s="301"/>
      <c r="K115" s="451"/>
      <c r="L115" s="459"/>
      <c r="M115" s="321"/>
      <c r="N115" s="299"/>
      <c r="O115" s="300"/>
      <c r="P115" s="301"/>
      <c r="Q115" s="318"/>
      <c r="R115" s="301"/>
      <c r="S115" s="302"/>
      <c r="T115" s="301"/>
      <c r="U115" s="451"/>
      <c r="V115" s="459">
        <v>10</v>
      </c>
      <c r="W115" s="324" t="s">
        <v>161</v>
      </c>
      <c r="X115" s="289"/>
      <c r="Y115" s="291"/>
      <c r="Z115" s="294"/>
      <c r="AA115" s="295"/>
      <c r="AB115" s="296"/>
      <c r="AC115" s="297"/>
      <c r="AD115" s="298"/>
      <c r="AE115" s="301"/>
      <c r="AF115" s="323"/>
      <c r="AG115" s="320"/>
      <c r="AH115" s="321"/>
      <c r="AI115" s="320">
        <v>10</v>
      </c>
      <c r="AJ115" s="324" t="s">
        <v>162</v>
      </c>
      <c r="AK115" s="383" t="s">
        <v>39</v>
      </c>
      <c r="AL115" s="384"/>
      <c r="AM115" s="360"/>
      <c r="AN115" s="324"/>
      <c r="AO115" s="289"/>
      <c r="AP115" s="321"/>
      <c r="AQ115" s="320">
        <v>10</v>
      </c>
      <c r="AR115" s="324" t="s">
        <v>113</v>
      </c>
      <c r="AS115" s="319"/>
      <c r="AT115" s="318"/>
      <c r="AU115" s="320"/>
      <c r="AV115" s="321"/>
      <c r="AW115" s="325" t="s">
        <v>39</v>
      </c>
      <c r="AX115" s="392"/>
      <c r="AY115" s="397"/>
      <c r="AZ115" s="323"/>
      <c r="BA115" s="294"/>
      <c r="BB115" s="295"/>
      <c r="BC115" s="296"/>
      <c r="BD115" s="284"/>
      <c r="BE115" s="298"/>
      <c r="BF115" s="305"/>
      <c r="BG115" s="302"/>
      <c r="BH115" s="301"/>
      <c r="BI115" s="302"/>
      <c r="BJ115" s="301"/>
      <c r="BK115" s="302"/>
      <c r="BL115" s="301"/>
      <c r="BM115" s="302"/>
      <c r="BN115" s="301"/>
      <c r="BO115" s="302"/>
      <c r="BP115" s="301"/>
      <c r="BQ115" s="302"/>
      <c r="BR115" s="301"/>
      <c r="BS115" s="302"/>
      <c r="BT115" s="301"/>
      <c r="BU115" s="302"/>
      <c r="BV115" s="301"/>
      <c r="BW115" s="302"/>
      <c r="BX115" s="301"/>
      <c r="BY115" s="302"/>
      <c r="BZ115" s="306"/>
      <c r="CA115" s="304"/>
      <c r="CB115" s="294"/>
      <c r="CC115" s="295"/>
      <c r="CD115" s="296"/>
      <c r="CE115" s="284"/>
      <c r="CF115" s="298"/>
      <c r="CG115" s="307"/>
      <c r="CH115" s="308"/>
      <c r="CI115" s="309"/>
      <c r="CJ115" s="310"/>
      <c r="CK115" s="311"/>
      <c r="CL115" s="75"/>
      <c r="CN115" s="161"/>
      <c r="CO115" s="163"/>
      <c r="CP115" s="299"/>
      <c r="CQ115" s="300"/>
      <c r="CR115" s="317"/>
      <c r="CS115" s="316"/>
      <c r="CT115" s="317"/>
      <c r="CU115" s="316"/>
      <c r="CZ115" s="73">
        <v>3</v>
      </c>
      <c r="DA115" s="73">
        <v>3</v>
      </c>
      <c r="DB115" s="73">
        <v>20</v>
      </c>
      <c r="DC115" s="74">
        <f t="shared" si="327"/>
        <v>45736</v>
      </c>
      <c r="DD115" s="68" t="str">
        <f t="shared" si="367"/>
        <v>木</v>
      </c>
      <c r="DF115" s="156"/>
      <c r="DG115" s="156"/>
    </row>
    <row r="116" spans="1:111" ht="28.5" customHeight="1">
      <c r="A116" s="491">
        <f t="shared" si="336"/>
        <v>45737</v>
      </c>
      <c r="B116" s="524" t="str">
        <f t="shared" si="337"/>
        <v>金</v>
      </c>
      <c r="C116" s="493" t="s">
        <v>27</v>
      </c>
      <c r="D116" s="497">
        <v>15</v>
      </c>
      <c r="E116" s="501" t="s">
        <v>47</v>
      </c>
      <c r="F116" s="497"/>
      <c r="G116" s="500" t="s">
        <v>42</v>
      </c>
      <c r="H116" s="499"/>
      <c r="I116" s="500" t="s">
        <v>42</v>
      </c>
      <c r="J116" s="496"/>
      <c r="K116" s="502"/>
      <c r="L116" s="558"/>
      <c r="M116" s="526"/>
      <c r="N116" s="499"/>
      <c r="O116" s="511"/>
      <c r="P116" s="496"/>
      <c r="Q116" s="500" t="s">
        <v>42</v>
      </c>
      <c r="R116" s="496"/>
      <c r="S116" s="503"/>
      <c r="T116" s="496">
        <v>15</v>
      </c>
      <c r="U116" s="525" t="s">
        <v>55</v>
      </c>
      <c r="V116" s="558"/>
      <c r="W116" s="527"/>
      <c r="X116" s="497"/>
      <c r="Y116" s="526"/>
      <c r="Z116" s="506">
        <f t="shared" ref="Z116" ca="1" si="473">UDayCou(1,ROW())</f>
        <v>9</v>
      </c>
      <c r="AA116" s="507">
        <f t="shared" ref="AA116" ca="1" si="474">UNightCou(1,ROW())</f>
        <v>7</v>
      </c>
      <c r="AB116" s="508">
        <f t="shared" ref="AB116" ca="1" si="475">UNewCou(1,ROW())</f>
        <v>0</v>
      </c>
      <c r="AC116" s="559">
        <f t="shared" si="341"/>
        <v>45737</v>
      </c>
      <c r="AD116" s="560" t="str">
        <f t="shared" si="342"/>
        <v>金</v>
      </c>
      <c r="AE116" s="496"/>
      <c r="AF116" s="503"/>
      <c r="AG116" s="497"/>
      <c r="AH116" s="526"/>
      <c r="AI116" s="497"/>
      <c r="AJ116" s="500" t="s">
        <v>39</v>
      </c>
      <c r="AK116" s="561">
        <v>15</v>
      </c>
      <c r="AL116" s="562"/>
      <c r="AM116" s="529"/>
      <c r="AN116" s="527"/>
      <c r="AO116" s="497"/>
      <c r="AP116" s="526"/>
      <c r="AQ116" s="497"/>
      <c r="AR116" s="527" t="s">
        <v>163</v>
      </c>
      <c r="AS116" s="496"/>
      <c r="AT116" s="502"/>
      <c r="AU116" s="497"/>
      <c r="AV116" s="526"/>
      <c r="AW116" s="512" t="s">
        <v>39</v>
      </c>
      <c r="AX116" s="541" t="s">
        <v>42</v>
      </c>
      <c r="AY116" s="563"/>
      <c r="AZ116" s="503"/>
      <c r="BA116" s="506">
        <f ca="1">UDayCou(2,ROW())</f>
        <v>8</v>
      </c>
      <c r="BB116" s="507">
        <f ca="1">UNightCou(2,ROW())</f>
        <v>7</v>
      </c>
      <c r="BC116" s="508">
        <f ca="1">UNewCou(2,ROW())</f>
        <v>2</v>
      </c>
      <c r="BD116" s="491">
        <f t="shared" si="343"/>
        <v>45737</v>
      </c>
      <c r="BE116" s="531" t="str">
        <f t="shared" si="344"/>
        <v>金</v>
      </c>
      <c r="BF116" s="514"/>
      <c r="BG116" s="515"/>
      <c r="BH116" s="494"/>
      <c r="BI116" s="515"/>
      <c r="BJ116" s="494"/>
      <c r="BK116" s="515"/>
      <c r="BL116" s="494"/>
      <c r="BM116" s="515"/>
      <c r="BN116" s="494"/>
      <c r="BO116" s="515"/>
      <c r="BP116" s="494"/>
      <c r="BQ116" s="515"/>
      <c r="BR116" s="494"/>
      <c r="BS116" s="515"/>
      <c r="BT116" s="494"/>
      <c r="BU116" s="515"/>
      <c r="BV116" s="494"/>
      <c r="BW116" s="515"/>
      <c r="BX116" s="494"/>
      <c r="BY116" s="515"/>
      <c r="BZ116" s="530"/>
      <c r="CA116" s="505"/>
      <c r="CB116" s="506">
        <f ca="1">UDayCou(3,ROW())</f>
        <v>0</v>
      </c>
      <c r="CC116" s="507">
        <f ca="1">UNightCou(3,ROW())</f>
        <v>0</v>
      </c>
      <c r="CD116" s="508">
        <f ca="1">UNewCou(3,ROW())</f>
        <v>0</v>
      </c>
      <c r="CE116" s="491">
        <f t="shared" si="345"/>
        <v>45737</v>
      </c>
      <c r="CF116" s="531" t="str">
        <f t="shared" si="346"/>
        <v>金</v>
      </c>
      <c r="CG116" s="516">
        <f t="shared" ref="CG116" ca="1" si="476">Z116+BA116+CB116</f>
        <v>17</v>
      </c>
      <c r="CH116" s="517">
        <f t="shared" ref="CH116" ca="1" si="477">AA116+BB116+CC116</f>
        <v>14</v>
      </c>
      <c r="CI116" s="518">
        <f t="shared" ref="CI116" ca="1" si="478">AB116+BC116+CD116</f>
        <v>2</v>
      </c>
      <c r="CJ116" s="519">
        <f ca="1">COUNTIF(INDIRECT("D164:CA165"),"*●*")</f>
        <v>0</v>
      </c>
      <c r="CK116" s="520">
        <f ca="1">COUNTIF(INDIRECT("D164:CA165"),"*㋷*")</f>
        <v>2</v>
      </c>
      <c r="CL116" s="75"/>
      <c r="CN116" s="164">
        <f t="shared" si="350"/>
        <v>45737</v>
      </c>
      <c r="CO116" s="165" t="str">
        <f t="shared" si="351"/>
        <v>金</v>
      </c>
      <c r="CP116" s="499"/>
      <c r="CQ116" s="511"/>
      <c r="CR116" s="523"/>
      <c r="CS116" s="522"/>
      <c r="CT116" s="523"/>
      <c r="CU116" s="522"/>
      <c r="CZ116" s="73">
        <v>3</v>
      </c>
      <c r="DA116" s="73">
        <v>3</v>
      </c>
      <c r="DB116" s="73">
        <v>21</v>
      </c>
      <c r="DC116" s="74">
        <f t="shared" si="327"/>
        <v>45737</v>
      </c>
      <c r="DD116" s="68" t="str">
        <f t="shared" si="367"/>
        <v>金</v>
      </c>
      <c r="DF116" s="155">
        <f t="shared" ref="DF116" si="479">$DC116</f>
        <v>45737</v>
      </c>
      <c r="DG116" s="156" t="e">
        <f ca="1">IF($CH116&gt;=設定!$E$12,"✕",IF(SS予約表!$CG116&gt;=設定!$E$12,"△","○"))</f>
        <v>#NAME?</v>
      </c>
    </row>
    <row r="117" spans="1:111" ht="29.25" customHeight="1">
      <c r="A117" s="284"/>
      <c r="B117" s="285"/>
      <c r="C117" s="286" t="s">
        <v>28</v>
      </c>
      <c r="D117" s="299"/>
      <c r="E117" s="321"/>
      <c r="F117" s="320"/>
      <c r="G117" s="324"/>
      <c r="H117" s="299"/>
      <c r="I117" s="322"/>
      <c r="J117" s="319"/>
      <c r="K117" s="318"/>
      <c r="L117" s="299"/>
      <c r="M117" s="300"/>
      <c r="N117" s="319">
        <v>10</v>
      </c>
      <c r="O117" s="318" t="s">
        <v>142</v>
      </c>
      <c r="P117" s="319"/>
      <c r="Q117" s="318"/>
      <c r="R117" s="320">
        <v>10</v>
      </c>
      <c r="S117" s="324" t="s">
        <v>103</v>
      </c>
      <c r="T117" s="319"/>
      <c r="U117" s="323"/>
      <c r="V117" s="459"/>
      <c r="W117" s="324"/>
      <c r="X117" s="320"/>
      <c r="Y117" s="321"/>
      <c r="Z117" s="294"/>
      <c r="AA117" s="295"/>
      <c r="AB117" s="296"/>
      <c r="AC117" s="463"/>
      <c r="AD117" s="464"/>
      <c r="AE117" s="319"/>
      <c r="AF117" s="323"/>
      <c r="AG117" s="320"/>
      <c r="AH117" s="321"/>
      <c r="AI117" s="320"/>
      <c r="AJ117" s="324"/>
      <c r="AK117" s="299">
        <v>10</v>
      </c>
      <c r="AL117" s="324" t="s">
        <v>110</v>
      </c>
      <c r="AM117" s="360"/>
      <c r="AN117" s="324"/>
      <c r="AO117" s="299"/>
      <c r="AP117" s="300"/>
      <c r="AQ117" s="320"/>
      <c r="AR117" s="324"/>
      <c r="AS117" s="319"/>
      <c r="AT117" s="318"/>
      <c r="AU117" s="319">
        <v>10</v>
      </c>
      <c r="AV117" s="318" t="s">
        <v>110</v>
      </c>
      <c r="AW117" s="325" t="s">
        <v>39</v>
      </c>
      <c r="AX117" s="392"/>
      <c r="AY117" s="397"/>
      <c r="AZ117" s="323"/>
      <c r="BA117" s="294"/>
      <c r="BB117" s="295"/>
      <c r="BC117" s="296"/>
      <c r="BD117" s="284"/>
      <c r="BE117" s="298"/>
      <c r="BF117" s="305"/>
      <c r="BG117" s="302"/>
      <c r="BH117" s="301"/>
      <c r="BI117" s="302"/>
      <c r="BJ117" s="301"/>
      <c r="BK117" s="302"/>
      <c r="BL117" s="301"/>
      <c r="BM117" s="302"/>
      <c r="BN117" s="301"/>
      <c r="BO117" s="302"/>
      <c r="BP117" s="301"/>
      <c r="BQ117" s="302"/>
      <c r="BR117" s="301"/>
      <c r="BS117" s="302"/>
      <c r="BT117" s="301"/>
      <c r="BU117" s="302"/>
      <c r="BV117" s="301"/>
      <c r="BW117" s="302"/>
      <c r="BX117" s="301"/>
      <c r="BY117" s="302"/>
      <c r="BZ117" s="306"/>
      <c r="CA117" s="304"/>
      <c r="CB117" s="294"/>
      <c r="CC117" s="295"/>
      <c r="CD117" s="296"/>
      <c r="CE117" s="284"/>
      <c r="CF117" s="298"/>
      <c r="CG117" s="307"/>
      <c r="CH117" s="308"/>
      <c r="CI117" s="309"/>
      <c r="CJ117" s="310"/>
      <c r="CK117" s="311"/>
      <c r="CL117" s="75"/>
      <c r="CN117" s="161"/>
      <c r="CO117" s="163"/>
      <c r="CP117" s="299"/>
      <c r="CQ117" s="300"/>
      <c r="CR117" s="317"/>
      <c r="CS117" s="316"/>
      <c r="CT117" s="317"/>
      <c r="CU117" s="316"/>
      <c r="CZ117" s="73">
        <v>3</v>
      </c>
      <c r="DA117" s="73">
        <v>3</v>
      </c>
      <c r="DB117" s="73">
        <v>21</v>
      </c>
      <c r="DC117" s="74">
        <f t="shared" si="327"/>
        <v>45737</v>
      </c>
      <c r="DD117" s="68" t="str">
        <f t="shared" si="367"/>
        <v>金</v>
      </c>
      <c r="DF117" s="156"/>
      <c r="DG117" s="156"/>
    </row>
    <row r="118" spans="1:111" ht="28.5" customHeight="1">
      <c r="A118" s="327">
        <f t="shared" si="336"/>
        <v>45738</v>
      </c>
      <c r="B118" s="393" t="str">
        <f t="shared" si="337"/>
        <v>土</v>
      </c>
      <c r="C118" s="329" t="s">
        <v>27</v>
      </c>
      <c r="D118" s="335"/>
      <c r="E118" s="381" t="s">
        <v>54</v>
      </c>
      <c r="F118" s="333">
        <v>15</v>
      </c>
      <c r="G118" s="337"/>
      <c r="H118" s="335"/>
      <c r="I118" s="409"/>
      <c r="J118" s="332"/>
      <c r="K118" s="336"/>
      <c r="L118" s="335"/>
      <c r="M118" s="347" t="s">
        <v>54</v>
      </c>
      <c r="N118" s="332"/>
      <c r="O118" s="338" t="s">
        <v>55</v>
      </c>
      <c r="P118" s="332">
        <v>15</v>
      </c>
      <c r="Q118" s="366" t="s">
        <v>47</v>
      </c>
      <c r="R118" s="333"/>
      <c r="S118" s="377" t="s">
        <v>164</v>
      </c>
      <c r="T118" s="332"/>
      <c r="U118" s="339" t="s">
        <v>54</v>
      </c>
      <c r="V118" s="460">
        <v>15</v>
      </c>
      <c r="W118" s="336" t="s">
        <v>42</v>
      </c>
      <c r="X118" s="333"/>
      <c r="Y118" s="381"/>
      <c r="Z118" s="342">
        <f t="shared" ref="Z118" ca="1" si="480">UDayCou(1,ROW())</f>
        <v>11</v>
      </c>
      <c r="AA118" s="343">
        <f t="shared" ref="AA118" ca="1" si="481">UNightCou(1,ROW())</f>
        <v>9</v>
      </c>
      <c r="AB118" s="344">
        <f t="shared" ref="AB118" ca="1" si="482">UNewCou(1,ROW())</f>
        <v>0</v>
      </c>
      <c r="AC118" s="461">
        <f t="shared" si="341"/>
        <v>45738</v>
      </c>
      <c r="AD118" s="465" t="str">
        <f t="shared" si="342"/>
        <v>土</v>
      </c>
      <c r="AE118" s="332"/>
      <c r="AF118" s="339"/>
      <c r="AG118" s="333"/>
      <c r="AH118" s="381" t="s">
        <v>94</v>
      </c>
      <c r="AI118" s="333"/>
      <c r="AJ118" s="336" t="s">
        <v>39</v>
      </c>
      <c r="AK118" s="335"/>
      <c r="AL118" s="377" t="s">
        <v>54</v>
      </c>
      <c r="AM118" s="368"/>
      <c r="AN118" s="336" t="s">
        <v>42</v>
      </c>
      <c r="AO118" s="335"/>
      <c r="AP118" s="347" t="s">
        <v>57</v>
      </c>
      <c r="AQ118" s="333"/>
      <c r="AR118" s="336" t="s">
        <v>39</v>
      </c>
      <c r="AS118" s="332"/>
      <c r="AT118" s="338"/>
      <c r="AU118" s="332"/>
      <c r="AV118" s="338" t="s">
        <v>54</v>
      </c>
      <c r="AW118" s="348">
        <v>15</v>
      </c>
      <c r="AX118" s="408" t="s">
        <v>47</v>
      </c>
      <c r="AY118" s="398"/>
      <c r="AZ118" s="339"/>
      <c r="BA118" s="342">
        <f ca="1">UDayCou(2,ROW())</f>
        <v>9</v>
      </c>
      <c r="BB118" s="343">
        <f ca="1">UNightCou(2,ROW())</f>
        <v>8</v>
      </c>
      <c r="BC118" s="344">
        <f ca="1">UNewCou(2,ROW())</f>
        <v>2</v>
      </c>
      <c r="BD118" s="327">
        <f t="shared" si="343"/>
        <v>45738</v>
      </c>
      <c r="BE118" s="394" t="str">
        <f t="shared" si="344"/>
        <v>土</v>
      </c>
      <c r="BF118" s="350"/>
      <c r="BG118" s="351"/>
      <c r="BH118" s="330"/>
      <c r="BI118" s="351"/>
      <c r="BJ118" s="330"/>
      <c r="BK118" s="351"/>
      <c r="BL118" s="330"/>
      <c r="BM118" s="351"/>
      <c r="BN118" s="330"/>
      <c r="BO118" s="351"/>
      <c r="BP118" s="330"/>
      <c r="BQ118" s="351"/>
      <c r="BR118" s="330"/>
      <c r="BS118" s="351"/>
      <c r="BT118" s="330"/>
      <c r="BU118" s="351"/>
      <c r="BV118" s="330"/>
      <c r="BW118" s="351"/>
      <c r="BX118" s="330"/>
      <c r="BY118" s="351"/>
      <c r="BZ118" s="389"/>
      <c r="CA118" s="341"/>
      <c r="CB118" s="342">
        <f ca="1">UDayCou(3,ROW())</f>
        <v>0</v>
      </c>
      <c r="CC118" s="343">
        <f ca="1">UNightCou(3,ROW())</f>
        <v>0</v>
      </c>
      <c r="CD118" s="344">
        <f ca="1">UNewCou(3,ROW())</f>
        <v>0</v>
      </c>
      <c r="CE118" s="327">
        <f t="shared" si="345"/>
        <v>45738</v>
      </c>
      <c r="CF118" s="394" t="str">
        <f t="shared" si="346"/>
        <v>土</v>
      </c>
      <c r="CG118" s="352">
        <f t="shared" ref="CG118" ca="1" si="483">Z118+BA118+CB118</f>
        <v>20</v>
      </c>
      <c r="CH118" s="353">
        <f t="shared" ref="CH118" ca="1" si="484">AA118+BB118+CC118</f>
        <v>17</v>
      </c>
      <c r="CI118" s="354">
        <f t="shared" ref="CI118" ca="1" si="485">AB118+BC118+CD118</f>
        <v>2</v>
      </c>
      <c r="CJ118" s="355">
        <f ca="1">COUNTIF(INDIRECT("D166:CA167"),"*●*")</f>
        <v>0</v>
      </c>
      <c r="CK118" s="356">
        <f ca="1">COUNTIF(INDIRECT("D166:CA167"),"*㋷*")</f>
        <v>0</v>
      </c>
      <c r="CL118" s="75"/>
      <c r="CN118" s="160">
        <f t="shared" si="350"/>
        <v>45738</v>
      </c>
      <c r="CO118" s="167" t="str">
        <f t="shared" si="351"/>
        <v>土</v>
      </c>
      <c r="CP118" s="335"/>
      <c r="CQ118" s="347"/>
      <c r="CR118" s="359"/>
      <c r="CS118" s="358"/>
      <c r="CT118" s="359"/>
      <c r="CU118" s="358"/>
      <c r="CZ118" s="73">
        <v>3</v>
      </c>
      <c r="DA118" s="73">
        <v>3</v>
      </c>
      <c r="DB118" s="73">
        <v>22</v>
      </c>
      <c r="DC118" s="74">
        <f t="shared" si="327"/>
        <v>45738</v>
      </c>
      <c r="DD118" s="68" t="str">
        <f t="shared" si="367"/>
        <v>土</v>
      </c>
      <c r="DF118" s="155">
        <f t="shared" ref="DF118" si="486">$DC118</f>
        <v>45738</v>
      </c>
      <c r="DG118" s="156" t="e">
        <f ca="1">IF($CH118&gt;=設定!$E$12,"✕",IF(SS予約表!$CG118&gt;=設定!$E$12,"△","○"))</f>
        <v>#NAME?</v>
      </c>
    </row>
    <row r="119" spans="1:111" ht="29.25" customHeight="1">
      <c r="A119" s="284"/>
      <c r="B119" s="285"/>
      <c r="C119" s="286" t="s">
        <v>28</v>
      </c>
      <c r="D119" s="320">
        <v>10</v>
      </c>
      <c r="E119" s="324" t="s">
        <v>142</v>
      </c>
      <c r="F119" s="411">
        <v>10</v>
      </c>
      <c r="G119" s="322" t="s">
        <v>165</v>
      </c>
      <c r="H119" s="299"/>
      <c r="I119" s="322"/>
      <c r="J119" s="319"/>
      <c r="K119" s="318"/>
      <c r="L119" s="320">
        <v>10</v>
      </c>
      <c r="M119" s="324" t="s">
        <v>142</v>
      </c>
      <c r="N119" s="319"/>
      <c r="O119" s="318"/>
      <c r="P119" s="320"/>
      <c r="Q119" s="321"/>
      <c r="R119" s="320"/>
      <c r="S119" s="324"/>
      <c r="T119" s="320">
        <v>10</v>
      </c>
      <c r="U119" s="324" t="s">
        <v>119</v>
      </c>
      <c r="V119" s="299"/>
      <c r="W119" s="322"/>
      <c r="X119" s="320"/>
      <c r="Y119" s="321"/>
      <c r="Z119" s="294"/>
      <c r="AA119" s="295"/>
      <c r="AB119" s="296"/>
      <c r="AC119" s="463"/>
      <c r="AD119" s="464"/>
      <c r="AE119" s="299"/>
      <c r="AF119" s="300"/>
      <c r="AG119" s="320">
        <v>10</v>
      </c>
      <c r="AH119" s="324" t="s">
        <v>166</v>
      </c>
      <c r="AI119" s="320"/>
      <c r="AJ119" s="324"/>
      <c r="AK119" s="299"/>
      <c r="AL119" s="324"/>
      <c r="AM119" s="360"/>
      <c r="AN119" s="324"/>
      <c r="AO119" s="429">
        <v>10</v>
      </c>
      <c r="AP119" s="322" t="s">
        <v>167</v>
      </c>
      <c r="AQ119" s="320"/>
      <c r="AR119" s="324"/>
      <c r="AS119" s="319"/>
      <c r="AT119" s="318"/>
      <c r="AU119" s="319"/>
      <c r="AV119" s="318"/>
      <c r="AW119" s="320"/>
      <c r="AX119" s="321"/>
      <c r="AY119" s="317"/>
      <c r="AZ119" s="316"/>
      <c r="BA119" s="294"/>
      <c r="BB119" s="295"/>
      <c r="BC119" s="296"/>
      <c r="BD119" s="284"/>
      <c r="BE119" s="298"/>
      <c r="BF119" s="305"/>
      <c r="BG119" s="302"/>
      <c r="BH119" s="301"/>
      <c r="BI119" s="302"/>
      <c r="BJ119" s="301"/>
      <c r="BK119" s="302"/>
      <c r="BL119" s="301"/>
      <c r="BM119" s="302"/>
      <c r="BN119" s="301"/>
      <c r="BO119" s="302"/>
      <c r="BP119" s="301"/>
      <c r="BQ119" s="302"/>
      <c r="BR119" s="301"/>
      <c r="BS119" s="302"/>
      <c r="BT119" s="301"/>
      <c r="BU119" s="302"/>
      <c r="BV119" s="301"/>
      <c r="BW119" s="302"/>
      <c r="BX119" s="301"/>
      <c r="BY119" s="302"/>
      <c r="BZ119" s="306"/>
      <c r="CA119" s="304"/>
      <c r="CB119" s="294"/>
      <c r="CC119" s="295"/>
      <c r="CD119" s="296"/>
      <c r="CE119" s="284"/>
      <c r="CF119" s="298"/>
      <c r="CG119" s="307"/>
      <c r="CH119" s="308"/>
      <c r="CI119" s="309"/>
      <c r="CJ119" s="310"/>
      <c r="CK119" s="311"/>
      <c r="CL119" s="75"/>
      <c r="CN119" s="161"/>
      <c r="CO119" s="163"/>
      <c r="CP119" s="299"/>
      <c r="CQ119" s="300"/>
      <c r="CR119" s="317"/>
      <c r="CS119" s="316"/>
      <c r="CT119" s="317"/>
      <c r="CU119" s="316"/>
      <c r="CZ119" s="73">
        <v>3</v>
      </c>
      <c r="DA119" s="73">
        <v>3</v>
      </c>
      <c r="DB119" s="73">
        <v>22</v>
      </c>
      <c r="DC119" s="74">
        <f t="shared" si="327"/>
        <v>45738</v>
      </c>
      <c r="DD119" s="68" t="str">
        <f t="shared" si="367"/>
        <v>土</v>
      </c>
      <c r="DF119" s="156"/>
      <c r="DG119" s="156"/>
    </row>
    <row r="120" spans="1:111" ht="28.5" customHeight="1">
      <c r="A120" s="327">
        <f t="shared" si="336"/>
        <v>45739</v>
      </c>
      <c r="B120" s="328" t="str">
        <f t="shared" si="337"/>
        <v>日</v>
      </c>
      <c r="C120" s="329" t="s">
        <v>27</v>
      </c>
      <c r="D120" s="333"/>
      <c r="E120" s="336" t="s">
        <v>44</v>
      </c>
      <c r="F120" s="440"/>
      <c r="G120" s="336" t="s">
        <v>42</v>
      </c>
      <c r="H120" s="335"/>
      <c r="I120" s="409"/>
      <c r="J120" s="332"/>
      <c r="K120" s="336" t="s">
        <v>44</v>
      </c>
      <c r="L120" s="333"/>
      <c r="M120" s="336" t="s">
        <v>42</v>
      </c>
      <c r="N120" s="332"/>
      <c r="O120" s="336" t="s">
        <v>42</v>
      </c>
      <c r="P120" s="333"/>
      <c r="Q120" s="381"/>
      <c r="R120" s="333"/>
      <c r="S120" s="377"/>
      <c r="T120" s="333"/>
      <c r="U120" s="336" t="s">
        <v>44</v>
      </c>
      <c r="V120" s="335">
        <v>15</v>
      </c>
      <c r="W120" s="367" t="s">
        <v>168</v>
      </c>
      <c r="X120" s="333"/>
      <c r="Y120" s="381"/>
      <c r="Z120" s="342">
        <f t="shared" ref="Z120" ca="1" si="487">UDayCou(1,ROW())</f>
        <v>10</v>
      </c>
      <c r="AA120" s="343">
        <f t="shared" ref="AA120" ca="1" si="488">UNightCou(1,ROW())</f>
        <v>9</v>
      </c>
      <c r="AB120" s="344">
        <f t="shared" ref="AB120" ca="1" si="489">UNewCou(1,ROW())</f>
        <v>0</v>
      </c>
      <c r="AC120" s="461">
        <f t="shared" si="341"/>
        <v>45739</v>
      </c>
      <c r="AD120" s="466" t="str">
        <f t="shared" si="342"/>
        <v>日</v>
      </c>
      <c r="AE120" s="335"/>
      <c r="AF120" s="347"/>
      <c r="AG120" s="333"/>
      <c r="AH120" s="336" t="s">
        <v>42</v>
      </c>
      <c r="AI120" s="333"/>
      <c r="AJ120" s="336" t="s">
        <v>44</v>
      </c>
      <c r="AK120" s="335"/>
      <c r="AL120" s="336" t="s">
        <v>39</v>
      </c>
      <c r="AM120" s="388">
        <v>15</v>
      </c>
      <c r="AN120" s="337" t="s">
        <v>51</v>
      </c>
      <c r="AO120" s="430"/>
      <c r="AP120" s="336" t="s">
        <v>44</v>
      </c>
      <c r="AQ120" s="333">
        <v>15</v>
      </c>
      <c r="AR120" s="375" t="s">
        <v>42</v>
      </c>
      <c r="AS120" s="332"/>
      <c r="AT120" s="336" t="s">
        <v>135</v>
      </c>
      <c r="AU120" s="332"/>
      <c r="AV120" s="336" t="s">
        <v>39</v>
      </c>
      <c r="AW120" s="333"/>
      <c r="AX120" s="381"/>
      <c r="AY120" s="359"/>
      <c r="AZ120" s="358"/>
      <c r="BA120" s="342">
        <f ca="1">UDayCou(2,ROW())</f>
        <v>8</v>
      </c>
      <c r="BB120" s="343">
        <f ca="1">UNightCou(2,ROW())</f>
        <v>6</v>
      </c>
      <c r="BC120" s="344">
        <f ca="1">UNewCou(2,ROW())</f>
        <v>2</v>
      </c>
      <c r="BD120" s="327">
        <f t="shared" si="343"/>
        <v>45739</v>
      </c>
      <c r="BE120" s="346" t="str">
        <f t="shared" si="344"/>
        <v>日</v>
      </c>
      <c r="BF120" s="350"/>
      <c r="BG120" s="351"/>
      <c r="BH120" s="330"/>
      <c r="BI120" s="351"/>
      <c r="BJ120" s="330"/>
      <c r="BK120" s="351"/>
      <c r="BL120" s="330"/>
      <c r="BM120" s="351"/>
      <c r="BN120" s="330"/>
      <c r="BO120" s="351"/>
      <c r="BP120" s="330"/>
      <c r="BQ120" s="351"/>
      <c r="BR120" s="330"/>
      <c r="BS120" s="351"/>
      <c r="BT120" s="330"/>
      <c r="BU120" s="351"/>
      <c r="BV120" s="330"/>
      <c r="BW120" s="351"/>
      <c r="BX120" s="330"/>
      <c r="BY120" s="351"/>
      <c r="BZ120" s="389"/>
      <c r="CA120" s="341"/>
      <c r="CB120" s="342">
        <f ca="1">UDayCou(3,ROW())</f>
        <v>0</v>
      </c>
      <c r="CC120" s="343">
        <f ca="1">UNightCou(3,ROW())</f>
        <v>0</v>
      </c>
      <c r="CD120" s="344">
        <f ca="1">UNewCou(3,ROW())</f>
        <v>0</v>
      </c>
      <c r="CE120" s="327">
        <f t="shared" si="345"/>
        <v>45739</v>
      </c>
      <c r="CF120" s="346" t="str">
        <f t="shared" si="346"/>
        <v>日</v>
      </c>
      <c r="CG120" s="352">
        <f t="shared" ref="CG120" ca="1" si="490">Z120+BA120+CB120</f>
        <v>18</v>
      </c>
      <c r="CH120" s="353">
        <f t="shared" ref="CH120" ca="1" si="491">AA120+BB120+CC120</f>
        <v>15</v>
      </c>
      <c r="CI120" s="354">
        <f t="shared" ref="CI120" ca="1" si="492">AB120+BC120+CD120</f>
        <v>2</v>
      </c>
      <c r="CJ120" s="355">
        <f ca="1">COUNTIF(INDIRECT("D168:CA169"),"*●*")</f>
        <v>0</v>
      </c>
      <c r="CK120" s="356">
        <f ca="1">COUNTIF(INDIRECT("D168:CA169"),"*㋷*")</f>
        <v>0</v>
      </c>
      <c r="CL120" s="75"/>
      <c r="CN120" s="160">
        <f t="shared" si="350"/>
        <v>45739</v>
      </c>
      <c r="CO120" s="168" t="str">
        <f t="shared" si="351"/>
        <v>日</v>
      </c>
      <c r="CP120" s="335"/>
      <c r="CQ120" s="347"/>
      <c r="CR120" s="359"/>
      <c r="CS120" s="358"/>
      <c r="CT120" s="359"/>
      <c r="CU120" s="358"/>
      <c r="CZ120" s="73">
        <v>3</v>
      </c>
      <c r="DA120" s="73">
        <v>3</v>
      </c>
      <c r="DB120" s="73">
        <v>23</v>
      </c>
      <c r="DC120" s="74">
        <f t="shared" si="327"/>
        <v>45739</v>
      </c>
      <c r="DD120" s="68" t="str">
        <f t="shared" si="367"/>
        <v>日</v>
      </c>
      <c r="DF120" s="155">
        <f t="shared" ref="DF120" si="493">$DC120</f>
        <v>45739</v>
      </c>
      <c r="DG120" s="156" t="e">
        <f ca="1">IF($CH120&gt;=設定!$E$12,"✕",IF(SS予約表!$CG120&gt;=設定!$E$12,"△","○"))</f>
        <v>#NAME?</v>
      </c>
    </row>
    <row r="121" spans="1:111" ht="29.25" customHeight="1">
      <c r="A121" s="284"/>
      <c r="B121" s="285"/>
      <c r="C121" s="286" t="s">
        <v>28</v>
      </c>
      <c r="D121" s="320"/>
      <c r="E121" s="324"/>
      <c r="F121" s="411"/>
      <c r="G121" s="322"/>
      <c r="H121" s="320"/>
      <c r="I121" s="324"/>
      <c r="J121" s="320"/>
      <c r="K121" s="324"/>
      <c r="L121" s="320"/>
      <c r="M121" s="324"/>
      <c r="N121" s="319"/>
      <c r="O121" s="318"/>
      <c r="P121" s="320">
        <v>10</v>
      </c>
      <c r="Q121" s="324" t="s">
        <v>169</v>
      </c>
      <c r="R121" s="320"/>
      <c r="S121" s="324"/>
      <c r="T121" s="319"/>
      <c r="U121" s="318"/>
      <c r="V121" s="320"/>
      <c r="W121" s="321"/>
      <c r="X121" s="320"/>
      <c r="Y121" s="321"/>
      <c r="Z121" s="294"/>
      <c r="AA121" s="295"/>
      <c r="AB121" s="296"/>
      <c r="AC121" s="463"/>
      <c r="AD121" s="464"/>
      <c r="AE121" s="299"/>
      <c r="AF121" s="300"/>
      <c r="AG121" s="320"/>
      <c r="AH121" s="324"/>
      <c r="AI121" s="320"/>
      <c r="AJ121" s="324"/>
      <c r="AK121" s="299"/>
      <c r="AL121" s="324"/>
      <c r="AM121" s="320"/>
      <c r="AN121" s="321"/>
      <c r="AO121" s="429"/>
      <c r="AP121" s="322"/>
      <c r="AQ121" s="299"/>
      <c r="AR121" s="300" t="s">
        <v>51</v>
      </c>
      <c r="AS121" s="319"/>
      <c r="AT121" s="318"/>
      <c r="AU121" s="320"/>
      <c r="AV121" s="324"/>
      <c r="AW121" s="320"/>
      <c r="AX121" s="321"/>
      <c r="AY121" s="449"/>
      <c r="AZ121" s="443"/>
      <c r="BA121" s="294"/>
      <c r="BB121" s="295"/>
      <c r="BC121" s="296"/>
      <c r="BD121" s="284"/>
      <c r="BE121" s="298"/>
      <c r="BF121" s="305"/>
      <c r="BG121" s="302"/>
      <c r="BH121" s="301"/>
      <c r="BI121" s="302"/>
      <c r="BJ121" s="301"/>
      <c r="BK121" s="302"/>
      <c r="BL121" s="301"/>
      <c r="BM121" s="302"/>
      <c r="BN121" s="301"/>
      <c r="BO121" s="302"/>
      <c r="BP121" s="301"/>
      <c r="BQ121" s="302"/>
      <c r="BR121" s="301"/>
      <c r="BS121" s="302"/>
      <c r="BT121" s="301"/>
      <c r="BU121" s="302"/>
      <c r="BV121" s="301"/>
      <c r="BW121" s="302"/>
      <c r="BX121" s="301"/>
      <c r="BY121" s="302"/>
      <c r="BZ121" s="306"/>
      <c r="CA121" s="304"/>
      <c r="CB121" s="294"/>
      <c r="CC121" s="295"/>
      <c r="CD121" s="296"/>
      <c r="CE121" s="284"/>
      <c r="CF121" s="298"/>
      <c r="CG121" s="307"/>
      <c r="CH121" s="308"/>
      <c r="CI121" s="309"/>
      <c r="CJ121" s="310"/>
      <c r="CK121" s="311"/>
      <c r="CL121" s="75"/>
      <c r="CN121" s="161"/>
      <c r="CO121" s="163"/>
      <c r="CP121" s="299"/>
      <c r="CQ121" s="300"/>
      <c r="CR121" s="317"/>
      <c r="CS121" s="316"/>
      <c r="CT121" s="317"/>
      <c r="CU121" s="316"/>
      <c r="CZ121" s="73">
        <v>3</v>
      </c>
      <c r="DA121" s="73">
        <v>3</v>
      </c>
      <c r="DB121" s="73">
        <v>23</v>
      </c>
      <c r="DC121" s="74">
        <f t="shared" si="327"/>
        <v>45739</v>
      </c>
      <c r="DD121" s="68" t="str">
        <f t="shared" si="367"/>
        <v>日</v>
      </c>
      <c r="DF121" s="156"/>
      <c r="DG121" s="156"/>
    </row>
    <row r="122" spans="1:111" ht="28.5" customHeight="1">
      <c r="A122" s="327">
        <f t="shared" ca="1" si="336"/>
        <v>45740</v>
      </c>
      <c r="B122" s="365" t="str">
        <f t="shared" ca="1" si="337"/>
        <v>月</v>
      </c>
      <c r="C122" s="329" t="s">
        <v>27</v>
      </c>
      <c r="D122" s="333">
        <v>15</v>
      </c>
      <c r="E122" s="337" t="s">
        <v>147</v>
      </c>
      <c r="F122" s="440">
        <v>15</v>
      </c>
      <c r="G122" s="367" t="s">
        <v>94</v>
      </c>
      <c r="H122" s="333"/>
      <c r="I122" s="336" t="s">
        <v>42</v>
      </c>
      <c r="J122" s="333"/>
      <c r="K122" s="336" t="s">
        <v>42</v>
      </c>
      <c r="L122" s="333">
        <v>15</v>
      </c>
      <c r="M122" s="337" t="s">
        <v>94</v>
      </c>
      <c r="N122" s="332">
        <v>15</v>
      </c>
      <c r="O122" s="366" t="s">
        <v>54</v>
      </c>
      <c r="P122" s="333"/>
      <c r="Q122" s="336" t="s">
        <v>170</v>
      </c>
      <c r="R122" s="333"/>
      <c r="S122" s="377"/>
      <c r="T122" s="332">
        <v>15</v>
      </c>
      <c r="U122" s="366" t="s">
        <v>147</v>
      </c>
      <c r="V122" s="333"/>
      <c r="W122" s="381"/>
      <c r="X122" s="333"/>
      <c r="Y122" s="381"/>
      <c r="Z122" s="342">
        <f t="shared" ref="Z122" ca="1" si="494">UDayCou(1,ROW())</f>
        <v>11</v>
      </c>
      <c r="AA122" s="343">
        <f t="shared" ref="AA122" ca="1" si="495">UNightCou(1,ROW())</f>
        <v>6</v>
      </c>
      <c r="AB122" s="344">
        <f t="shared" ref="AB122" ca="1" si="496">UNewCou(1,ROW())</f>
        <v>0</v>
      </c>
      <c r="AC122" s="461">
        <f t="shared" ca="1" si="341"/>
        <v>45740</v>
      </c>
      <c r="AD122" s="462" t="str">
        <f t="shared" ca="1" si="342"/>
        <v>月</v>
      </c>
      <c r="AE122" s="335"/>
      <c r="AF122" s="347"/>
      <c r="AG122" s="333"/>
      <c r="AH122" s="377"/>
      <c r="AI122" s="333"/>
      <c r="AJ122" s="336" t="s">
        <v>13</v>
      </c>
      <c r="AK122" s="335"/>
      <c r="AL122" s="336" t="s">
        <v>42</v>
      </c>
      <c r="AM122" s="333"/>
      <c r="AN122" s="381"/>
      <c r="AO122" s="430"/>
      <c r="AP122" s="336" t="s">
        <v>42</v>
      </c>
      <c r="AQ122" s="335"/>
      <c r="AR122" s="347"/>
      <c r="AS122" s="332">
        <v>15</v>
      </c>
      <c r="AT122" s="375" t="s">
        <v>42</v>
      </c>
      <c r="AU122" s="333"/>
      <c r="AV122" s="336" t="s">
        <v>42</v>
      </c>
      <c r="AW122" s="333"/>
      <c r="AX122" s="381"/>
      <c r="AY122" s="447"/>
      <c r="AZ122" s="444"/>
      <c r="BA122" s="342">
        <f ca="1">UDayCou(2,ROW())</f>
        <v>8</v>
      </c>
      <c r="BB122" s="343">
        <f ca="1">UNightCou(2,ROW())</f>
        <v>7</v>
      </c>
      <c r="BC122" s="344">
        <f ca="1">UNewCou(2,ROW())</f>
        <v>2</v>
      </c>
      <c r="BD122" s="327">
        <f t="shared" ca="1" si="343"/>
        <v>45740</v>
      </c>
      <c r="BE122" s="371" t="str">
        <f t="shared" ca="1" si="344"/>
        <v>月</v>
      </c>
      <c r="BF122" s="350"/>
      <c r="BG122" s="351"/>
      <c r="BH122" s="330"/>
      <c r="BI122" s="351"/>
      <c r="BJ122" s="330"/>
      <c r="BK122" s="351"/>
      <c r="BL122" s="330"/>
      <c r="BM122" s="351"/>
      <c r="BN122" s="330"/>
      <c r="BO122" s="351"/>
      <c r="BP122" s="330"/>
      <c r="BQ122" s="351"/>
      <c r="BR122" s="330"/>
      <c r="BS122" s="351"/>
      <c r="BT122" s="330"/>
      <c r="BU122" s="351"/>
      <c r="BV122" s="330"/>
      <c r="BW122" s="351"/>
      <c r="BX122" s="330"/>
      <c r="BY122" s="351"/>
      <c r="BZ122" s="389"/>
      <c r="CA122" s="341"/>
      <c r="CB122" s="342">
        <f ca="1">UDayCou(3,ROW())</f>
        <v>0</v>
      </c>
      <c r="CC122" s="343">
        <f ca="1">UNightCou(3,ROW())</f>
        <v>0</v>
      </c>
      <c r="CD122" s="344">
        <f ca="1">UNewCou(3,ROW())</f>
        <v>0</v>
      </c>
      <c r="CE122" s="327">
        <f t="shared" ca="1" si="345"/>
        <v>45740</v>
      </c>
      <c r="CF122" s="371" t="str">
        <f t="shared" ca="1" si="346"/>
        <v>月</v>
      </c>
      <c r="CG122" s="352">
        <f t="shared" ref="CG122" ca="1" si="497">Z122+BA122+CB122</f>
        <v>19</v>
      </c>
      <c r="CH122" s="353">
        <f t="shared" ref="CH122" ca="1" si="498">AA122+BB122+CC122</f>
        <v>13</v>
      </c>
      <c r="CI122" s="354">
        <f t="shared" ref="CI122" ca="1" si="499">AB122+BC122+CD122</f>
        <v>2</v>
      </c>
      <c r="CJ122" s="355">
        <f ca="1">COUNTIF(INDIRECT("D170:CA171"),"*●*")</f>
        <v>0</v>
      </c>
      <c r="CK122" s="356">
        <f ca="1">COUNTIF(INDIRECT("D170:CA171"),"*㋷*")</f>
        <v>0</v>
      </c>
      <c r="CL122" s="75"/>
      <c r="CN122" s="160">
        <f t="shared" ca="1" si="350"/>
        <v>45740</v>
      </c>
      <c r="CO122" s="162" t="str">
        <f t="shared" ca="1" si="351"/>
        <v>月</v>
      </c>
      <c r="CP122" s="335"/>
      <c r="CQ122" s="347"/>
      <c r="CR122" s="359"/>
      <c r="CS122" s="358"/>
      <c r="CT122" s="359"/>
      <c r="CU122" s="358"/>
      <c r="CZ122" s="73">
        <v>3</v>
      </c>
      <c r="DA122" s="73">
        <v>3</v>
      </c>
      <c r="DB122" s="73">
        <v>24</v>
      </c>
      <c r="DC122" s="74">
        <f t="shared" ca="1" si="327"/>
        <v>45740</v>
      </c>
      <c r="DD122" s="68" t="str">
        <f t="shared" ca="1" si="367"/>
        <v>月</v>
      </c>
      <c r="DF122" s="155">
        <f t="shared" ref="DF122" ca="1" si="500">$DC122</f>
        <v>45740</v>
      </c>
      <c r="DG122" s="156" t="str">
        <f ca="1">IF($CH122&gt;=設定!$E$12,"✕",IF(SS予約表!$CG122&gt;=設定!$E$12,"△","○"))</f>
        <v>○</v>
      </c>
    </row>
    <row r="123" spans="1:111" ht="29.25" customHeight="1">
      <c r="A123" s="284"/>
      <c r="B123" s="285"/>
      <c r="C123" s="286" t="s">
        <v>28</v>
      </c>
      <c r="D123" s="299"/>
      <c r="E123" s="321"/>
      <c r="F123" s="320"/>
      <c r="G123" s="321"/>
      <c r="H123" s="320"/>
      <c r="I123" s="324"/>
      <c r="J123" s="320"/>
      <c r="K123" s="324"/>
      <c r="L123" s="467"/>
      <c r="M123" s="443"/>
      <c r="N123" s="325">
        <v>10</v>
      </c>
      <c r="O123" s="392" t="s">
        <v>171</v>
      </c>
      <c r="P123" s="320"/>
      <c r="Q123" s="324"/>
      <c r="R123" s="320"/>
      <c r="S123" s="324"/>
      <c r="T123" s="467"/>
      <c r="U123" s="443"/>
      <c r="V123" s="320">
        <v>10</v>
      </c>
      <c r="W123" s="324" t="s">
        <v>172</v>
      </c>
      <c r="X123" s="299"/>
      <c r="Y123" s="300"/>
      <c r="Z123" s="294"/>
      <c r="AA123" s="295"/>
      <c r="AB123" s="296"/>
      <c r="AC123" s="463"/>
      <c r="AD123" s="464"/>
      <c r="AE123" s="299"/>
      <c r="AF123" s="300"/>
      <c r="AG123" s="320"/>
      <c r="AH123" s="324"/>
      <c r="AI123" s="320"/>
      <c r="AJ123" s="324"/>
      <c r="AK123" s="299"/>
      <c r="AL123" s="324"/>
      <c r="AM123" s="467">
        <v>10</v>
      </c>
      <c r="AN123" s="384" t="s">
        <v>173</v>
      </c>
      <c r="AO123" s="429"/>
      <c r="AP123" s="322"/>
      <c r="AQ123" s="360">
        <v>10</v>
      </c>
      <c r="AR123" s="324" t="s">
        <v>876</v>
      </c>
      <c r="AS123" s="320"/>
      <c r="AT123" s="321" t="s">
        <v>174</v>
      </c>
      <c r="AU123" s="320"/>
      <c r="AV123" s="324"/>
      <c r="AW123" s="320"/>
      <c r="AX123" s="321"/>
      <c r="AY123" s="449"/>
      <c r="AZ123" s="443"/>
      <c r="BA123" s="294"/>
      <c r="BB123" s="295"/>
      <c r="BC123" s="296"/>
      <c r="BD123" s="284"/>
      <c r="BE123" s="298"/>
      <c r="BF123" s="305"/>
      <c r="BG123" s="302"/>
      <c r="BH123" s="301"/>
      <c r="BI123" s="302"/>
      <c r="BJ123" s="301"/>
      <c r="BK123" s="302"/>
      <c r="BL123" s="301"/>
      <c r="BM123" s="302"/>
      <c r="BN123" s="301"/>
      <c r="BO123" s="302"/>
      <c r="BP123" s="301"/>
      <c r="BQ123" s="302"/>
      <c r="BR123" s="301"/>
      <c r="BS123" s="302"/>
      <c r="BT123" s="301"/>
      <c r="BU123" s="302"/>
      <c r="BV123" s="301"/>
      <c r="BW123" s="302"/>
      <c r="BX123" s="301"/>
      <c r="BY123" s="302"/>
      <c r="BZ123" s="306"/>
      <c r="CA123" s="304"/>
      <c r="CB123" s="294"/>
      <c r="CC123" s="295"/>
      <c r="CD123" s="296"/>
      <c r="CE123" s="284"/>
      <c r="CF123" s="298"/>
      <c r="CG123" s="307"/>
      <c r="CH123" s="308"/>
      <c r="CI123" s="309"/>
      <c r="CJ123" s="310"/>
      <c r="CK123" s="311"/>
      <c r="CL123" s="75"/>
      <c r="CN123" s="161"/>
      <c r="CO123" s="163"/>
      <c r="CP123" s="299"/>
      <c r="CQ123" s="300"/>
      <c r="CR123" s="317"/>
      <c r="CS123" s="316"/>
      <c r="CT123" s="317"/>
      <c r="CU123" s="316"/>
      <c r="CZ123" s="73">
        <v>3</v>
      </c>
      <c r="DA123" s="73">
        <v>3</v>
      </c>
      <c r="DB123" s="73">
        <v>24</v>
      </c>
      <c r="DC123" s="74">
        <f t="shared" ca="1" si="327"/>
        <v>45740</v>
      </c>
      <c r="DD123" s="68" t="str">
        <f t="shared" ca="1" si="367"/>
        <v>月</v>
      </c>
      <c r="DF123" s="156"/>
      <c r="DG123" s="156"/>
    </row>
    <row r="124" spans="1:111" ht="28.5" customHeight="1">
      <c r="A124" s="327">
        <f t="shared" ca="1" si="336"/>
        <v>45741</v>
      </c>
      <c r="B124" s="365" t="str">
        <f t="shared" ca="1" si="337"/>
        <v>火</v>
      </c>
      <c r="C124" s="329" t="s">
        <v>27</v>
      </c>
      <c r="D124" s="335"/>
      <c r="E124" s="381"/>
      <c r="F124" s="333"/>
      <c r="G124" s="381"/>
      <c r="H124" s="333">
        <v>15</v>
      </c>
      <c r="I124" s="337" t="s">
        <v>175</v>
      </c>
      <c r="J124" s="333"/>
      <c r="K124" s="336"/>
      <c r="L124" s="468"/>
      <c r="M124" s="444"/>
      <c r="N124" s="348" t="s">
        <v>39</v>
      </c>
      <c r="O124" s="387" t="s">
        <v>170</v>
      </c>
      <c r="P124" s="333"/>
      <c r="Q124" s="377"/>
      <c r="R124" s="333"/>
      <c r="S124" s="336" t="s">
        <v>42</v>
      </c>
      <c r="T124" s="468"/>
      <c r="U124" s="444"/>
      <c r="V124" s="333"/>
      <c r="W124" s="377" t="s">
        <v>176</v>
      </c>
      <c r="X124" s="335"/>
      <c r="Y124" s="347"/>
      <c r="Z124" s="342">
        <f t="shared" ref="Z124" ca="1" si="501">UDayCou(1,ROW())</f>
        <v>6</v>
      </c>
      <c r="AA124" s="343">
        <f t="shared" ref="AA124" ca="1" si="502">UNightCou(1,ROW())</f>
        <v>5</v>
      </c>
      <c r="AB124" s="344">
        <f t="shared" ref="AB124" ca="1" si="503">UNewCou(1,ROW())</f>
        <v>0</v>
      </c>
      <c r="AC124" s="461">
        <f t="shared" ca="1" si="341"/>
        <v>45741</v>
      </c>
      <c r="AD124" s="462" t="str">
        <f t="shared" ca="1" si="342"/>
        <v>火</v>
      </c>
      <c r="AE124" s="335"/>
      <c r="AF124" s="347"/>
      <c r="AG124" s="333"/>
      <c r="AH124" s="377"/>
      <c r="AI124" s="333"/>
      <c r="AJ124" s="336"/>
      <c r="AK124" s="335">
        <v>15</v>
      </c>
      <c r="AL124" s="337"/>
      <c r="AM124" s="468" t="s">
        <v>39</v>
      </c>
      <c r="AN124" s="390" t="s">
        <v>101</v>
      </c>
      <c r="AO124" s="430"/>
      <c r="AP124" s="409"/>
      <c r="AQ124" s="368"/>
      <c r="AR124" s="377"/>
      <c r="AS124" s="333"/>
      <c r="AT124" s="381"/>
      <c r="AU124" s="333">
        <v>15</v>
      </c>
      <c r="AV124" s="337"/>
      <c r="AW124" s="333"/>
      <c r="AX124" s="381"/>
      <c r="AY124" s="447"/>
      <c r="AZ124" s="444"/>
      <c r="BA124" s="342">
        <f ca="1">UDayCou(2,ROW())</f>
        <v>8</v>
      </c>
      <c r="BB124" s="343">
        <f ca="1">UNightCou(2,ROW())</f>
        <v>6</v>
      </c>
      <c r="BC124" s="344">
        <f ca="1">UNewCou(2,ROW())</f>
        <v>2</v>
      </c>
      <c r="BD124" s="327">
        <f t="shared" ca="1" si="343"/>
        <v>45741</v>
      </c>
      <c r="BE124" s="371" t="str">
        <f t="shared" ca="1" si="344"/>
        <v>火</v>
      </c>
      <c r="BF124" s="350"/>
      <c r="BG124" s="351"/>
      <c r="BH124" s="330"/>
      <c r="BI124" s="351"/>
      <c r="BJ124" s="330"/>
      <c r="BK124" s="351"/>
      <c r="BL124" s="330"/>
      <c r="BM124" s="351"/>
      <c r="BN124" s="330"/>
      <c r="BO124" s="351"/>
      <c r="BP124" s="330"/>
      <c r="BQ124" s="351"/>
      <c r="BR124" s="330"/>
      <c r="BS124" s="351"/>
      <c r="BT124" s="330"/>
      <c r="BU124" s="351"/>
      <c r="BV124" s="330"/>
      <c r="BW124" s="351"/>
      <c r="BX124" s="330"/>
      <c r="BY124" s="351"/>
      <c r="BZ124" s="389"/>
      <c r="CA124" s="341"/>
      <c r="CB124" s="342">
        <f ca="1">UDayCou(3,ROW())</f>
        <v>0</v>
      </c>
      <c r="CC124" s="343">
        <f ca="1">UNightCou(3,ROW())</f>
        <v>0</v>
      </c>
      <c r="CD124" s="344">
        <f ca="1">UNewCou(3,ROW())</f>
        <v>0</v>
      </c>
      <c r="CE124" s="327">
        <f t="shared" ca="1" si="345"/>
        <v>45741</v>
      </c>
      <c r="CF124" s="371" t="str">
        <f t="shared" ca="1" si="346"/>
        <v>火</v>
      </c>
      <c r="CG124" s="352">
        <f t="shared" ref="CG124" ca="1" si="504">Z124+BA124+CB124</f>
        <v>14</v>
      </c>
      <c r="CH124" s="353">
        <f t="shared" ref="CH124" ca="1" si="505">AA124+BB124+CC124</f>
        <v>11</v>
      </c>
      <c r="CI124" s="354">
        <f t="shared" ref="CI124" ca="1" si="506">AB124+BC124+CD124</f>
        <v>2</v>
      </c>
      <c r="CJ124" s="355">
        <f ca="1">COUNTIF(INDIRECT("D172:CA173"),"*●*")</f>
        <v>0</v>
      </c>
      <c r="CK124" s="356">
        <f ca="1">COUNTIF(INDIRECT("D172:CA173"),"*㋷*")</f>
        <v>0</v>
      </c>
      <c r="CL124" s="75"/>
      <c r="CN124" s="160">
        <f t="shared" ca="1" si="350"/>
        <v>45741</v>
      </c>
      <c r="CO124" s="162" t="str">
        <f t="shared" ca="1" si="351"/>
        <v>火</v>
      </c>
      <c r="CP124" s="335"/>
      <c r="CQ124" s="347"/>
      <c r="CR124" s="359"/>
      <c r="CS124" s="358"/>
      <c r="CT124" s="359"/>
      <c r="CU124" s="358"/>
      <c r="CZ124" s="73">
        <v>3</v>
      </c>
      <c r="DA124" s="73">
        <v>3</v>
      </c>
      <c r="DB124" s="73">
        <v>25</v>
      </c>
      <c r="DC124" s="74">
        <f t="shared" ca="1" si="327"/>
        <v>45741</v>
      </c>
      <c r="DD124" s="68" t="str">
        <f t="shared" ca="1" si="367"/>
        <v>火</v>
      </c>
      <c r="DF124" s="155">
        <f t="shared" ref="DF124" ca="1" si="507">$DC124</f>
        <v>45741</v>
      </c>
      <c r="DG124" s="156" t="str">
        <f ca="1">IF($CH124&gt;=設定!$E$12,"✕",IF(SS予約表!$CG124&gt;=設定!$E$12,"△","○"))</f>
        <v>○</v>
      </c>
    </row>
    <row r="125" spans="1:111" ht="29.25" customHeight="1" thickBot="1">
      <c r="A125" s="284"/>
      <c r="B125" s="285"/>
      <c r="C125" s="286" t="s">
        <v>28</v>
      </c>
      <c r="D125" s="287"/>
      <c r="E125" s="321"/>
      <c r="F125" s="320"/>
      <c r="G125" s="321"/>
      <c r="H125" s="320"/>
      <c r="I125" s="321"/>
      <c r="J125" s="320"/>
      <c r="K125" s="324"/>
      <c r="L125" s="467"/>
      <c r="M125" s="443"/>
      <c r="N125" s="325" t="s">
        <v>39</v>
      </c>
      <c r="O125" s="392"/>
      <c r="P125" s="320"/>
      <c r="Q125" s="324"/>
      <c r="R125" s="320"/>
      <c r="S125" s="324"/>
      <c r="T125" s="467"/>
      <c r="U125" s="443"/>
      <c r="V125" s="320"/>
      <c r="W125" s="324" t="s">
        <v>177</v>
      </c>
      <c r="X125" s="299"/>
      <c r="Y125" s="300"/>
      <c r="Z125" s="294"/>
      <c r="AA125" s="295"/>
      <c r="AB125" s="296"/>
      <c r="AC125" s="463"/>
      <c r="AD125" s="464"/>
      <c r="AE125" s="422"/>
      <c r="AF125" s="423"/>
      <c r="AG125" s="320"/>
      <c r="AH125" s="324"/>
      <c r="AI125" s="320"/>
      <c r="AJ125" s="324"/>
      <c r="AK125" s="422"/>
      <c r="AL125" s="423"/>
      <c r="AM125" s="467" t="s">
        <v>39</v>
      </c>
      <c r="AN125" s="384"/>
      <c r="AO125" s="429"/>
      <c r="AP125" s="322"/>
      <c r="AQ125" s="360"/>
      <c r="AR125" s="324"/>
      <c r="AS125" s="320"/>
      <c r="AT125" s="321"/>
      <c r="AU125" s="320">
        <v>10</v>
      </c>
      <c r="AV125" s="324" t="s">
        <v>178</v>
      </c>
      <c r="AW125" s="320"/>
      <c r="AX125" s="321"/>
      <c r="AY125" s="449"/>
      <c r="AZ125" s="443"/>
      <c r="BA125" s="294"/>
      <c r="BB125" s="295"/>
      <c r="BC125" s="296"/>
      <c r="BD125" s="284"/>
      <c r="BE125" s="298"/>
      <c r="BF125" s="305"/>
      <c r="BG125" s="302"/>
      <c r="BH125" s="301"/>
      <c r="BI125" s="302"/>
      <c r="BJ125" s="301"/>
      <c r="BK125" s="302"/>
      <c r="BL125" s="301"/>
      <c r="BM125" s="302"/>
      <c r="BN125" s="301"/>
      <c r="BO125" s="302"/>
      <c r="BP125" s="301"/>
      <c r="BQ125" s="302"/>
      <c r="BR125" s="301"/>
      <c r="BS125" s="302"/>
      <c r="BT125" s="301"/>
      <c r="BU125" s="302"/>
      <c r="BV125" s="301"/>
      <c r="BW125" s="302"/>
      <c r="BX125" s="301"/>
      <c r="BY125" s="302"/>
      <c r="BZ125" s="306"/>
      <c r="CA125" s="304"/>
      <c r="CB125" s="294"/>
      <c r="CC125" s="295"/>
      <c r="CD125" s="296"/>
      <c r="CE125" s="284"/>
      <c r="CF125" s="298"/>
      <c r="CG125" s="307"/>
      <c r="CH125" s="308"/>
      <c r="CI125" s="309"/>
      <c r="CJ125" s="310"/>
      <c r="CK125" s="311"/>
      <c r="CL125" s="75"/>
      <c r="CN125" s="161"/>
      <c r="CO125" s="163"/>
      <c r="CP125" s="315"/>
      <c r="CQ125" s="316"/>
      <c r="CR125" s="317"/>
      <c r="CS125" s="316"/>
      <c r="CT125" s="317"/>
      <c r="CU125" s="316"/>
      <c r="CZ125" s="73">
        <v>3</v>
      </c>
      <c r="DA125" s="73">
        <v>3</v>
      </c>
      <c r="DB125" s="73">
        <v>25</v>
      </c>
      <c r="DC125" s="74">
        <f t="shared" ca="1" si="327"/>
        <v>45741</v>
      </c>
      <c r="DD125" s="68" t="str">
        <f t="shared" ca="1" si="367"/>
        <v>火</v>
      </c>
      <c r="DF125" s="156"/>
      <c r="DG125" s="156"/>
    </row>
    <row r="126" spans="1:111" ht="28.5" customHeight="1">
      <c r="A126" s="491">
        <f t="shared" ca="1" si="336"/>
        <v>45742</v>
      </c>
      <c r="B126" s="524" t="str">
        <f t="shared" ca="1" si="337"/>
        <v>水</v>
      </c>
      <c r="C126" s="493" t="s">
        <v>27</v>
      </c>
      <c r="D126" s="542"/>
      <c r="E126" s="526"/>
      <c r="F126" s="497"/>
      <c r="G126" s="539" t="s">
        <v>47</v>
      </c>
      <c r="H126" s="497"/>
      <c r="I126" s="526"/>
      <c r="J126" s="497"/>
      <c r="K126" s="500"/>
      <c r="L126" s="564"/>
      <c r="M126" s="543"/>
      <c r="N126" s="512" t="s">
        <v>39</v>
      </c>
      <c r="O126" s="538"/>
      <c r="P126" s="497"/>
      <c r="Q126" s="527"/>
      <c r="R126" s="497"/>
      <c r="S126" s="527"/>
      <c r="T126" s="564"/>
      <c r="U126" s="555" t="s">
        <v>45</v>
      </c>
      <c r="V126" s="497"/>
      <c r="W126" s="500" t="s">
        <v>42</v>
      </c>
      <c r="X126" s="499"/>
      <c r="Y126" s="511"/>
      <c r="Z126" s="506">
        <f t="shared" ref="Z126" ca="1" si="508">UDayCou(1,ROW())</f>
        <v>7</v>
      </c>
      <c r="AA126" s="507">
        <f t="shared" ref="AA126" ca="1" si="509">UNightCou(1,ROW())</f>
        <v>7</v>
      </c>
      <c r="AB126" s="508">
        <f t="shared" ref="AB126" ca="1" si="510">UNewCou(1,ROW())</f>
        <v>0</v>
      </c>
      <c r="AC126" s="559">
        <f t="shared" ca="1" si="341"/>
        <v>45742</v>
      </c>
      <c r="AD126" s="560" t="str">
        <f t="shared" ca="1" si="342"/>
        <v>水</v>
      </c>
      <c r="AE126" s="549"/>
      <c r="AF126" s="565" t="s">
        <v>45</v>
      </c>
      <c r="AG126" s="497"/>
      <c r="AH126" s="500" t="s">
        <v>44</v>
      </c>
      <c r="AI126" s="497"/>
      <c r="AJ126" s="527"/>
      <c r="AK126" s="549"/>
      <c r="AL126" s="553"/>
      <c r="AM126" s="564" t="s">
        <v>39</v>
      </c>
      <c r="AN126" s="541" t="s">
        <v>42</v>
      </c>
      <c r="AO126" s="547"/>
      <c r="AP126" s="500"/>
      <c r="AQ126" s="528">
        <v>15</v>
      </c>
      <c r="AR126" s="501"/>
      <c r="AS126" s="497"/>
      <c r="AT126" s="526"/>
      <c r="AU126" s="497"/>
      <c r="AV126" s="527" t="s">
        <v>45</v>
      </c>
      <c r="AW126" s="497"/>
      <c r="AX126" s="526"/>
      <c r="AY126" s="557"/>
      <c r="AZ126" s="555"/>
      <c r="BA126" s="506">
        <f ca="1">UDayCou(2,ROW())</f>
        <v>9</v>
      </c>
      <c r="BB126" s="507">
        <f ca="1">UNightCou(2,ROW())</f>
        <v>8</v>
      </c>
      <c r="BC126" s="508">
        <f ca="1">UNewCou(2,ROW())</f>
        <v>3</v>
      </c>
      <c r="BD126" s="491">
        <f t="shared" ca="1" si="343"/>
        <v>45742</v>
      </c>
      <c r="BE126" s="531" t="str">
        <f t="shared" ca="1" si="344"/>
        <v>水</v>
      </c>
      <c r="BF126" s="514"/>
      <c r="BG126" s="515"/>
      <c r="BH126" s="494"/>
      <c r="BI126" s="515"/>
      <c r="BJ126" s="494"/>
      <c r="BK126" s="515"/>
      <c r="BL126" s="494"/>
      <c r="BM126" s="515"/>
      <c r="BN126" s="494"/>
      <c r="BO126" s="515"/>
      <c r="BP126" s="494"/>
      <c r="BQ126" s="515"/>
      <c r="BR126" s="494"/>
      <c r="BS126" s="515"/>
      <c r="BT126" s="494"/>
      <c r="BU126" s="515"/>
      <c r="BV126" s="494"/>
      <c r="BW126" s="515"/>
      <c r="BX126" s="494"/>
      <c r="BY126" s="515"/>
      <c r="BZ126" s="530"/>
      <c r="CA126" s="505"/>
      <c r="CB126" s="506">
        <f ca="1">UDayCou(3,ROW())</f>
        <v>0</v>
      </c>
      <c r="CC126" s="507">
        <f ca="1">UNightCou(3,ROW())</f>
        <v>0</v>
      </c>
      <c r="CD126" s="508">
        <f ca="1">UNewCou(3,ROW())</f>
        <v>0</v>
      </c>
      <c r="CE126" s="491">
        <f t="shared" ca="1" si="345"/>
        <v>45742</v>
      </c>
      <c r="CF126" s="531" t="str">
        <f t="shared" ca="1" si="346"/>
        <v>水</v>
      </c>
      <c r="CG126" s="516">
        <f t="shared" ref="CG126" ca="1" si="511">Z126+BA126+CB126</f>
        <v>16</v>
      </c>
      <c r="CH126" s="517">
        <f t="shared" ref="CH126" ca="1" si="512">AA126+BB126+CC126</f>
        <v>15</v>
      </c>
      <c r="CI126" s="518">
        <f t="shared" ref="CI126" ca="1" si="513">AB126+BC126+CD126</f>
        <v>3</v>
      </c>
      <c r="CJ126" s="519">
        <f ca="1">COUNTIF(INDIRECT("D174:CA175"),"*●*")</f>
        <v>0</v>
      </c>
      <c r="CK126" s="520">
        <f ca="1">COUNTIF(INDIRECT("D174:CA175"),"*㋷*")</f>
        <v>0</v>
      </c>
      <c r="CL126" s="75"/>
      <c r="CN126" s="164">
        <f t="shared" ca="1" si="350"/>
        <v>45742</v>
      </c>
      <c r="CO126" s="165" t="str">
        <f t="shared" ca="1" si="351"/>
        <v>水</v>
      </c>
      <c r="CP126" s="521"/>
      <c r="CQ126" s="522"/>
      <c r="CR126" s="523"/>
      <c r="CS126" s="522"/>
      <c r="CT126" s="523"/>
      <c r="CU126" s="522"/>
      <c r="CZ126" s="73">
        <v>3</v>
      </c>
      <c r="DA126" s="73">
        <v>3</v>
      </c>
      <c r="DB126" s="73">
        <v>26</v>
      </c>
      <c r="DC126" s="74">
        <f t="shared" ca="1" si="327"/>
        <v>45742</v>
      </c>
      <c r="DD126" s="68" t="str">
        <f t="shared" ca="1" si="367"/>
        <v>水</v>
      </c>
      <c r="DF126" s="155">
        <f t="shared" ref="DF126" ca="1" si="514">$DC126</f>
        <v>45742</v>
      </c>
      <c r="DG126" s="156" t="str">
        <f ca="1">IF($CH126&gt;=設定!$E$12,"✕",IF(SS予約表!$CG126&gt;=設定!$E$12,"△","○"))</f>
        <v>○</v>
      </c>
    </row>
    <row r="127" spans="1:111" ht="29.25" customHeight="1" thickBot="1">
      <c r="A127" s="284"/>
      <c r="B127" s="285"/>
      <c r="C127" s="286" t="s">
        <v>28</v>
      </c>
      <c r="D127" s="299"/>
      <c r="E127" s="300"/>
      <c r="F127" s="320">
        <v>10</v>
      </c>
      <c r="G127" s="324" t="s">
        <v>111</v>
      </c>
      <c r="H127" s="320"/>
      <c r="I127" s="321"/>
      <c r="J127" s="320"/>
      <c r="K127" s="324"/>
      <c r="L127" s="320"/>
      <c r="M127" s="321"/>
      <c r="N127" s="325" t="s">
        <v>39</v>
      </c>
      <c r="O127" s="392"/>
      <c r="P127" s="320"/>
      <c r="Q127" s="324"/>
      <c r="R127" s="320"/>
      <c r="S127" s="324"/>
      <c r="T127" s="362">
        <v>10</v>
      </c>
      <c r="U127" s="324" t="s">
        <v>49</v>
      </c>
      <c r="V127" s="320"/>
      <c r="W127" s="324"/>
      <c r="X127" s="362"/>
      <c r="Y127" s="321"/>
      <c r="Z127" s="294"/>
      <c r="AA127" s="295"/>
      <c r="AB127" s="296"/>
      <c r="AC127" s="463"/>
      <c r="AD127" s="464"/>
      <c r="AE127" s="320">
        <v>10</v>
      </c>
      <c r="AF127" s="324" t="s">
        <v>179</v>
      </c>
      <c r="AG127" s="320"/>
      <c r="AH127" s="324"/>
      <c r="AI127" s="320"/>
      <c r="AJ127" s="324"/>
      <c r="AK127" s="320">
        <v>10</v>
      </c>
      <c r="AL127" s="324" t="s">
        <v>50</v>
      </c>
      <c r="AM127" s="467" t="s">
        <v>39</v>
      </c>
      <c r="AN127" s="384"/>
      <c r="AO127" s="429"/>
      <c r="AP127" s="322"/>
      <c r="AQ127" s="319"/>
      <c r="AR127" s="323"/>
      <c r="AS127" s="320"/>
      <c r="AT127" s="321"/>
      <c r="AU127" s="320"/>
      <c r="AV127" s="401" t="s">
        <v>44</v>
      </c>
      <c r="AW127" s="376">
        <v>10</v>
      </c>
      <c r="AX127" s="318" t="s">
        <v>180</v>
      </c>
      <c r="AY127" s="449"/>
      <c r="AZ127" s="443"/>
      <c r="BA127" s="294"/>
      <c r="BB127" s="295"/>
      <c r="BC127" s="296"/>
      <c r="BD127" s="284"/>
      <c r="BE127" s="298"/>
      <c r="BF127" s="305"/>
      <c r="BG127" s="302"/>
      <c r="BH127" s="301"/>
      <c r="BI127" s="302"/>
      <c r="BJ127" s="301"/>
      <c r="BK127" s="302"/>
      <c r="BL127" s="301"/>
      <c r="BM127" s="302"/>
      <c r="BN127" s="301"/>
      <c r="BO127" s="302"/>
      <c r="BP127" s="301"/>
      <c r="BQ127" s="302"/>
      <c r="BR127" s="301"/>
      <c r="BS127" s="302"/>
      <c r="BT127" s="301"/>
      <c r="BU127" s="302"/>
      <c r="BV127" s="301"/>
      <c r="BW127" s="302"/>
      <c r="BX127" s="301"/>
      <c r="BY127" s="302"/>
      <c r="BZ127" s="306"/>
      <c r="CA127" s="304"/>
      <c r="CB127" s="294"/>
      <c r="CC127" s="295"/>
      <c r="CD127" s="296"/>
      <c r="CE127" s="284"/>
      <c r="CF127" s="298"/>
      <c r="CG127" s="307"/>
      <c r="CH127" s="308"/>
      <c r="CI127" s="309"/>
      <c r="CJ127" s="310"/>
      <c r="CK127" s="311"/>
      <c r="CL127" s="75"/>
      <c r="CN127" s="161"/>
      <c r="CO127" s="163"/>
      <c r="CP127" s="315"/>
      <c r="CQ127" s="316"/>
      <c r="CR127" s="317"/>
      <c r="CS127" s="316"/>
      <c r="CT127" s="317"/>
      <c r="CU127" s="316"/>
      <c r="CZ127" s="73">
        <v>3</v>
      </c>
      <c r="DA127" s="73">
        <v>3</v>
      </c>
      <c r="DB127" s="73">
        <v>26</v>
      </c>
      <c r="DC127" s="74">
        <f t="shared" ca="1" si="327"/>
        <v>45742</v>
      </c>
      <c r="DD127" s="68" t="str">
        <f t="shared" ca="1" si="367"/>
        <v>水</v>
      </c>
      <c r="DF127" s="156"/>
      <c r="DG127" s="156"/>
    </row>
    <row r="128" spans="1:111" ht="28.5" customHeight="1">
      <c r="A128" s="327">
        <f t="shared" si="336"/>
        <v>45743</v>
      </c>
      <c r="B128" s="365" t="str">
        <f t="shared" si="337"/>
        <v>木</v>
      </c>
      <c r="C128" s="329" t="s">
        <v>27</v>
      </c>
      <c r="D128" s="335"/>
      <c r="E128" s="347"/>
      <c r="F128" s="333"/>
      <c r="G128" s="336" t="s">
        <v>42</v>
      </c>
      <c r="H128" s="333"/>
      <c r="I128" s="381" t="s">
        <v>181</v>
      </c>
      <c r="J128" s="333"/>
      <c r="K128" s="336" t="s">
        <v>42</v>
      </c>
      <c r="L128" s="333"/>
      <c r="M128" s="381"/>
      <c r="N128" s="348" t="s">
        <v>39</v>
      </c>
      <c r="O128" s="396"/>
      <c r="P128" s="333"/>
      <c r="Q128" s="336" t="s">
        <v>44</v>
      </c>
      <c r="R128" s="333"/>
      <c r="S128" s="377"/>
      <c r="T128" s="370">
        <v>15</v>
      </c>
      <c r="U128" s="337"/>
      <c r="V128" s="333">
        <v>15</v>
      </c>
      <c r="W128" s="337" t="s">
        <v>91</v>
      </c>
      <c r="X128" s="370"/>
      <c r="Y128" s="381"/>
      <c r="Z128" s="342">
        <f t="shared" ref="Z128" ca="1" si="515">UDayCou(1,ROW())</f>
        <v>8</v>
      </c>
      <c r="AA128" s="343">
        <f t="shared" ref="AA128" ca="1" si="516">UNightCou(1,ROW())</f>
        <v>6</v>
      </c>
      <c r="AB128" s="344">
        <f t="shared" ref="AB128" ca="1" si="517">UNewCou(1,ROW())</f>
        <v>0</v>
      </c>
      <c r="AC128" s="461">
        <f t="shared" si="341"/>
        <v>45743</v>
      </c>
      <c r="AD128" s="462" t="str">
        <f t="shared" si="342"/>
        <v>木</v>
      </c>
      <c r="AE128" s="333"/>
      <c r="AF128" s="377"/>
      <c r="AG128" s="333"/>
      <c r="AH128" s="336" t="s">
        <v>42</v>
      </c>
      <c r="AI128" s="333"/>
      <c r="AJ128" s="336" t="s">
        <v>42</v>
      </c>
      <c r="AK128" s="333"/>
      <c r="AL128" s="336" t="s">
        <v>107</v>
      </c>
      <c r="AM128" s="468">
        <v>15</v>
      </c>
      <c r="AN128" s="448" t="s">
        <v>47</v>
      </c>
      <c r="AO128" s="430"/>
      <c r="AP128" s="336" t="s">
        <v>42</v>
      </c>
      <c r="AQ128" s="332"/>
      <c r="AR128" s="339" t="s">
        <v>55</v>
      </c>
      <c r="AS128" s="333"/>
      <c r="AT128" s="381"/>
      <c r="AU128" s="333"/>
      <c r="AV128" s="377" t="s">
        <v>44</v>
      </c>
      <c r="AW128" s="380"/>
      <c r="AX128" s="338" t="s">
        <v>55</v>
      </c>
      <c r="AY128" s="447"/>
      <c r="AZ128" s="444"/>
      <c r="BA128" s="342">
        <f ca="1">UDayCou(2,ROW())</f>
        <v>10</v>
      </c>
      <c r="BB128" s="343">
        <f ca="1">UNightCou(2,ROW())</f>
        <v>9</v>
      </c>
      <c r="BC128" s="344">
        <f ca="1">UNewCou(2,ROW())</f>
        <v>2</v>
      </c>
      <c r="BD128" s="327">
        <f t="shared" si="343"/>
        <v>45743</v>
      </c>
      <c r="BE128" s="371" t="str">
        <f t="shared" si="344"/>
        <v>木</v>
      </c>
      <c r="BF128" s="350"/>
      <c r="BG128" s="351"/>
      <c r="BH128" s="330"/>
      <c r="BI128" s="351"/>
      <c r="BJ128" s="330"/>
      <c r="BK128" s="351"/>
      <c r="BL128" s="330"/>
      <c r="BM128" s="351"/>
      <c r="BN128" s="330"/>
      <c r="BO128" s="351"/>
      <c r="BP128" s="330"/>
      <c r="BQ128" s="351"/>
      <c r="BR128" s="330"/>
      <c r="BS128" s="351"/>
      <c r="BT128" s="330"/>
      <c r="BU128" s="351"/>
      <c r="BV128" s="330"/>
      <c r="BW128" s="351"/>
      <c r="BX128" s="330"/>
      <c r="BY128" s="351"/>
      <c r="BZ128" s="389"/>
      <c r="CA128" s="341"/>
      <c r="CB128" s="342">
        <f ca="1">UDayCou(3,ROW())</f>
        <v>0</v>
      </c>
      <c r="CC128" s="343">
        <f ca="1">UNightCou(3,ROW())</f>
        <v>0</v>
      </c>
      <c r="CD128" s="344">
        <f ca="1">UNewCou(3,ROW())</f>
        <v>0</v>
      </c>
      <c r="CE128" s="327">
        <f t="shared" si="345"/>
        <v>45743</v>
      </c>
      <c r="CF128" s="371" t="str">
        <f t="shared" si="346"/>
        <v>木</v>
      </c>
      <c r="CG128" s="352">
        <f t="shared" ref="CG128" ca="1" si="518">Z128+BA128+CB128</f>
        <v>18</v>
      </c>
      <c r="CH128" s="353">
        <f t="shared" ref="CH128" ca="1" si="519">AA128+BB128+CC128</f>
        <v>15</v>
      </c>
      <c r="CI128" s="354">
        <f t="shared" ref="CI128" ca="1" si="520">AB128+BC128+CD128</f>
        <v>2</v>
      </c>
      <c r="CJ128" s="355">
        <f ca="1">COUNTIF(INDIRECT("D176:CA177"),"*●*")</f>
        <v>0</v>
      </c>
      <c r="CK128" s="356">
        <f ca="1">COUNTIF(INDIRECT("D176:CA177"),"*㋷*")</f>
        <v>0</v>
      </c>
      <c r="CL128" s="25" t="s">
        <v>182</v>
      </c>
      <c r="CM128" s="153">
        <f ca="1">年</f>
        <v>2025</v>
      </c>
      <c r="CN128" s="160">
        <f t="shared" si="350"/>
        <v>45743</v>
      </c>
      <c r="CO128" s="162" t="str">
        <f t="shared" si="351"/>
        <v>木</v>
      </c>
      <c r="CP128" s="357"/>
      <c r="CQ128" s="358"/>
      <c r="CR128" s="359"/>
      <c r="CS128" s="358"/>
      <c r="CT128" s="359"/>
      <c r="CU128" s="358"/>
      <c r="CZ128" s="73">
        <v>3</v>
      </c>
      <c r="DA128" s="73">
        <v>3</v>
      </c>
      <c r="DB128" s="73">
        <v>27</v>
      </c>
      <c r="DC128" s="74">
        <f t="shared" si="327"/>
        <v>45743</v>
      </c>
      <c r="DD128" s="68" t="str">
        <f t="shared" si="367"/>
        <v>木</v>
      </c>
      <c r="DF128" s="155">
        <f t="shared" ref="DF128" si="521">$DC128</f>
        <v>45743</v>
      </c>
      <c r="DG128" s="156" t="e">
        <f ca="1">IF($CH128&gt;=設定!$E$12,"✕",IF(SS予約表!$CG128&gt;=設定!$E$12,"△","○"))</f>
        <v>#NAME?</v>
      </c>
    </row>
    <row r="129" spans="1:112" ht="29.25" customHeight="1">
      <c r="A129" s="284"/>
      <c r="B129" s="285"/>
      <c r="C129" s="286" t="s">
        <v>28</v>
      </c>
      <c r="D129" s="299"/>
      <c r="E129" s="300"/>
      <c r="F129" s="320"/>
      <c r="G129" s="324"/>
      <c r="H129" s="320">
        <v>10</v>
      </c>
      <c r="I129" s="324" t="s">
        <v>183</v>
      </c>
      <c r="J129" s="320"/>
      <c r="K129" s="324"/>
      <c r="L129" s="449"/>
      <c r="M129" s="443"/>
      <c r="N129" s="325" t="s">
        <v>39</v>
      </c>
      <c r="O129" s="392"/>
      <c r="P129" s="320"/>
      <c r="Q129" s="324"/>
      <c r="R129" s="320"/>
      <c r="S129" s="324"/>
      <c r="T129" s="320"/>
      <c r="U129" s="321"/>
      <c r="V129" s="299"/>
      <c r="W129" s="300"/>
      <c r="X129" s="319"/>
      <c r="Y129" s="323"/>
      <c r="Z129" s="294"/>
      <c r="AA129" s="295"/>
      <c r="AB129" s="296"/>
      <c r="AC129" s="463"/>
      <c r="AD129" s="464"/>
      <c r="AE129" s="320"/>
      <c r="AF129" s="324"/>
      <c r="AG129" s="320"/>
      <c r="AH129" s="324"/>
      <c r="AI129" s="320"/>
      <c r="AJ129" s="324"/>
      <c r="AK129" s="320"/>
      <c r="AL129" s="324"/>
      <c r="AM129" s="319"/>
      <c r="AN129" s="323"/>
      <c r="AO129" s="429"/>
      <c r="AP129" s="322"/>
      <c r="AQ129" s="319">
        <v>10</v>
      </c>
      <c r="AR129" s="318" t="s">
        <v>184</v>
      </c>
      <c r="AS129" s="449">
        <v>10</v>
      </c>
      <c r="AT129" s="384" t="s">
        <v>185</v>
      </c>
      <c r="AU129" s="320"/>
      <c r="AV129" s="324"/>
      <c r="AW129" s="376"/>
      <c r="AX129" s="318"/>
      <c r="AY129" s="449"/>
      <c r="AZ129" s="443"/>
      <c r="BA129" s="294"/>
      <c r="BB129" s="295"/>
      <c r="BC129" s="296"/>
      <c r="BD129" s="284"/>
      <c r="BE129" s="298"/>
      <c r="BF129" s="305"/>
      <c r="BG129" s="302"/>
      <c r="BH129" s="301"/>
      <c r="BI129" s="302"/>
      <c r="BJ129" s="301"/>
      <c r="BK129" s="302"/>
      <c r="BL129" s="301"/>
      <c r="BM129" s="302"/>
      <c r="BN129" s="301"/>
      <c r="BO129" s="302"/>
      <c r="BP129" s="301"/>
      <c r="BQ129" s="302"/>
      <c r="BR129" s="301"/>
      <c r="BS129" s="302"/>
      <c r="BT129" s="301"/>
      <c r="BU129" s="302"/>
      <c r="BV129" s="301"/>
      <c r="BW129" s="302"/>
      <c r="BX129" s="301"/>
      <c r="BY129" s="302"/>
      <c r="BZ129" s="306"/>
      <c r="CA129" s="304"/>
      <c r="CB129" s="294"/>
      <c r="CC129" s="295"/>
      <c r="CD129" s="296"/>
      <c r="CE129" s="284"/>
      <c r="CF129" s="298"/>
      <c r="CG129" s="307"/>
      <c r="CH129" s="308"/>
      <c r="CI129" s="309"/>
      <c r="CJ129" s="310"/>
      <c r="CK129" s="311"/>
      <c r="CL129" s="26" t="s">
        <v>30</v>
      </c>
      <c r="CM129" s="154" t="s">
        <v>31</v>
      </c>
      <c r="CN129" s="161"/>
      <c r="CO129" s="163"/>
      <c r="CP129" s="315"/>
      <c r="CQ129" s="316"/>
      <c r="CR129" s="317"/>
      <c r="CS129" s="316"/>
      <c r="CT129" s="317"/>
      <c r="CU129" s="316"/>
      <c r="CZ129" s="73">
        <v>3</v>
      </c>
      <c r="DA129" s="73">
        <v>3</v>
      </c>
      <c r="DB129" s="73">
        <v>27</v>
      </c>
      <c r="DC129" s="74">
        <f t="shared" si="327"/>
        <v>45743</v>
      </c>
      <c r="DD129" s="68" t="str">
        <f t="shared" si="367"/>
        <v>木</v>
      </c>
      <c r="DF129" s="156"/>
      <c r="DG129" s="156"/>
    </row>
    <row r="130" spans="1:112" ht="28.5" customHeight="1">
      <c r="A130" s="327">
        <f t="shared" si="336"/>
        <v>45744</v>
      </c>
      <c r="B130" s="365" t="str">
        <f t="shared" si="337"/>
        <v>金</v>
      </c>
      <c r="C130" s="329" t="s">
        <v>27</v>
      </c>
      <c r="D130" s="335"/>
      <c r="E130" s="347"/>
      <c r="F130" s="333"/>
      <c r="G130" s="377"/>
      <c r="H130" s="333"/>
      <c r="I130" s="336" t="s">
        <v>13</v>
      </c>
      <c r="J130" s="333"/>
      <c r="K130" s="377"/>
      <c r="L130" s="447"/>
      <c r="M130" s="444"/>
      <c r="N130" s="348" t="s">
        <v>39</v>
      </c>
      <c r="O130" s="387" t="s">
        <v>44</v>
      </c>
      <c r="P130" s="333"/>
      <c r="Q130" s="336" t="s">
        <v>44</v>
      </c>
      <c r="R130" s="333"/>
      <c r="S130" s="336" t="s">
        <v>42</v>
      </c>
      <c r="T130" s="333"/>
      <c r="U130" s="381"/>
      <c r="V130" s="335"/>
      <c r="W130" s="347"/>
      <c r="X130" s="332"/>
      <c r="Y130" s="339"/>
      <c r="Z130" s="342">
        <f t="shared" ref="Z130" ca="1" si="522">UDayCou(1,ROW())</f>
        <v>6</v>
      </c>
      <c r="AA130" s="343">
        <f t="shared" ref="AA130" ca="1" si="523">UNightCou(1,ROW())</f>
        <v>6</v>
      </c>
      <c r="AB130" s="344">
        <f t="shared" ref="AB130" ca="1" si="524">UNewCou(1,ROW())</f>
        <v>0</v>
      </c>
      <c r="AC130" s="461">
        <f t="shared" si="341"/>
        <v>45744</v>
      </c>
      <c r="AD130" s="462" t="str">
        <f t="shared" si="342"/>
        <v>金</v>
      </c>
      <c r="AE130" s="333"/>
      <c r="AF130" s="377"/>
      <c r="AG130" s="333"/>
      <c r="AH130" s="336"/>
      <c r="AI130" s="333">
        <v>15</v>
      </c>
      <c r="AJ130" s="337" t="s">
        <v>47</v>
      </c>
      <c r="AK130" s="333">
        <v>15</v>
      </c>
      <c r="AL130" s="337" t="s">
        <v>186</v>
      </c>
      <c r="AM130" s="332"/>
      <c r="AN130" s="339"/>
      <c r="AO130" s="430"/>
      <c r="AP130" s="409"/>
      <c r="AQ130" s="332"/>
      <c r="AR130" s="338"/>
      <c r="AS130" s="447" t="s">
        <v>39</v>
      </c>
      <c r="AT130" s="390" t="s">
        <v>147</v>
      </c>
      <c r="AU130" s="333"/>
      <c r="AV130" s="336" t="s">
        <v>44</v>
      </c>
      <c r="AW130" s="380"/>
      <c r="AX130" s="336" t="s">
        <v>42</v>
      </c>
      <c r="AY130" s="447"/>
      <c r="AZ130" s="444"/>
      <c r="BA130" s="342">
        <f ca="1">UDayCou(2,ROW())</f>
        <v>9</v>
      </c>
      <c r="BB130" s="343">
        <f ca="1">UNightCou(2,ROW())</f>
        <v>7</v>
      </c>
      <c r="BC130" s="344">
        <f ca="1">UNewCou(2,ROW())</f>
        <v>2</v>
      </c>
      <c r="BD130" s="327">
        <f t="shared" si="343"/>
        <v>45744</v>
      </c>
      <c r="BE130" s="371" t="str">
        <f t="shared" si="344"/>
        <v>金</v>
      </c>
      <c r="BF130" s="350"/>
      <c r="BG130" s="351"/>
      <c r="BH130" s="330"/>
      <c r="BI130" s="351"/>
      <c r="BJ130" s="330"/>
      <c r="BK130" s="351"/>
      <c r="BL130" s="330"/>
      <c r="BM130" s="351"/>
      <c r="BN130" s="330"/>
      <c r="BO130" s="351"/>
      <c r="BP130" s="330"/>
      <c r="BQ130" s="351"/>
      <c r="BR130" s="330"/>
      <c r="BS130" s="351"/>
      <c r="BT130" s="330"/>
      <c r="BU130" s="351"/>
      <c r="BV130" s="330"/>
      <c r="BW130" s="351"/>
      <c r="BX130" s="330"/>
      <c r="BY130" s="351"/>
      <c r="BZ130" s="389"/>
      <c r="CA130" s="341"/>
      <c r="CB130" s="342">
        <f ca="1">UDayCou(3,ROW())</f>
        <v>0</v>
      </c>
      <c r="CC130" s="343">
        <f ca="1">UNightCou(3,ROW())</f>
        <v>0</v>
      </c>
      <c r="CD130" s="344">
        <f ca="1">UNewCou(3,ROW())</f>
        <v>0</v>
      </c>
      <c r="CE130" s="327">
        <f t="shared" si="345"/>
        <v>45744</v>
      </c>
      <c r="CF130" s="371" t="str">
        <f t="shared" si="346"/>
        <v>金</v>
      </c>
      <c r="CG130" s="352">
        <f t="shared" ref="CG130" ca="1" si="525">Z130+BA130+CB130</f>
        <v>15</v>
      </c>
      <c r="CH130" s="353">
        <f t="shared" ref="CH130" ca="1" si="526">AA130+BB130+CC130</f>
        <v>13</v>
      </c>
      <c r="CI130" s="354">
        <f t="shared" ref="CI130" ca="1" si="527">AB130+BC130+CD130</f>
        <v>2</v>
      </c>
      <c r="CJ130" s="355">
        <f ca="1">COUNTIF(INDIRECT("D178:CA179"),"*●*")</f>
        <v>0</v>
      </c>
      <c r="CK130" s="356">
        <f ca="1">COUNTIF(INDIRECT("D178:CA179"),"*㋷*")</f>
        <v>0</v>
      </c>
      <c r="CL130" s="171">
        <v>31</v>
      </c>
      <c r="CM130" s="173">
        <f ca="1">IFERROR(CM136/CL136,0)</f>
        <v>0.84698275862068972</v>
      </c>
      <c r="CN130" s="160">
        <f t="shared" si="350"/>
        <v>45744</v>
      </c>
      <c r="CO130" s="162" t="str">
        <f t="shared" si="351"/>
        <v>金</v>
      </c>
      <c r="CP130" s="357"/>
      <c r="CQ130" s="358"/>
      <c r="CR130" s="359"/>
      <c r="CS130" s="358"/>
      <c r="CT130" s="359"/>
      <c r="CU130" s="358"/>
      <c r="CZ130" s="73">
        <v>3</v>
      </c>
      <c r="DA130" s="73">
        <v>3</v>
      </c>
      <c r="DB130" s="73">
        <v>28</v>
      </c>
      <c r="DC130" s="74">
        <f t="shared" si="327"/>
        <v>45744</v>
      </c>
      <c r="DD130" s="68" t="str">
        <f t="shared" si="367"/>
        <v>金</v>
      </c>
      <c r="DF130" s="155">
        <f t="shared" ref="DF130" si="528">$DC130</f>
        <v>45744</v>
      </c>
      <c r="DG130" s="156" t="e">
        <f ca="1">IF($CH130&gt;=設定!$E$12,"✕",IF(SS予約表!$CG130&gt;=設定!$E$12,"△","○"))</f>
        <v>#NAME?</v>
      </c>
    </row>
    <row r="131" spans="1:112" ht="29.25" customHeight="1">
      <c r="A131" s="284"/>
      <c r="B131" s="285"/>
      <c r="C131" s="286" t="s">
        <v>28</v>
      </c>
      <c r="D131" s="299"/>
      <c r="E131" s="300"/>
      <c r="F131" s="320"/>
      <c r="G131" s="324"/>
      <c r="H131" s="320"/>
      <c r="I131" s="324"/>
      <c r="J131" s="320"/>
      <c r="K131" s="324"/>
      <c r="L131" s="449"/>
      <c r="M131" s="443"/>
      <c r="N131" s="325" t="s">
        <v>39</v>
      </c>
      <c r="O131" s="392"/>
      <c r="P131" s="320"/>
      <c r="Q131" s="324"/>
      <c r="R131" s="320"/>
      <c r="S131" s="324"/>
      <c r="T131" s="320"/>
      <c r="U131" s="321"/>
      <c r="V131" s="320"/>
      <c r="W131" s="321"/>
      <c r="X131" s="320"/>
      <c r="Y131" s="321"/>
      <c r="Z131" s="294"/>
      <c r="AA131" s="295"/>
      <c r="AB131" s="296"/>
      <c r="AC131" s="463"/>
      <c r="AD131" s="464"/>
      <c r="AE131" s="320"/>
      <c r="AF131" s="324"/>
      <c r="AG131" s="320"/>
      <c r="AH131" s="324"/>
      <c r="AI131" s="320"/>
      <c r="AJ131" s="321"/>
      <c r="AK131" s="320"/>
      <c r="AL131" s="321"/>
      <c r="AM131" s="320"/>
      <c r="AN131" s="321"/>
      <c r="AO131" s="429"/>
      <c r="AP131" s="322"/>
      <c r="AQ131" s="320"/>
      <c r="AR131" s="324"/>
      <c r="AS131" s="449" t="s">
        <v>39</v>
      </c>
      <c r="AT131" s="384"/>
      <c r="AU131" s="320"/>
      <c r="AV131" s="324"/>
      <c r="AW131" s="376"/>
      <c r="AX131" s="318"/>
      <c r="AY131" s="449"/>
      <c r="AZ131" s="443"/>
      <c r="BA131" s="294"/>
      <c r="BB131" s="295"/>
      <c r="BC131" s="296"/>
      <c r="BD131" s="284"/>
      <c r="BE131" s="298"/>
      <c r="BF131" s="305"/>
      <c r="BG131" s="302"/>
      <c r="BH131" s="301"/>
      <c r="BI131" s="302"/>
      <c r="BJ131" s="301"/>
      <c r="BK131" s="302"/>
      <c r="BL131" s="301"/>
      <c r="BM131" s="302"/>
      <c r="BN131" s="301"/>
      <c r="BO131" s="302"/>
      <c r="BP131" s="301"/>
      <c r="BQ131" s="302"/>
      <c r="BR131" s="301"/>
      <c r="BS131" s="302"/>
      <c r="BT131" s="301"/>
      <c r="BU131" s="302"/>
      <c r="BV131" s="301"/>
      <c r="BW131" s="302"/>
      <c r="BX131" s="301"/>
      <c r="BY131" s="302"/>
      <c r="BZ131" s="306"/>
      <c r="CA131" s="304"/>
      <c r="CB131" s="294"/>
      <c r="CC131" s="295"/>
      <c r="CD131" s="296"/>
      <c r="CE131" s="284"/>
      <c r="CF131" s="298"/>
      <c r="CG131" s="307"/>
      <c r="CH131" s="308"/>
      <c r="CI131" s="309"/>
      <c r="CJ131" s="310"/>
      <c r="CK131" s="311"/>
      <c r="CL131" s="172"/>
      <c r="CM131" s="174"/>
      <c r="CN131" s="161"/>
      <c r="CO131" s="163"/>
      <c r="CP131" s="315"/>
      <c r="CQ131" s="316"/>
      <c r="CR131" s="317"/>
      <c r="CS131" s="316"/>
      <c r="CT131" s="317"/>
      <c r="CU131" s="316"/>
      <c r="CZ131" s="73">
        <v>3</v>
      </c>
      <c r="DA131" s="73">
        <v>3</v>
      </c>
      <c r="DB131" s="73">
        <v>28</v>
      </c>
      <c r="DC131" s="74">
        <f t="shared" si="327"/>
        <v>45744</v>
      </c>
      <c r="DD131" s="68" t="str">
        <f t="shared" si="367"/>
        <v>金</v>
      </c>
      <c r="DF131" s="156"/>
      <c r="DG131" s="156"/>
    </row>
    <row r="132" spans="1:112" ht="28.5" customHeight="1">
      <c r="A132" s="327">
        <f t="shared" si="336"/>
        <v>45745</v>
      </c>
      <c r="B132" s="393" t="str">
        <f t="shared" si="337"/>
        <v>土</v>
      </c>
      <c r="C132" s="329" t="s">
        <v>27</v>
      </c>
      <c r="D132" s="335"/>
      <c r="E132" s="347" t="s">
        <v>187</v>
      </c>
      <c r="F132" s="333"/>
      <c r="G132" s="377"/>
      <c r="H132" s="333">
        <v>15</v>
      </c>
      <c r="I132" s="337" t="s">
        <v>51</v>
      </c>
      <c r="J132" s="333"/>
      <c r="K132" s="336"/>
      <c r="L132" s="447"/>
      <c r="M132" s="444" t="s">
        <v>55</v>
      </c>
      <c r="N132" s="348" t="s">
        <v>39</v>
      </c>
      <c r="O132" s="387" t="s">
        <v>135</v>
      </c>
      <c r="P132" s="333"/>
      <c r="Q132" s="336" t="s">
        <v>42</v>
      </c>
      <c r="R132" s="333"/>
      <c r="S132" s="377"/>
      <c r="T132" s="333"/>
      <c r="U132" s="378"/>
      <c r="V132" s="333"/>
      <c r="W132" s="381"/>
      <c r="X132" s="333"/>
      <c r="Y132" s="381"/>
      <c r="Z132" s="342">
        <f t="shared" ref="Z132" ca="1" si="529">UDayCou(1,ROW())</f>
        <v>9</v>
      </c>
      <c r="AA132" s="343">
        <f t="shared" ref="AA132" ca="1" si="530">UNightCou(1,ROW())</f>
        <v>8</v>
      </c>
      <c r="AB132" s="344">
        <f t="shared" ref="AB132" ca="1" si="531">UNewCou(1,ROW())</f>
        <v>1</v>
      </c>
      <c r="AC132" s="461">
        <f t="shared" si="341"/>
        <v>45745</v>
      </c>
      <c r="AD132" s="465" t="str">
        <f t="shared" si="342"/>
        <v>土</v>
      </c>
      <c r="AE132" s="333"/>
      <c r="AF132" s="336" t="s">
        <v>42</v>
      </c>
      <c r="AG132" s="333">
        <v>15</v>
      </c>
      <c r="AH132" s="337" t="s">
        <v>54</v>
      </c>
      <c r="AI132" s="333"/>
      <c r="AJ132" s="381"/>
      <c r="AK132" s="333"/>
      <c r="AL132" s="381"/>
      <c r="AM132" s="333"/>
      <c r="AN132" s="381"/>
      <c r="AO132" s="430"/>
      <c r="AP132" s="336"/>
      <c r="AQ132" s="333"/>
      <c r="AR132" s="336" t="s">
        <v>42</v>
      </c>
      <c r="AS132" s="447">
        <v>15</v>
      </c>
      <c r="AT132" s="448" t="s">
        <v>47</v>
      </c>
      <c r="AU132" s="333"/>
      <c r="AV132" s="336" t="s">
        <v>13</v>
      </c>
      <c r="AW132" s="402">
        <v>15</v>
      </c>
      <c r="AX132" s="366" t="s">
        <v>47</v>
      </c>
      <c r="AY132" s="447"/>
      <c r="AZ132" s="444"/>
      <c r="BA132" s="342">
        <f ca="1">UDayCou(2,ROW())</f>
        <v>10</v>
      </c>
      <c r="BB132" s="343">
        <f ca="1">UNightCou(2,ROW())</f>
        <v>7</v>
      </c>
      <c r="BC132" s="344">
        <f ca="1">UNewCou(2,ROW())</f>
        <v>2</v>
      </c>
      <c r="BD132" s="327">
        <f t="shared" si="343"/>
        <v>45745</v>
      </c>
      <c r="BE132" s="394" t="str">
        <f t="shared" si="344"/>
        <v>土</v>
      </c>
      <c r="BF132" s="350"/>
      <c r="BG132" s="351"/>
      <c r="BH132" s="330"/>
      <c r="BI132" s="351"/>
      <c r="BJ132" s="330"/>
      <c r="BK132" s="351"/>
      <c r="BL132" s="330"/>
      <c r="BM132" s="351"/>
      <c r="BN132" s="330"/>
      <c r="BO132" s="351"/>
      <c r="BP132" s="330"/>
      <c r="BQ132" s="351"/>
      <c r="BR132" s="330"/>
      <c r="BS132" s="351"/>
      <c r="BT132" s="330"/>
      <c r="BU132" s="351"/>
      <c r="BV132" s="330"/>
      <c r="BW132" s="351"/>
      <c r="BX132" s="330"/>
      <c r="BY132" s="351"/>
      <c r="BZ132" s="389"/>
      <c r="CA132" s="341"/>
      <c r="CB132" s="342">
        <f ca="1">UDayCou(3,ROW())</f>
        <v>0</v>
      </c>
      <c r="CC132" s="343">
        <f ca="1">UNightCou(3,ROW())</f>
        <v>0</v>
      </c>
      <c r="CD132" s="344">
        <f ca="1">UNewCou(3,ROW())</f>
        <v>0</v>
      </c>
      <c r="CE132" s="327">
        <f t="shared" si="345"/>
        <v>45745</v>
      </c>
      <c r="CF132" s="394" t="str">
        <f t="shared" si="346"/>
        <v>土</v>
      </c>
      <c r="CG132" s="352">
        <f t="shared" ref="CG132" ca="1" si="532">Z132+BA132+CB132</f>
        <v>19</v>
      </c>
      <c r="CH132" s="353">
        <f t="shared" ref="CH132" ca="1" si="533">AA132+BB132+CC132</f>
        <v>15</v>
      </c>
      <c r="CI132" s="354">
        <f t="shared" ref="CI132" ca="1" si="534">AB132+BC132+CD132</f>
        <v>3</v>
      </c>
      <c r="CJ132" s="355">
        <f ca="1">COUNTIF(INDIRECT("D180:CA181"),"*●*")</f>
        <v>0</v>
      </c>
      <c r="CK132" s="356">
        <f ca="1">COUNTIF(INDIRECT("D180:CA181"),"*㋷*")</f>
        <v>0</v>
      </c>
      <c r="CL132" s="26" t="s">
        <v>32</v>
      </c>
      <c r="CM132" s="154" t="s">
        <v>33</v>
      </c>
      <c r="CN132" s="160">
        <f t="shared" si="350"/>
        <v>45745</v>
      </c>
      <c r="CO132" s="167" t="str">
        <f t="shared" si="351"/>
        <v>土</v>
      </c>
      <c r="CP132" s="357"/>
      <c r="CQ132" s="358"/>
      <c r="CR132" s="359"/>
      <c r="CS132" s="358"/>
      <c r="CT132" s="359"/>
      <c r="CU132" s="358"/>
      <c r="CZ132" s="73">
        <v>3</v>
      </c>
      <c r="DA132" s="73">
        <v>3</v>
      </c>
      <c r="DB132" s="73">
        <v>29</v>
      </c>
      <c r="DC132" s="74">
        <f t="shared" si="327"/>
        <v>45745</v>
      </c>
      <c r="DD132" s="68" t="str">
        <f t="shared" si="367"/>
        <v>土</v>
      </c>
      <c r="DF132" s="155">
        <f t="shared" ref="DF132" si="535">$DC132</f>
        <v>45745</v>
      </c>
      <c r="DG132" s="156" t="e">
        <f ca="1">IF($CH132&gt;=設定!$E$12,"✕",IF(SS予約表!$CG132&gt;=設定!$E$12,"△","○"))</f>
        <v>#NAME?</v>
      </c>
    </row>
    <row r="133" spans="1:112" ht="29.25" customHeight="1">
      <c r="A133" s="284"/>
      <c r="B133" s="285"/>
      <c r="C133" s="286" t="s">
        <v>28</v>
      </c>
      <c r="D133" s="287">
        <v>10</v>
      </c>
      <c r="E133" s="324" t="s">
        <v>142</v>
      </c>
      <c r="F133" s="320"/>
      <c r="G133" s="324"/>
      <c r="H133" s="287"/>
      <c r="I133" s="321" t="s">
        <v>188</v>
      </c>
      <c r="J133" s="320"/>
      <c r="K133" s="324"/>
      <c r="L133" s="360">
        <v>10</v>
      </c>
      <c r="M133" s="324" t="s">
        <v>189</v>
      </c>
      <c r="N133" s="325" t="s">
        <v>39</v>
      </c>
      <c r="O133" s="392"/>
      <c r="P133" s="320"/>
      <c r="Q133" s="324"/>
      <c r="R133" s="320"/>
      <c r="S133" s="324"/>
      <c r="T133" s="320"/>
      <c r="U133" s="321"/>
      <c r="V133" s="320">
        <v>10</v>
      </c>
      <c r="W133" s="324" t="s">
        <v>142</v>
      </c>
      <c r="X133" s="320"/>
      <c r="Y133" s="321"/>
      <c r="Z133" s="294"/>
      <c r="AA133" s="295"/>
      <c r="AB133" s="296"/>
      <c r="AC133" s="463"/>
      <c r="AD133" s="464"/>
      <c r="AE133" s="320"/>
      <c r="AF133" s="324"/>
      <c r="AG133" s="320"/>
      <c r="AH133" s="321"/>
      <c r="AI133" s="320">
        <v>10</v>
      </c>
      <c r="AJ133" s="324" t="s">
        <v>190</v>
      </c>
      <c r="AK133" s="320">
        <v>10</v>
      </c>
      <c r="AL133" s="324" t="s">
        <v>190</v>
      </c>
      <c r="AM133" s="320">
        <v>10</v>
      </c>
      <c r="AN133" s="324" t="s">
        <v>84</v>
      </c>
      <c r="AO133" s="429"/>
      <c r="AP133" s="322"/>
      <c r="AQ133" s="320"/>
      <c r="AR133" s="324"/>
      <c r="AS133" s="320"/>
      <c r="AT133" s="321"/>
      <c r="AU133" s="320"/>
      <c r="AV133" s="324"/>
      <c r="AW133" s="320"/>
      <c r="AX133" s="321"/>
      <c r="AY133" s="449"/>
      <c r="AZ133" s="443"/>
      <c r="BA133" s="294"/>
      <c r="BB133" s="295"/>
      <c r="BC133" s="296"/>
      <c r="BD133" s="284"/>
      <c r="BE133" s="298"/>
      <c r="BF133" s="305"/>
      <c r="BG133" s="302"/>
      <c r="BH133" s="301"/>
      <c r="BI133" s="302"/>
      <c r="BJ133" s="301"/>
      <c r="BK133" s="302"/>
      <c r="BL133" s="301"/>
      <c r="BM133" s="302"/>
      <c r="BN133" s="301"/>
      <c r="BO133" s="302"/>
      <c r="BP133" s="301"/>
      <c r="BQ133" s="302"/>
      <c r="BR133" s="301"/>
      <c r="BS133" s="302"/>
      <c r="BT133" s="301"/>
      <c r="BU133" s="302"/>
      <c r="BV133" s="301"/>
      <c r="BW133" s="302"/>
      <c r="BX133" s="301"/>
      <c r="BY133" s="302"/>
      <c r="BZ133" s="306"/>
      <c r="CA133" s="304"/>
      <c r="CB133" s="294"/>
      <c r="CC133" s="295"/>
      <c r="CD133" s="296"/>
      <c r="CE133" s="284"/>
      <c r="CF133" s="298"/>
      <c r="CG133" s="307"/>
      <c r="CH133" s="308"/>
      <c r="CI133" s="309"/>
      <c r="CJ133" s="310"/>
      <c r="CK133" s="311"/>
      <c r="CL133" s="175">
        <f ca="1">SUM(CG76:CG137)</f>
        <v>464</v>
      </c>
      <c r="CM133" s="177">
        <f ca="1">SUM(CI76:CI137)</f>
        <v>71</v>
      </c>
      <c r="CN133" s="161"/>
      <c r="CO133" s="163"/>
      <c r="CP133" s="315"/>
      <c r="CQ133" s="316"/>
      <c r="CR133" s="317"/>
      <c r="CS133" s="316"/>
      <c r="CT133" s="317"/>
      <c r="CU133" s="316"/>
      <c r="CZ133" s="73">
        <v>3</v>
      </c>
      <c r="DA133" s="73">
        <v>3</v>
      </c>
      <c r="DB133" s="73">
        <v>29</v>
      </c>
      <c r="DC133" s="74">
        <f t="shared" si="327"/>
        <v>45745</v>
      </c>
      <c r="DD133" s="68" t="str">
        <f t="shared" si="367"/>
        <v>土</v>
      </c>
      <c r="DF133" s="156"/>
      <c r="DG133" s="156"/>
    </row>
    <row r="134" spans="1:112" ht="28.5" customHeight="1">
      <c r="A134" s="327">
        <f t="shared" si="336"/>
        <v>45746</v>
      </c>
      <c r="B134" s="328" t="str">
        <f t="shared" si="337"/>
        <v>日</v>
      </c>
      <c r="C134" s="329" t="s">
        <v>27</v>
      </c>
      <c r="D134" s="405"/>
      <c r="E134" s="336" t="s">
        <v>42</v>
      </c>
      <c r="F134" s="333"/>
      <c r="G134" s="336" t="s">
        <v>42</v>
      </c>
      <c r="H134" s="405"/>
      <c r="I134" s="378" t="s">
        <v>191</v>
      </c>
      <c r="J134" s="333"/>
      <c r="K134" s="336" t="s">
        <v>42</v>
      </c>
      <c r="L134" s="388">
        <v>15</v>
      </c>
      <c r="M134" s="375" t="s">
        <v>42</v>
      </c>
      <c r="N134" s="348" t="s">
        <v>39</v>
      </c>
      <c r="O134" s="387" t="s">
        <v>42</v>
      </c>
      <c r="P134" s="333">
        <v>15</v>
      </c>
      <c r="Q134" s="337" t="s">
        <v>192</v>
      </c>
      <c r="R134" s="333"/>
      <c r="S134" s="377"/>
      <c r="T134" s="333"/>
      <c r="U134" s="381"/>
      <c r="V134" s="333"/>
      <c r="W134" s="336" t="s">
        <v>42</v>
      </c>
      <c r="X134" s="333"/>
      <c r="Y134" s="378"/>
      <c r="Z134" s="342">
        <f t="shared" ref="Z134" ca="1" si="536">UDayCou(1,ROW())</f>
        <v>9</v>
      </c>
      <c r="AA134" s="343">
        <f t="shared" ref="AA134" ca="1" si="537">UNightCou(1,ROW())</f>
        <v>7</v>
      </c>
      <c r="AB134" s="344">
        <f t="shared" ref="AB134" ca="1" si="538">UNewCou(1,ROW())</f>
        <v>2</v>
      </c>
      <c r="AC134" s="461">
        <f t="shared" si="341"/>
        <v>45746</v>
      </c>
      <c r="AD134" s="466" t="str">
        <f t="shared" si="342"/>
        <v>日</v>
      </c>
      <c r="AE134" s="333">
        <v>15</v>
      </c>
      <c r="AF134" s="337" t="s">
        <v>114</v>
      </c>
      <c r="AG134" s="333"/>
      <c r="AH134" s="381"/>
      <c r="AI134" s="333"/>
      <c r="AJ134" s="377" t="s">
        <v>193</v>
      </c>
      <c r="AK134" s="333"/>
      <c r="AL134" s="377" t="s">
        <v>193</v>
      </c>
      <c r="AM134" s="333"/>
      <c r="AN134" s="377" t="s">
        <v>194</v>
      </c>
      <c r="AO134" s="430"/>
      <c r="AP134" s="336" t="s">
        <v>44</v>
      </c>
      <c r="AQ134" s="333"/>
      <c r="AR134" s="336"/>
      <c r="AS134" s="333"/>
      <c r="AT134" s="381"/>
      <c r="AU134" s="333"/>
      <c r="AV134" s="377" t="s">
        <v>195</v>
      </c>
      <c r="AW134" s="333"/>
      <c r="AX134" s="381"/>
      <c r="AY134" s="447"/>
      <c r="AZ134" s="444"/>
      <c r="BA134" s="342">
        <f ca="1">UDayCou(2,ROW())</f>
        <v>7</v>
      </c>
      <c r="BB134" s="343">
        <f ca="1">UNightCou(2,ROW())</f>
        <v>6</v>
      </c>
      <c r="BC134" s="344">
        <f ca="1">UNewCou(2,ROW())</f>
        <v>1</v>
      </c>
      <c r="BD134" s="327">
        <f t="shared" si="343"/>
        <v>45746</v>
      </c>
      <c r="BE134" s="346" t="str">
        <f t="shared" si="344"/>
        <v>日</v>
      </c>
      <c r="BF134" s="350"/>
      <c r="BG134" s="351"/>
      <c r="BH134" s="330"/>
      <c r="BI134" s="351"/>
      <c r="BJ134" s="330"/>
      <c r="BK134" s="351"/>
      <c r="BL134" s="330"/>
      <c r="BM134" s="351"/>
      <c r="BN134" s="330"/>
      <c r="BO134" s="351"/>
      <c r="BP134" s="330"/>
      <c r="BQ134" s="351"/>
      <c r="BR134" s="330"/>
      <c r="BS134" s="351"/>
      <c r="BT134" s="330"/>
      <c r="BU134" s="351"/>
      <c r="BV134" s="330"/>
      <c r="BW134" s="351"/>
      <c r="BX134" s="330"/>
      <c r="BY134" s="351"/>
      <c r="BZ134" s="389"/>
      <c r="CA134" s="341"/>
      <c r="CB134" s="342">
        <f ca="1">UDayCou(3,ROW())</f>
        <v>0</v>
      </c>
      <c r="CC134" s="343">
        <f ca="1">UNightCou(3,ROW())</f>
        <v>0</v>
      </c>
      <c r="CD134" s="344">
        <f ca="1">UNewCou(3,ROW())</f>
        <v>0</v>
      </c>
      <c r="CE134" s="327">
        <f t="shared" si="345"/>
        <v>45746</v>
      </c>
      <c r="CF134" s="346" t="str">
        <f t="shared" si="346"/>
        <v>日</v>
      </c>
      <c r="CG134" s="352">
        <f t="shared" ref="CG134" ca="1" si="539">Z134+BA134+CB134</f>
        <v>16</v>
      </c>
      <c r="CH134" s="353">
        <f t="shared" ref="CH134" ca="1" si="540">AA134+BB134+CC134</f>
        <v>13</v>
      </c>
      <c r="CI134" s="354">
        <f t="shared" ref="CI134" ca="1" si="541">AB134+BC134+CD134</f>
        <v>3</v>
      </c>
      <c r="CJ134" s="355">
        <f ca="1">COUNTIF(INDIRECT("D182:CA183"),"*●*")</f>
        <v>0</v>
      </c>
      <c r="CK134" s="356">
        <f ca="1">COUNTIF(INDIRECT("D182:CA183"),"*㋷*")</f>
        <v>0</v>
      </c>
      <c r="CL134" s="176"/>
      <c r="CM134" s="178"/>
      <c r="CN134" s="160">
        <f t="shared" si="350"/>
        <v>45746</v>
      </c>
      <c r="CO134" s="168" t="str">
        <f t="shared" si="351"/>
        <v>日</v>
      </c>
      <c r="CP134" s="357"/>
      <c r="CQ134" s="358"/>
      <c r="CR134" s="359"/>
      <c r="CS134" s="358"/>
      <c r="CT134" s="359"/>
      <c r="CU134" s="358"/>
      <c r="CZ134" s="73">
        <v>3</v>
      </c>
      <c r="DA134" s="73">
        <v>3</v>
      </c>
      <c r="DB134" s="73">
        <v>30</v>
      </c>
      <c r="DC134" s="74">
        <f t="shared" si="327"/>
        <v>45746</v>
      </c>
      <c r="DD134" s="68" t="str">
        <f t="shared" si="367"/>
        <v>日</v>
      </c>
      <c r="DF134" s="155">
        <f t="shared" ref="DF134" si="542">$DC134</f>
        <v>45746</v>
      </c>
      <c r="DG134" s="156" t="e">
        <f ca="1">IF($CH134&gt;=設定!$E$12,"✕",IF(SS予約表!$CG134&gt;=設定!$E$12,"△","○"))</f>
        <v>#NAME?</v>
      </c>
    </row>
    <row r="135" spans="1:112" ht="29.25" customHeight="1" thickBot="1">
      <c r="A135" s="284"/>
      <c r="B135" s="285"/>
      <c r="C135" s="286" t="s">
        <v>28</v>
      </c>
      <c r="D135" s="287"/>
      <c r="E135" s="324"/>
      <c r="F135" s="320"/>
      <c r="G135" s="324"/>
      <c r="H135" s="421">
        <v>10</v>
      </c>
      <c r="I135" s="324" t="s">
        <v>196</v>
      </c>
      <c r="J135" s="320"/>
      <c r="K135" s="324"/>
      <c r="L135" s="320"/>
      <c r="M135" s="321" t="s">
        <v>197</v>
      </c>
      <c r="N135" s="325" t="s">
        <v>39</v>
      </c>
      <c r="O135" s="392"/>
      <c r="P135" s="320"/>
      <c r="Q135" s="321"/>
      <c r="R135" s="320"/>
      <c r="S135" s="324"/>
      <c r="T135" s="320"/>
      <c r="U135" s="321"/>
      <c r="V135" s="320"/>
      <c r="W135" s="324"/>
      <c r="X135" s="320"/>
      <c r="Y135" s="321"/>
      <c r="Z135" s="294"/>
      <c r="AA135" s="295"/>
      <c r="AB135" s="296"/>
      <c r="AC135" s="463"/>
      <c r="AD135" s="464"/>
      <c r="AE135" s="422"/>
      <c r="AF135" s="423"/>
      <c r="AG135" s="320"/>
      <c r="AH135" s="321"/>
      <c r="AI135" s="320"/>
      <c r="AJ135" s="324"/>
      <c r="AK135" s="320"/>
      <c r="AL135" s="324"/>
      <c r="AM135" s="320"/>
      <c r="AN135" s="324"/>
      <c r="AO135" s="429"/>
      <c r="AP135" s="322"/>
      <c r="AQ135" s="320"/>
      <c r="AR135" s="324"/>
      <c r="AS135" s="320"/>
      <c r="AT135" s="321"/>
      <c r="AU135" s="320"/>
      <c r="AV135" s="324"/>
      <c r="AW135" s="411"/>
      <c r="AX135" s="300"/>
      <c r="AY135" s="325"/>
      <c r="AZ135" s="326"/>
      <c r="BA135" s="294"/>
      <c r="BB135" s="295"/>
      <c r="BC135" s="296"/>
      <c r="BD135" s="284"/>
      <c r="BE135" s="298"/>
      <c r="BF135" s="305"/>
      <c r="BG135" s="302"/>
      <c r="BH135" s="301"/>
      <c r="BI135" s="302"/>
      <c r="BJ135" s="301"/>
      <c r="BK135" s="302"/>
      <c r="BL135" s="301"/>
      <c r="BM135" s="302"/>
      <c r="BN135" s="301"/>
      <c r="BO135" s="302"/>
      <c r="BP135" s="301"/>
      <c r="BQ135" s="302"/>
      <c r="BR135" s="301"/>
      <c r="BS135" s="302"/>
      <c r="BT135" s="301"/>
      <c r="BU135" s="302"/>
      <c r="BV135" s="301"/>
      <c r="BW135" s="302"/>
      <c r="BX135" s="301"/>
      <c r="BY135" s="302"/>
      <c r="BZ135" s="306"/>
      <c r="CA135" s="304"/>
      <c r="CB135" s="294"/>
      <c r="CC135" s="295"/>
      <c r="CD135" s="296"/>
      <c r="CE135" s="284"/>
      <c r="CF135" s="298"/>
      <c r="CG135" s="307"/>
      <c r="CH135" s="308"/>
      <c r="CI135" s="309"/>
      <c r="CJ135" s="310"/>
      <c r="CK135" s="311"/>
      <c r="CL135" s="26" t="s">
        <v>34</v>
      </c>
      <c r="CM135" s="154" t="s">
        <v>35</v>
      </c>
      <c r="CN135" s="161"/>
      <c r="CO135" s="163"/>
      <c r="CP135" s="315"/>
      <c r="CQ135" s="316"/>
      <c r="CR135" s="317"/>
      <c r="CS135" s="316"/>
      <c r="CT135" s="317"/>
      <c r="CU135" s="316"/>
      <c r="CZ135" s="73">
        <v>3</v>
      </c>
      <c r="DA135" s="73">
        <v>3</v>
      </c>
      <c r="DB135" s="73">
        <v>30</v>
      </c>
      <c r="DC135" s="74">
        <f t="shared" si="327"/>
        <v>45746</v>
      </c>
      <c r="DD135" s="68" t="str">
        <f t="shared" si="367"/>
        <v>日</v>
      </c>
      <c r="DF135" s="156"/>
      <c r="DG135" s="156"/>
    </row>
    <row r="136" spans="1:112" ht="28.5" customHeight="1">
      <c r="A136" s="491">
        <f t="shared" si="336"/>
        <v>45747</v>
      </c>
      <c r="B136" s="524" t="str">
        <f t="shared" si="337"/>
        <v>月</v>
      </c>
      <c r="C136" s="493" t="s">
        <v>27</v>
      </c>
      <c r="D136" s="542">
        <v>15</v>
      </c>
      <c r="E136" s="501" t="s">
        <v>198</v>
      </c>
      <c r="F136" s="497">
        <v>15</v>
      </c>
      <c r="G136" s="501" t="s">
        <v>91</v>
      </c>
      <c r="H136" s="566"/>
      <c r="I136" s="500" t="s">
        <v>42</v>
      </c>
      <c r="J136" s="497"/>
      <c r="K136" s="527"/>
      <c r="L136" s="499"/>
      <c r="M136" s="511" t="s">
        <v>177</v>
      </c>
      <c r="N136" s="512">
        <v>15</v>
      </c>
      <c r="O136" s="567" t="s">
        <v>199</v>
      </c>
      <c r="P136" s="497"/>
      <c r="Q136" s="526"/>
      <c r="R136" s="497">
        <v>15</v>
      </c>
      <c r="S136" s="527" t="s">
        <v>200</v>
      </c>
      <c r="T136" s="497"/>
      <c r="U136" s="526" t="s">
        <v>55</v>
      </c>
      <c r="V136" s="497">
        <v>15</v>
      </c>
      <c r="W136" s="501" t="s">
        <v>198</v>
      </c>
      <c r="X136" s="497"/>
      <c r="Y136" s="526"/>
      <c r="Z136" s="506">
        <f t="shared" ref="Z136" ca="1" si="543">UDayCou(1,ROW())</f>
        <v>9</v>
      </c>
      <c r="AA136" s="507">
        <f t="shared" ref="AA136" ca="1" si="544">UNightCou(1,ROW())</f>
        <v>5</v>
      </c>
      <c r="AB136" s="508">
        <f t="shared" ref="AB136" ca="1" si="545">UNewCou(1,ROW())</f>
        <v>2</v>
      </c>
      <c r="AC136" s="559">
        <f t="shared" si="341"/>
        <v>45747</v>
      </c>
      <c r="AD136" s="560" t="str">
        <f t="shared" si="342"/>
        <v>月</v>
      </c>
      <c r="AE136" s="549"/>
      <c r="AF136" s="553"/>
      <c r="AG136" s="497"/>
      <c r="AH136" s="526" t="s">
        <v>55</v>
      </c>
      <c r="AI136" s="497">
        <v>15</v>
      </c>
      <c r="AJ136" s="501" t="s">
        <v>201</v>
      </c>
      <c r="AK136" s="497">
        <v>15</v>
      </c>
      <c r="AL136" s="501" t="s">
        <v>201</v>
      </c>
      <c r="AM136" s="497"/>
      <c r="AN136" s="500" t="s">
        <v>42</v>
      </c>
      <c r="AO136" s="547"/>
      <c r="AP136" s="500" t="s">
        <v>42</v>
      </c>
      <c r="AQ136" s="497">
        <v>15</v>
      </c>
      <c r="AR136" s="501" t="s">
        <v>47</v>
      </c>
      <c r="AS136" s="497"/>
      <c r="AT136" s="526"/>
      <c r="AU136" s="497"/>
      <c r="AV136" s="500" t="s">
        <v>39</v>
      </c>
      <c r="AW136" s="554"/>
      <c r="AX136" s="511"/>
      <c r="AY136" s="512"/>
      <c r="AZ136" s="513"/>
      <c r="BA136" s="506">
        <f ca="1">UDayCou(2,ROW())</f>
        <v>7</v>
      </c>
      <c r="BB136" s="507">
        <f ca="1">UNightCou(2,ROW())</f>
        <v>4</v>
      </c>
      <c r="BC136" s="508">
        <f ca="1">UNewCou(2,ROW())</f>
        <v>1</v>
      </c>
      <c r="BD136" s="491">
        <f t="shared" si="343"/>
        <v>45747</v>
      </c>
      <c r="BE136" s="531" t="str">
        <f t="shared" si="344"/>
        <v>月</v>
      </c>
      <c r="BF136" s="514"/>
      <c r="BG136" s="515"/>
      <c r="BH136" s="494"/>
      <c r="BI136" s="515"/>
      <c r="BJ136" s="494"/>
      <c r="BK136" s="515"/>
      <c r="BL136" s="494"/>
      <c r="BM136" s="515"/>
      <c r="BN136" s="494"/>
      <c r="BO136" s="515"/>
      <c r="BP136" s="494"/>
      <c r="BQ136" s="515"/>
      <c r="BR136" s="494"/>
      <c r="BS136" s="515"/>
      <c r="BT136" s="494"/>
      <c r="BU136" s="515"/>
      <c r="BV136" s="494"/>
      <c r="BW136" s="515"/>
      <c r="BX136" s="494"/>
      <c r="BY136" s="515"/>
      <c r="BZ136" s="530"/>
      <c r="CA136" s="505"/>
      <c r="CB136" s="506">
        <f ca="1">UDayCou(3,ROW())</f>
        <v>0</v>
      </c>
      <c r="CC136" s="507">
        <f ca="1">UNightCou(3,ROW())</f>
        <v>0</v>
      </c>
      <c r="CD136" s="508">
        <f ca="1">UNewCou(3,ROW())</f>
        <v>0</v>
      </c>
      <c r="CE136" s="491">
        <f t="shared" si="345"/>
        <v>45747</v>
      </c>
      <c r="CF136" s="531" t="str">
        <f t="shared" si="346"/>
        <v>月</v>
      </c>
      <c r="CG136" s="516">
        <f t="shared" ref="CG136" ca="1" si="546">Z136+BA136+CB136</f>
        <v>16</v>
      </c>
      <c r="CH136" s="517">
        <f t="shared" ref="CH136" ca="1" si="547">AA136+BB136+CC136</f>
        <v>9</v>
      </c>
      <c r="CI136" s="518">
        <f t="shared" ref="CI136" ca="1" si="548">AB136+BC136+CD136</f>
        <v>3</v>
      </c>
      <c r="CJ136" s="519">
        <f ca="1">COUNTIF(INDIRECT("D184:CA185"),"*●*")</f>
        <v>0</v>
      </c>
      <c r="CK136" s="520">
        <f ca="1">COUNTIF(INDIRECT("D184:CA185"),"*㋷*")</f>
        <v>0</v>
      </c>
      <c r="CL136" s="179">
        <f ca="1">CL133/CL130</f>
        <v>14.96774193548387</v>
      </c>
      <c r="CM136" s="181">
        <f ca="1">(CL133-CM133)/CL130</f>
        <v>12.67741935483871</v>
      </c>
      <c r="CN136" s="164">
        <f t="shared" si="350"/>
        <v>45747</v>
      </c>
      <c r="CO136" s="165" t="str">
        <f t="shared" si="351"/>
        <v>月</v>
      </c>
      <c r="CP136" s="521"/>
      <c r="CQ136" s="522"/>
      <c r="CR136" s="523"/>
      <c r="CS136" s="522"/>
      <c r="CT136" s="523"/>
      <c r="CU136" s="522"/>
      <c r="CZ136" s="73">
        <v>3</v>
      </c>
      <c r="DA136" s="73">
        <v>3</v>
      </c>
      <c r="DB136" s="73">
        <v>31</v>
      </c>
      <c r="DC136" s="74">
        <f t="shared" si="327"/>
        <v>45747</v>
      </c>
      <c r="DD136" s="68" t="str">
        <f t="shared" si="367"/>
        <v>月</v>
      </c>
      <c r="DF136" s="155">
        <f t="shared" ref="DF136" si="549">$DC136</f>
        <v>45747</v>
      </c>
      <c r="DG136" s="156" t="e">
        <f ca="1">IF($CH136&gt;=設定!$E$12,"✕",IF(SS予約表!$CG136&gt;=設定!$E$12,"△","○"))</f>
        <v>#NAME?</v>
      </c>
    </row>
    <row r="137" spans="1:112" ht="29.25" customHeight="1" thickBot="1">
      <c r="A137" s="284"/>
      <c r="B137" s="285"/>
      <c r="C137" s="286" t="s">
        <v>28</v>
      </c>
      <c r="D137" s="299"/>
      <c r="E137" s="300" t="s">
        <v>55</v>
      </c>
      <c r="F137" s="320"/>
      <c r="G137" s="321"/>
      <c r="H137" s="360"/>
      <c r="I137" s="324"/>
      <c r="J137" s="320"/>
      <c r="K137" s="324"/>
      <c r="L137" s="469">
        <v>10</v>
      </c>
      <c r="M137" s="445" t="s">
        <v>202</v>
      </c>
      <c r="N137" s="320"/>
      <c r="O137" s="321"/>
      <c r="P137" s="320"/>
      <c r="Q137" s="321"/>
      <c r="R137" s="320"/>
      <c r="S137" s="324"/>
      <c r="T137" s="320">
        <v>10</v>
      </c>
      <c r="U137" s="324" t="s">
        <v>145</v>
      </c>
      <c r="V137" s="320"/>
      <c r="W137" s="321" t="s">
        <v>55</v>
      </c>
      <c r="X137" s="287"/>
      <c r="Y137" s="321"/>
      <c r="Z137" s="294"/>
      <c r="AA137" s="295"/>
      <c r="AB137" s="296"/>
      <c r="AC137" s="463"/>
      <c r="AD137" s="464"/>
      <c r="AE137" s="320"/>
      <c r="AF137" s="321"/>
      <c r="AG137" s="320">
        <v>15</v>
      </c>
      <c r="AH137" s="324" t="s">
        <v>50</v>
      </c>
      <c r="AI137" s="320"/>
      <c r="AJ137" s="321"/>
      <c r="AK137" s="320"/>
      <c r="AL137" s="321"/>
      <c r="AM137" s="320"/>
      <c r="AN137" s="324"/>
      <c r="AO137" s="429"/>
      <c r="AP137" s="322"/>
      <c r="AQ137" s="320"/>
      <c r="AR137" s="321"/>
      <c r="AS137" s="320"/>
      <c r="AT137" s="321"/>
      <c r="AU137" s="320"/>
      <c r="AV137" s="324"/>
      <c r="AW137" s="411"/>
      <c r="AX137" s="470"/>
      <c r="AY137" s="325"/>
      <c r="AZ137" s="326"/>
      <c r="BA137" s="294"/>
      <c r="BB137" s="295"/>
      <c r="BC137" s="296"/>
      <c r="BD137" s="284"/>
      <c r="BE137" s="298"/>
      <c r="BF137" s="305"/>
      <c r="BG137" s="302"/>
      <c r="BH137" s="301"/>
      <c r="BI137" s="302"/>
      <c r="BJ137" s="301"/>
      <c r="BK137" s="302"/>
      <c r="BL137" s="301"/>
      <c r="BM137" s="302"/>
      <c r="BN137" s="301"/>
      <c r="BO137" s="302"/>
      <c r="BP137" s="301"/>
      <c r="BQ137" s="302"/>
      <c r="BR137" s="301"/>
      <c r="BS137" s="302"/>
      <c r="BT137" s="301"/>
      <c r="BU137" s="302"/>
      <c r="BV137" s="301"/>
      <c r="BW137" s="302"/>
      <c r="BX137" s="301"/>
      <c r="BY137" s="302"/>
      <c r="BZ137" s="306"/>
      <c r="CA137" s="304"/>
      <c r="CB137" s="294"/>
      <c r="CC137" s="295"/>
      <c r="CD137" s="296"/>
      <c r="CE137" s="284"/>
      <c r="CF137" s="298"/>
      <c r="CG137" s="307"/>
      <c r="CH137" s="308"/>
      <c r="CI137" s="309"/>
      <c r="CJ137" s="310"/>
      <c r="CK137" s="311"/>
      <c r="CL137" s="180"/>
      <c r="CM137" s="182"/>
      <c r="CN137" s="161"/>
      <c r="CO137" s="163"/>
      <c r="CP137" s="315"/>
      <c r="CQ137" s="316"/>
      <c r="CR137" s="317"/>
      <c r="CS137" s="316"/>
      <c r="CT137" s="317"/>
      <c r="CU137" s="316"/>
      <c r="CZ137" s="73">
        <v>3</v>
      </c>
      <c r="DA137" s="73">
        <v>3</v>
      </c>
      <c r="DB137" s="73">
        <v>31</v>
      </c>
      <c r="DC137" s="74">
        <f t="shared" si="327"/>
        <v>45747</v>
      </c>
      <c r="DD137" s="68" t="str">
        <f t="shared" si="367"/>
        <v>月</v>
      </c>
      <c r="DF137" s="156"/>
      <c r="DG137" s="156"/>
    </row>
    <row r="138" spans="1:112" ht="28.5" customHeight="1">
      <c r="A138" s="491">
        <f t="shared" si="336"/>
        <v>45748</v>
      </c>
      <c r="B138" s="524" t="str">
        <f t="shared" si="337"/>
        <v>火</v>
      </c>
      <c r="C138" s="493" t="s">
        <v>27</v>
      </c>
      <c r="D138" s="499"/>
      <c r="E138" s="511"/>
      <c r="F138" s="497"/>
      <c r="G138" s="526"/>
      <c r="H138" s="529" t="s">
        <v>67</v>
      </c>
      <c r="I138" s="527" t="s">
        <v>203</v>
      </c>
      <c r="J138" s="497" t="s">
        <v>67</v>
      </c>
      <c r="K138" s="527" t="s">
        <v>204</v>
      </c>
      <c r="L138" s="568" t="s">
        <v>67</v>
      </c>
      <c r="M138" s="569" t="s">
        <v>205</v>
      </c>
      <c r="N138" s="570"/>
      <c r="O138" s="526"/>
      <c r="P138" s="497"/>
      <c r="Q138" s="526"/>
      <c r="R138" s="497">
        <v>15</v>
      </c>
      <c r="S138" s="501" t="s">
        <v>206</v>
      </c>
      <c r="T138" s="497" t="s">
        <v>67</v>
      </c>
      <c r="U138" s="527" t="s">
        <v>207</v>
      </c>
      <c r="V138" s="497"/>
      <c r="W138" s="526"/>
      <c r="X138" s="542"/>
      <c r="Y138" s="526"/>
      <c r="Z138" s="506">
        <f t="shared" ref="Z138" ca="1" si="550">UDayCou(1,ROW())</f>
        <v>5</v>
      </c>
      <c r="AA138" s="507">
        <f t="shared" ref="AA138" ca="1" si="551">UNightCou(1,ROW())</f>
        <v>4</v>
      </c>
      <c r="AB138" s="508">
        <f t="shared" ref="AB138" ca="1" si="552">UNewCou(1,ROW())</f>
        <v>2</v>
      </c>
      <c r="AC138" s="559">
        <f t="shared" si="341"/>
        <v>45748</v>
      </c>
      <c r="AD138" s="560" t="str">
        <f t="shared" si="342"/>
        <v>火</v>
      </c>
      <c r="AE138" s="497"/>
      <c r="AF138" s="526"/>
      <c r="AG138" s="497" t="s">
        <v>67</v>
      </c>
      <c r="AH138" s="527" t="s">
        <v>208</v>
      </c>
      <c r="AI138" s="557"/>
      <c r="AJ138" s="555"/>
      <c r="AK138" s="497"/>
      <c r="AL138" s="526"/>
      <c r="AM138" s="497" t="s">
        <v>67</v>
      </c>
      <c r="AN138" s="527" t="s">
        <v>209</v>
      </c>
      <c r="AO138" s="547" t="s">
        <v>67</v>
      </c>
      <c r="AP138" s="548" t="s">
        <v>210</v>
      </c>
      <c r="AQ138" s="497"/>
      <c r="AR138" s="526"/>
      <c r="AS138" s="497"/>
      <c r="AT138" s="526"/>
      <c r="AU138" s="497" t="s">
        <v>67</v>
      </c>
      <c r="AV138" s="527" t="s">
        <v>211</v>
      </c>
      <c r="AW138" s="554"/>
      <c r="AX138" s="571"/>
      <c r="AY138" s="512"/>
      <c r="AZ138" s="513"/>
      <c r="BA138" s="506">
        <f ca="1">UDayCou(2,ROW())</f>
        <v>5</v>
      </c>
      <c r="BB138" s="507">
        <f ca="1">UNightCou(2,ROW())</f>
        <v>5</v>
      </c>
      <c r="BC138" s="508">
        <f ca="1">UNewCou(2,ROW())</f>
        <v>1</v>
      </c>
      <c r="BD138" s="491">
        <f t="shared" si="343"/>
        <v>45748</v>
      </c>
      <c r="BE138" s="531" t="str">
        <f t="shared" si="344"/>
        <v>火</v>
      </c>
      <c r="BF138" s="514"/>
      <c r="BG138" s="515"/>
      <c r="BH138" s="494"/>
      <c r="BI138" s="515"/>
      <c r="BJ138" s="494"/>
      <c r="BK138" s="515"/>
      <c r="BL138" s="494"/>
      <c r="BM138" s="515"/>
      <c r="BN138" s="494"/>
      <c r="BO138" s="515"/>
      <c r="BP138" s="494"/>
      <c r="BQ138" s="515"/>
      <c r="BR138" s="494"/>
      <c r="BS138" s="515"/>
      <c r="BT138" s="494"/>
      <c r="BU138" s="515"/>
      <c r="BV138" s="494"/>
      <c r="BW138" s="515"/>
      <c r="BX138" s="494"/>
      <c r="BY138" s="515"/>
      <c r="BZ138" s="530"/>
      <c r="CA138" s="505"/>
      <c r="CB138" s="506">
        <f ca="1">UDayCou(3,ROW())</f>
        <v>0</v>
      </c>
      <c r="CC138" s="507">
        <f ca="1">UNightCou(3,ROW())</f>
        <v>0</v>
      </c>
      <c r="CD138" s="508">
        <f ca="1">UNewCou(3,ROW())</f>
        <v>0</v>
      </c>
      <c r="CE138" s="491">
        <f t="shared" si="345"/>
        <v>45748</v>
      </c>
      <c r="CF138" s="531" t="str">
        <f t="shared" si="346"/>
        <v>火</v>
      </c>
      <c r="CG138" s="516">
        <f t="shared" ref="CG138" ca="1" si="553">Z138+BA138+CB138</f>
        <v>10</v>
      </c>
      <c r="CH138" s="517">
        <f t="shared" ref="CH138" ca="1" si="554">AA138+BB138+CC138</f>
        <v>9</v>
      </c>
      <c r="CI138" s="518">
        <f t="shared" ref="CI138" ca="1" si="555">AB138+BC138+CD138</f>
        <v>3</v>
      </c>
      <c r="CJ138" s="519">
        <f ca="1">COUNTIF(INDIRECT("D186:CA187"),"*●*")</f>
        <v>0</v>
      </c>
      <c r="CK138" s="520">
        <f ca="1">COUNTIF(INDIRECT("D186:CA187"),"*㋷*")</f>
        <v>0</v>
      </c>
      <c r="CL138" s="76"/>
      <c r="CM138" s="77"/>
      <c r="CN138" s="164">
        <f t="shared" si="350"/>
        <v>45748</v>
      </c>
      <c r="CO138" s="165" t="str">
        <f t="shared" si="351"/>
        <v>火</v>
      </c>
      <c r="CP138" s="521"/>
      <c r="CQ138" s="522"/>
      <c r="CR138" s="523"/>
      <c r="CS138" s="522"/>
      <c r="CT138" s="523"/>
      <c r="CU138" s="522"/>
      <c r="CZ138" s="73">
        <v>4</v>
      </c>
      <c r="DA138" s="73">
        <v>4</v>
      </c>
      <c r="DB138" s="73">
        <v>1</v>
      </c>
      <c r="DC138" s="74">
        <f t="shared" si="327"/>
        <v>45748</v>
      </c>
      <c r="DD138" s="68" t="str">
        <f t="shared" si="367"/>
        <v>火</v>
      </c>
      <c r="DF138" s="155">
        <f t="shared" ref="DF138" si="556">$DC138</f>
        <v>45748</v>
      </c>
      <c r="DG138" s="156" t="e">
        <f ca="1">IF($CH138&gt;=設定!$E$12,"✕",IF(SS予約表!$CG138&gt;=設定!$E$12,"△","○"))</f>
        <v>#NAME?</v>
      </c>
      <c r="DH138" s="68" t="s">
        <v>36</v>
      </c>
    </row>
    <row r="139" spans="1:112" ht="29.25" customHeight="1">
      <c r="A139" s="284"/>
      <c r="B139" s="285"/>
      <c r="C139" s="286" t="s">
        <v>28</v>
      </c>
      <c r="D139" s="320"/>
      <c r="E139" s="321"/>
      <c r="F139" s="320"/>
      <c r="G139" s="321"/>
      <c r="H139" s="360"/>
      <c r="I139" s="324"/>
      <c r="J139" s="320"/>
      <c r="K139" s="324"/>
      <c r="L139" s="469"/>
      <c r="M139" s="445"/>
      <c r="N139" s="320"/>
      <c r="O139" s="321"/>
      <c r="P139" s="320"/>
      <c r="Q139" s="321"/>
      <c r="R139" s="320"/>
      <c r="S139" s="321"/>
      <c r="T139" s="320"/>
      <c r="U139" s="401" t="s">
        <v>42</v>
      </c>
      <c r="V139" s="320"/>
      <c r="W139" s="321"/>
      <c r="X139" s="287"/>
      <c r="Y139" s="321"/>
      <c r="Z139" s="294"/>
      <c r="AA139" s="295"/>
      <c r="AB139" s="296"/>
      <c r="AC139" s="463"/>
      <c r="AD139" s="464"/>
      <c r="AE139" s="320"/>
      <c r="AF139" s="321"/>
      <c r="AG139" s="320"/>
      <c r="AH139" s="324"/>
      <c r="AI139" s="449"/>
      <c r="AJ139" s="443"/>
      <c r="AK139" s="320"/>
      <c r="AL139" s="321"/>
      <c r="AM139" s="320"/>
      <c r="AN139" s="324"/>
      <c r="AO139" s="429"/>
      <c r="AP139" s="322"/>
      <c r="AQ139" s="320"/>
      <c r="AR139" s="321"/>
      <c r="AS139" s="320">
        <v>10</v>
      </c>
      <c r="AT139" s="324" t="s">
        <v>50</v>
      </c>
      <c r="AU139" s="320"/>
      <c r="AV139" s="324"/>
      <c r="AW139" s="411"/>
      <c r="AX139" s="470"/>
      <c r="AY139" s="325"/>
      <c r="AZ139" s="326"/>
      <c r="BA139" s="294"/>
      <c r="BB139" s="295"/>
      <c r="BC139" s="296"/>
      <c r="BD139" s="284"/>
      <c r="BE139" s="298"/>
      <c r="BF139" s="305"/>
      <c r="BG139" s="302"/>
      <c r="BH139" s="301"/>
      <c r="BI139" s="302"/>
      <c r="BJ139" s="301"/>
      <c r="BK139" s="302"/>
      <c r="BL139" s="301"/>
      <c r="BM139" s="302"/>
      <c r="BN139" s="301"/>
      <c r="BO139" s="302"/>
      <c r="BP139" s="301"/>
      <c r="BQ139" s="302"/>
      <c r="BR139" s="301"/>
      <c r="BS139" s="302"/>
      <c r="BT139" s="301"/>
      <c r="BU139" s="302"/>
      <c r="BV139" s="301"/>
      <c r="BW139" s="302"/>
      <c r="BX139" s="301"/>
      <c r="BY139" s="302"/>
      <c r="BZ139" s="306"/>
      <c r="CA139" s="304"/>
      <c r="CB139" s="294"/>
      <c r="CC139" s="295"/>
      <c r="CD139" s="296"/>
      <c r="CE139" s="284"/>
      <c r="CF139" s="298"/>
      <c r="CG139" s="307"/>
      <c r="CH139" s="308"/>
      <c r="CI139" s="309"/>
      <c r="CJ139" s="310"/>
      <c r="CK139" s="311"/>
      <c r="CL139" s="75"/>
      <c r="CN139" s="161"/>
      <c r="CO139" s="163"/>
      <c r="CP139" s="315"/>
      <c r="CQ139" s="316"/>
      <c r="CR139" s="317"/>
      <c r="CS139" s="316"/>
      <c r="CT139" s="317"/>
      <c r="CU139" s="316"/>
      <c r="CZ139" s="73">
        <v>4</v>
      </c>
      <c r="DA139" s="73">
        <v>4</v>
      </c>
      <c r="DB139" s="73">
        <v>1</v>
      </c>
      <c r="DC139" s="74">
        <f t="shared" si="327"/>
        <v>45748</v>
      </c>
      <c r="DD139" s="68" t="str">
        <f t="shared" si="367"/>
        <v>火</v>
      </c>
      <c r="DF139" s="156"/>
      <c r="DG139" s="156"/>
    </row>
    <row r="140" spans="1:112" ht="28.5" customHeight="1">
      <c r="A140" s="327">
        <f t="shared" si="336"/>
        <v>45749</v>
      </c>
      <c r="B140" s="365" t="str">
        <f t="shared" si="337"/>
        <v>水</v>
      </c>
      <c r="C140" s="329" t="s">
        <v>27</v>
      </c>
      <c r="D140" s="333"/>
      <c r="E140" s="381"/>
      <c r="F140" s="333"/>
      <c r="G140" s="381"/>
      <c r="H140" s="368"/>
      <c r="I140" s="377"/>
      <c r="J140" s="333"/>
      <c r="K140" s="336" t="s">
        <v>42</v>
      </c>
      <c r="L140" s="471"/>
      <c r="M140" s="472"/>
      <c r="N140" s="333"/>
      <c r="O140" s="381"/>
      <c r="P140" s="333"/>
      <c r="Q140" s="381"/>
      <c r="R140" s="333"/>
      <c r="S140" s="381"/>
      <c r="T140" s="333"/>
      <c r="U140" s="377"/>
      <c r="V140" s="333"/>
      <c r="W140" s="381"/>
      <c r="X140" s="405"/>
      <c r="Y140" s="381"/>
      <c r="Z140" s="342">
        <f t="shared" ref="Z140" ca="1" si="557">UDayCou(1,ROW())</f>
        <v>6</v>
      </c>
      <c r="AA140" s="343">
        <f t="shared" ref="AA140" ca="1" si="558">UNightCou(1,ROW())</f>
        <v>6</v>
      </c>
      <c r="AB140" s="344">
        <f t="shared" ref="AB140" ca="1" si="559">UNewCou(1,ROW())</f>
        <v>2</v>
      </c>
      <c r="AC140" s="461">
        <f t="shared" si="341"/>
        <v>45749</v>
      </c>
      <c r="AD140" s="462" t="str">
        <f t="shared" si="342"/>
        <v>水</v>
      </c>
      <c r="AE140" s="333"/>
      <c r="AF140" s="381"/>
      <c r="AG140" s="333"/>
      <c r="AH140" s="377" t="s">
        <v>212</v>
      </c>
      <c r="AI140" s="447"/>
      <c r="AJ140" s="444"/>
      <c r="AK140" s="333"/>
      <c r="AL140" s="381"/>
      <c r="AM140" s="333"/>
      <c r="AN140" s="336" t="s">
        <v>39</v>
      </c>
      <c r="AO140" s="430"/>
      <c r="AP140" s="336" t="s">
        <v>39</v>
      </c>
      <c r="AQ140" s="333"/>
      <c r="AR140" s="381"/>
      <c r="AS140" s="333"/>
      <c r="AT140" s="377"/>
      <c r="AU140" s="333"/>
      <c r="AV140" s="377"/>
      <c r="AW140" s="440"/>
      <c r="AX140" s="474"/>
      <c r="AY140" s="348"/>
      <c r="AZ140" s="349"/>
      <c r="BA140" s="342">
        <f ca="1">UDayCou(2,ROW())</f>
        <v>6</v>
      </c>
      <c r="BB140" s="343">
        <f ca="1">UNightCou(2,ROW())</f>
        <v>6</v>
      </c>
      <c r="BC140" s="344">
        <f ca="1">UNewCou(2,ROW())</f>
        <v>1</v>
      </c>
      <c r="BD140" s="327">
        <f t="shared" si="343"/>
        <v>45749</v>
      </c>
      <c r="BE140" s="371" t="str">
        <f t="shared" si="344"/>
        <v>水</v>
      </c>
      <c r="BF140" s="350"/>
      <c r="BG140" s="351"/>
      <c r="BH140" s="330"/>
      <c r="BI140" s="351"/>
      <c r="BJ140" s="330"/>
      <c r="BK140" s="351"/>
      <c r="BL140" s="330"/>
      <c r="BM140" s="351"/>
      <c r="BN140" s="330"/>
      <c r="BO140" s="351"/>
      <c r="BP140" s="330"/>
      <c r="BQ140" s="351"/>
      <c r="BR140" s="330"/>
      <c r="BS140" s="351"/>
      <c r="BT140" s="330"/>
      <c r="BU140" s="351"/>
      <c r="BV140" s="330"/>
      <c r="BW140" s="351"/>
      <c r="BX140" s="330"/>
      <c r="BY140" s="351"/>
      <c r="BZ140" s="389"/>
      <c r="CA140" s="341"/>
      <c r="CB140" s="342">
        <f ca="1">UDayCou(3,ROW())</f>
        <v>0</v>
      </c>
      <c r="CC140" s="343">
        <f ca="1">UNightCou(3,ROW())</f>
        <v>0</v>
      </c>
      <c r="CD140" s="344">
        <f ca="1">UNewCou(3,ROW())</f>
        <v>0</v>
      </c>
      <c r="CE140" s="327">
        <f t="shared" si="345"/>
        <v>45749</v>
      </c>
      <c r="CF140" s="371" t="str">
        <f t="shared" si="346"/>
        <v>水</v>
      </c>
      <c r="CG140" s="352">
        <f t="shared" ref="CG140" ca="1" si="560">Z140+BA140+CB140</f>
        <v>12</v>
      </c>
      <c r="CH140" s="353">
        <f t="shared" ref="CH140" ca="1" si="561">AA140+BB140+CC140</f>
        <v>12</v>
      </c>
      <c r="CI140" s="354">
        <f t="shared" ref="CI140" ca="1" si="562">AB140+BC140+CD140</f>
        <v>3</v>
      </c>
      <c r="CJ140" s="355">
        <f ca="1">COUNTIF(INDIRECT("D188:CA189"),"*●*")</f>
        <v>0</v>
      </c>
      <c r="CK140" s="356">
        <f ca="1">COUNTIF(INDIRECT("D188:CA189"),"*㋷*")</f>
        <v>0</v>
      </c>
      <c r="CL140" s="75"/>
      <c r="CN140" s="160">
        <f t="shared" si="350"/>
        <v>45749</v>
      </c>
      <c r="CO140" s="162" t="str">
        <f t="shared" si="351"/>
        <v>水</v>
      </c>
      <c r="CP140" s="357"/>
      <c r="CQ140" s="358"/>
      <c r="CR140" s="359"/>
      <c r="CS140" s="358"/>
      <c r="CT140" s="359"/>
      <c r="CU140" s="358"/>
      <c r="CZ140" s="73">
        <v>4</v>
      </c>
      <c r="DA140" s="73">
        <v>4</v>
      </c>
      <c r="DB140" s="73">
        <v>2</v>
      </c>
      <c r="DC140" s="74">
        <f t="shared" ref="DC140:DC203" si="563">DATE($A$2,$DA140,$DB140)</f>
        <v>45749</v>
      </c>
      <c r="DD140" s="68" t="str">
        <f t="shared" si="367"/>
        <v>水</v>
      </c>
      <c r="DF140" s="155">
        <f t="shared" ref="DF140" si="564">$DC140</f>
        <v>45749</v>
      </c>
      <c r="DG140" s="156" t="e">
        <f ca="1">IF($CH140&gt;=設定!$E$12,"✕",IF(SS予約表!$CG140&gt;=設定!$E$12,"△","○"))</f>
        <v>#NAME?</v>
      </c>
    </row>
    <row r="141" spans="1:112" ht="29.25" customHeight="1">
      <c r="A141" s="284"/>
      <c r="B141" s="285"/>
      <c r="C141" s="286" t="s">
        <v>28</v>
      </c>
      <c r="D141" s="320"/>
      <c r="E141" s="321"/>
      <c r="F141" s="320"/>
      <c r="G141" s="321"/>
      <c r="H141" s="360"/>
      <c r="I141" s="324"/>
      <c r="J141" s="320"/>
      <c r="K141" s="324"/>
      <c r="L141" s="469"/>
      <c r="M141" s="445"/>
      <c r="N141" s="320">
        <v>10</v>
      </c>
      <c r="O141" s="324" t="s">
        <v>213</v>
      </c>
      <c r="P141" s="320">
        <v>10</v>
      </c>
      <c r="Q141" s="324" t="s">
        <v>213</v>
      </c>
      <c r="R141" s="320"/>
      <c r="S141" s="321"/>
      <c r="T141" s="320"/>
      <c r="U141" s="324"/>
      <c r="V141" s="320"/>
      <c r="W141" s="321"/>
      <c r="X141" s="287"/>
      <c r="Y141" s="321"/>
      <c r="Z141" s="294"/>
      <c r="AA141" s="295"/>
      <c r="AB141" s="296"/>
      <c r="AC141" s="463"/>
      <c r="AD141" s="464"/>
      <c r="AE141" s="320"/>
      <c r="AF141" s="321"/>
      <c r="AG141" s="320"/>
      <c r="AH141" s="324"/>
      <c r="AI141" s="320"/>
      <c r="AJ141" s="321"/>
      <c r="AK141" s="320"/>
      <c r="AL141" s="321"/>
      <c r="AM141" s="320"/>
      <c r="AN141" s="324"/>
      <c r="AO141" s="429"/>
      <c r="AP141" s="322"/>
      <c r="AQ141" s="320">
        <v>10</v>
      </c>
      <c r="AR141" s="324" t="s">
        <v>50</v>
      </c>
      <c r="AS141" s="320"/>
      <c r="AT141" s="324"/>
      <c r="AU141" s="320"/>
      <c r="AV141" s="324"/>
      <c r="AW141" s="411"/>
      <c r="AX141" s="470"/>
      <c r="AY141" s="325"/>
      <c r="AZ141" s="326"/>
      <c r="BA141" s="294"/>
      <c r="BB141" s="295"/>
      <c r="BC141" s="296"/>
      <c r="BD141" s="284"/>
      <c r="BE141" s="298"/>
      <c r="BF141" s="305"/>
      <c r="BG141" s="302"/>
      <c r="BH141" s="301"/>
      <c r="BI141" s="302"/>
      <c r="BJ141" s="301"/>
      <c r="BK141" s="302"/>
      <c r="BL141" s="301"/>
      <c r="BM141" s="302"/>
      <c r="BN141" s="301"/>
      <c r="BO141" s="302"/>
      <c r="BP141" s="301"/>
      <c r="BQ141" s="302"/>
      <c r="BR141" s="301"/>
      <c r="BS141" s="302"/>
      <c r="BT141" s="301"/>
      <c r="BU141" s="302"/>
      <c r="BV141" s="301"/>
      <c r="BW141" s="302"/>
      <c r="BX141" s="301"/>
      <c r="BY141" s="302"/>
      <c r="BZ141" s="306"/>
      <c r="CA141" s="304"/>
      <c r="CB141" s="294"/>
      <c r="CC141" s="295"/>
      <c r="CD141" s="296"/>
      <c r="CE141" s="284"/>
      <c r="CF141" s="298"/>
      <c r="CG141" s="307"/>
      <c r="CH141" s="308"/>
      <c r="CI141" s="309"/>
      <c r="CJ141" s="310"/>
      <c r="CK141" s="311"/>
      <c r="CL141" s="75"/>
      <c r="CN141" s="161"/>
      <c r="CO141" s="163"/>
      <c r="CP141" s="315"/>
      <c r="CQ141" s="316"/>
      <c r="CR141" s="317"/>
      <c r="CS141" s="316"/>
      <c r="CT141" s="317"/>
      <c r="CU141" s="316"/>
      <c r="CZ141" s="73">
        <v>4</v>
      </c>
      <c r="DA141" s="73">
        <v>4</v>
      </c>
      <c r="DB141" s="73">
        <v>2</v>
      </c>
      <c r="DC141" s="74">
        <f t="shared" si="563"/>
        <v>45749</v>
      </c>
      <c r="DD141" s="68" t="str">
        <f t="shared" si="367"/>
        <v>水</v>
      </c>
      <c r="DF141" s="156"/>
      <c r="DG141" s="156"/>
    </row>
    <row r="142" spans="1:112" ht="28.5" customHeight="1">
      <c r="A142" s="327">
        <f t="shared" si="336"/>
        <v>45750</v>
      </c>
      <c r="B142" s="365" t="str">
        <f t="shared" si="337"/>
        <v>木</v>
      </c>
      <c r="C142" s="329" t="s">
        <v>27</v>
      </c>
      <c r="D142" s="333"/>
      <c r="E142" s="381"/>
      <c r="F142" s="333"/>
      <c r="G142" s="381" t="s">
        <v>54</v>
      </c>
      <c r="H142" s="368"/>
      <c r="I142" s="336" t="s">
        <v>42</v>
      </c>
      <c r="J142" s="333"/>
      <c r="K142" s="336"/>
      <c r="L142" s="471"/>
      <c r="M142" s="472"/>
      <c r="N142" s="333">
        <v>15</v>
      </c>
      <c r="O142" s="337"/>
      <c r="P142" s="333">
        <v>15</v>
      </c>
      <c r="Q142" s="337"/>
      <c r="R142" s="333"/>
      <c r="S142" s="381"/>
      <c r="T142" s="333"/>
      <c r="U142" s="377"/>
      <c r="V142" s="333"/>
      <c r="W142" s="381"/>
      <c r="X142" s="405"/>
      <c r="Y142" s="381"/>
      <c r="Z142" s="342">
        <f t="shared" ref="Z142" ca="1" si="565">UDayCou(1,ROW())</f>
        <v>7</v>
      </c>
      <c r="AA142" s="343">
        <f t="shared" ref="AA142" ca="1" si="566">UNightCou(1,ROW())</f>
        <v>5</v>
      </c>
      <c r="AB142" s="344">
        <f t="shared" ref="AB142" ca="1" si="567">UNewCou(1,ROW())</f>
        <v>2</v>
      </c>
      <c r="AC142" s="461">
        <f t="shared" si="341"/>
        <v>45750</v>
      </c>
      <c r="AD142" s="462" t="str">
        <f t="shared" si="342"/>
        <v>木</v>
      </c>
      <c r="AE142" s="333"/>
      <c r="AF142" s="378"/>
      <c r="AG142" s="333"/>
      <c r="AH142" s="336" t="s">
        <v>42</v>
      </c>
      <c r="AI142" s="333"/>
      <c r="AJ142" s="381"/>
      <c r="AK142" s="333"/>
      <c r="AL142" s="381"/>
      <c r="AM142" s="333"/>
      <c r="AN142" s="336" t="s">
        <v>42</v>
      </c>
      <c r="AO142" s="430"/>
      <c r="AP142" s="336" t="s">
        <v>42</v>
      </c>
      <c r="AQ142" s="333"/>
      <c r="AR142" s="336" t="s">
        <v>42</v>
      </c>
      <c r="AS142" s="333"/>
      <c r="AT142" s="377"/>
      <c r="AU142" s="333"/>
      <c r="AV142" s="336" t="s">
        <v>39</v>
      </c>
      <c r="AW142" s="440"/>
      <c r="AX142" s="474"/>
      <c r="AY142" s="348"/>
      <c r="AZ142" s="349"/>
      <c r="BA142" s="342">
        <f ca="1">UDayCou(2,ROW())</f>
        <v>6</v>
      </c>
      <c r="BB142" s="343">
        <f ca="1">UNightCou(2,ROW())</f>
        <v>6</v>
      </c>
      <c r="BC142" s="344">
        <f ca="1">UNewCou(2,ROW())</f>
        <v>1</v>
      </c>
      <c r="BD142" s="327">
        <f t="shared" si="343"/>
        <v>45750</v>
      </c>
      <c r="BE142" s="371" t="str">
        <f t="shared" si="344"/>
        <v>木</v>
      </c>
      <c r="BF142" s="350"/>
      <c r="BG142" s="351"/>
      <c r="BH142" s="330"/>
      <c r="BI142" s="351"/>
      <c r="BJ142" s="330"/>
      <c r="BK142" s="351"/>
      <c r="BL142" s="330"/>
      <c r="BM142" s="351"/>
      <c r="BN142" s="330"/>
      <c r="BO142" s="351"/>
      <c r="BP142" s="330"/>
      <c r="BQ142" s="351"/>
      <c r="BR142" s="330"/>
      <c r="BS142" s="351"/>
      <c r="BT142" s="330"/>
      <c r="BU142" s="351"/>
      <c r="BV142" s="330"/>
      <c r="BW142" s="351"/>
      <c r="BX142" s="330"/>
      <c r="BY142" s="351"/>
      <c r="BZ142" s="389"/>
      <c r="CA142" s="341"/>
      <c r="CB142" s="342">
        <f ca="1">UDayCou(3,ROW())</f>
        <v>0</v>
      </c>
      <c r="CC142" s="343">
        <f ca="1">UNightCou(3,ROW())</f>
        <v>0</v>
      </c>
      <c r="CD142" s="344">
        <f ca="1">UNewCou(3,ROW())</f>
        <v>0</v>
      </c>
      <c r="CE142" s="327">
        <f t="shared" si="345"/>
        <v>45750</v>
      </c>
      <c r="CF142" s="371" t="str">
        <f t="shared" si="346"/>
        <v>木</v>
      </c>
      <c r="CG142" s="352">
        <f t="shared" ref="CG142" ca="1" si="568">Z142+BA142+CB142</f>
        <v>13</v>
      </c>
      <c r="CH142" s="353">
        <f t="shared" ref="CH142" ca="1" si="569">AA142+BB142+CC142</f>
        <v>11</v>
      </c>
      <c r="CI142" s="354">
        <f t="shared" ref="CI142" ca="1" si="570">AB142+BC142+CD142</f>
        <v>3</v>
      </c>
      <c r="CJ142" s="355">
        <f ca="1">COUNTIF(INDIRECT("D190:CA191"),"*●*")</f>
        <v>0</v>
      </c>
      <c r="CK142" s="356">
        <f ca="1">COUNTIF(INDIRECT("D190:CA191"),"*㋷*")</f>
        <v>0</v>
      </c>
      <c r="CL142" s="75"/>
      <c r="CN142" s="160">
        <f t="shared" si="350"/>
        <v>45750</v>
      </c>
      <c r="CO142" s="162" t="str">
        <f t="shared" si="351"/>
        <v>木</v>
      </c>
      <c r="CP142" s="357"/>
      <c r="CQ142" s="358"/>
      <c r="CR142" s="359"/>
      <c r="CS142" s="358"/>
      <c r="CT142" s="359"/>
      <c r="CU142" s="358"/>
      <c r="CZ142" s="73">
        <v>4</v>
      </c>
      <c r="DA142" s="73">
        <v>4</v>
      </c>
      <c r="DB142" s="73">
        <v>3</v>
      </c>
      <c r="DC142" s="74">
        <f t="shared" si="563"/>
        <v>45750</v>
      </c>
      <c r="DD142" s="68" t="str">
        <f t="shared" si="367"/>
        <v>木</v>
      </c>
      <c r="DF142" s="155">
        <f t="shared" ref="DF142" si="571">$DC142</f>
        <v>45750</v>
      </c>
      <c r="DG142" s="156" t="e">
        <f ca="1">IF($CH142&gt;=設定!$E$12,"✕",IF(SS予約表!$CG142&gt;=設定!$E$12,"△","○"))</f>
        <v>#NAME?</v>
      </c>
    </row>
    <row r="143" spans="1:112" ht="29.25" customHeight="1">
      <c r="A143" s="284"/>
      <c r="B143" s="285"/>
      <c r="C143" s="286" t="s">
        <v>28</v>
      </c>
      <c r="D143" s="320"/>
      <c r="E143" s="321"/>
      <c r="F143" s="320">
        <v>10</v>
      </c>
      <c r="G143" s="324" t="s">
        <v>214</v>
      </c>
      <c r="H143" s="360"/>
      <c r="I143" s="324"/>
      <c r="J143" s="320"/>
      <c r="K143" s="324"/>
      <c r="L143" s="469"/>
      <c r="M143" s="445"/>
      <c r="N143" s="320"/>
      <c r="O143" s="321"/>
      <c r="P143" s="320"/>
      <c r="Q143" s="321"/>
      <c r="R143" s="320"/>
      <c r="S143" s="321"/>
      <c r="T143" s="320"/>
      <c r="U143" s="324"/>
      <c r="V143" s="320"/>
      <c r="W143" s="321"/>
      <c r="X143" s="299"/>
      <c r="Y143" s="300"/>
      <c r="Z143" s="294"/>
      <c r="AA143" s="295"/>
      <c r="AB143" s="296"/>
      <c r="AC143" s="463"/>
      <c r="AD143" s="464"/>
      <c r="AE143" s="320"/>
      <c r="AF143" s="321"/>
      <c r="AG143" s="320"/>
      <c r="AH143" s="324"/>
      <c r="AI143" s="320"/>
      <c r="AJ143" s="321"/>
      <c r="AK143" s="320"/>
      <c r="AL143" s="321"/>
      <c r="AM143" s="320"/>
      <c r="AN143" s="324"/>
      <c r="AO143" s="429"/>
      <c r="AP143" s="322"/>
      <c r="AQ143" s="320"/>
      <c r="AR143" s="324"/>
      <c r="AS143" s="320"/>
      <c r="AT143" s="324"/>
      <c r="AU143" s="320"/>
      <c r="AV143" s="324"/>
      <c r="AW143" s="411"/>
      <c r="AX143" s="470"/>
      <c r="AY143" s="325"/>
      <c r="AZ143" s="326"/>
      <c r="BA143" s="294"/>
      <c r="BB143" s="295"/>
      <c r="BC143" s="296"/>
      <c r="BD143" s="284"/>
      <c r="BE143" s="298"/>
      <c r="BF143" s="305"/>
      <c r="BG143" s="302"/>
      <c r="BH143" s="301"/>
      <c r="BI143" s="302"/>
      <c r="BJ143" s="301"/>
      <c r="BK143" s="302"/>
      <c r="BL143" s="301"/>
      <c r="BM143" s="302"/>
      <c r="BN143" s="301"/>
      <c r="BO143" s="302"/>
      <c r="BP143" s="301"/>
      <c r="BQ143" s="302"/>
      <c r="BR143" s="301"/>
      <c r="BS143" s="302"/>
      <c r="BT143" s="301"/>
      <c r="BU143" s="302"/>
      <c r="BV143" s="301"/>
      <c r="BW143" s="302"/>
      <c r="BX143" s="301"/>
      <c r="BY143" s="302"/>
      <c r="BZ143" s="306"/>
      <c r="CA143" s="304"/>
      <c r="CB143" s="294"/>
      <c r="CC143" s="295"/>
      <c r="CD143" s="296"/>
      <c r="CE143" s="284"/>
      <c r="CF143" s="298"/>
      <c r="CG143" s="307"/>
      <c r="CH143" s="308"/>
      <c r="CI143" s="309"/>
      <c r="CJ143" s="310"/>
      <c r="CK143" s="311"/>
      <c r="CL143" s="75"/>
      <c r="CN143" s="161"/>
      <c r="CO143" s="163"/>
      <c r="CP143" s="315"/>
      <c r="CQ143" s="316"/>
      <c r="CR143" s="317"/>
      <c r="CS143" s="316"/>
      <c r="CT143" s="317"/>
      <c r="CU143" s="316"/>
      <c r="CZ143" s="73">
        <v>4</v>
      </c>
      <c r="DA143" s="73">
        <v>4</v>
      </c>
      <c r="DB143" s="73">
        <v>3</v>
      </c>
      <c r="DC143" s="74">
        <f t="shared" si="563"/>
        <v>45750</v>
      </c>
      <c r="DD143" s="68" t="str">
        <f t="shared" si="367"/>
        <v>木</v>
      </c>
      <c r="DF143" s="156"/>
      <c r="DG143" s="156"/>
    </row>
    <row r="144" spans="1:112" ht="28.5" customHeight="1">
      <c r="A144" s="327">
        <f t="shared" ref="A144:A206" si="572">$DC144</f>
        <v>45751</v>
      </c>
      <c r="B144" s="365" t="str">
        <f t="shared" ref="B144:B206" si="573">TEXT($A144,"aaa")</f>
        <v>金</v>
      </c>
      <c r="C144" s="329" t="s">
        <v>27</v>
      </c>
      <c r="D144" s="333"/>
      <c r="E144" s="378"/>
      <c r="F144" s="333"/>
      <c r="G144" s="377"/>
      <c r="H144" s="368"/>
      <c r="I144" s="377"/>
      <c r="J144" s="333"/>
      <c r="K144" s="336" t="s">
        <v>42</v>
      </c>
      <c r="L144" s="471"/>
      <c r="M144" s="336" t="s">
        <v>42</v>
      </c>
      <c r="N144" s="333"/>
      <c r="O144" s="381"/>
      <c r="P144" s="333"/>
      <c r="Q144" s="381"/>
      <c r="R144" s="333"/>
      <c r="S144" s="381"/>
      <c r="T144" s="333"/>
      <c r="U144" s="336" t="s">
        <v>42</v>
      </c>
      <c r="V144" s="333"/>
      <c r="W144" s="381"/>
      <c r="X144" s="335"/>
      <c r="Y144" s="347"/>
      <c r="Z144" s="342">
        <f t="shared" ref="Z144" ca="1" si="574">UDayCou(1,ROW())</f>
        <v>6</v>
      </c>
      <c r="AA144" s="343">
        <f t="shared" ref="AA144" ca="1" si="575">UNightCou(1,ROW())</f>
        <v>6</v>
      </c>
      <c r="AB144" s="344">
        <f t="shared" ref="AB144" ca="1" si="576">UNewCou(1,ROW())</f>
        <v>2</v>
      </c>
      <c r="AC144" s="461">
        <f t="shared" ref="AC144:AC206" si="577">$A144</f>
        <v>45751</v>
      </c>
      <c r="AD144" s="462" t="str">
        <f t="shared" ref="AD144:AD206" si="578">$B144</f>
        <v>金</v>
      </c>
      <c r="AE144" s="333"/>
      <c r="AF144" s="381"/>
      <c r="AG144" s="333">
        <v>15</v>
      </c>
      <c r="AH144" s="337" t="s">
        <v>91</v>
      </c>
      <c r="AI144" s="333"/>
      <c r="AJ144" s="381"/>
      <c r="AK144" s="333"/>
      <c r="AL144" s="381"/>
      <c r="AM144" s="333"/>
      <c r="AN144" s="377"/>
      <c r="AO144" s="430"/>
      <c r="AP144" s="409"/>
      <c r="AQ144" s="333">
        <v>15</v>
      </c>
      <c r="AR144" s="337"/>
      <c r="AS144" s="333"/>
      <c r="AT144" s="336" t="s">
        <v>42</v>
      </c>
      <c r="AU144" s="333"/>
      <c r="AV144" s="336" t="s">
        <v>42</v>
      </c>
      <c r="AW144" s="440"/>
      <c r="AX144" s="474"/>
      <c r="AY144" s="348"/>
      <c r="AZ144" s="349"/>
      <c r="BA144" s="342">
        <f ca="1">UDayCou(2,ROW())</f>
        <v>7</v>
      </c>
      <c r="BB144" s="343">
        <f ca="1">UNightCou(2,ROW())</f>
        <v>5</v>
      </c>
      <c r="BC144" s="344">
        <f ca="1">UNewCou(2,ROW())</f>
        <v>1</v>
      </c>
      <c r="BD144" s="327">
        <f t="shared" ref="BD144:BD206" si="579">$A144</f>
        <v>45751</v>
      </c>
      <c r="BE144" s="371" t="str">
        <f t="shared" ref="BE144:BE206" si="580">$B144</f>
        <v>金</v>
      </c>
      <c r="BF144" s="350"/>
      <c r="BG144" s="351"/>
      <c r="BH144" s="330"/>
      <c r="BI144" s="351"/>
      <c r="BJ144" s="330"/>
      <c r="BK144" s="351"/>
      <c r="BL144" s="330"/>
      <c r="BM144" s="351"/>
      <c r="BN144" s="330"/>
      <c r="BO144" s="351"/>
      <c r="BP144" s="330"/>
      <c r="BQ144" s="351"/>
      <c r="BR144" s="330"/>
      <c r="BS144" s="351"/>
      <c r="BT144" s="330"/>
      <c r="BU144" s="351"/>
      <c r="BV144" s="330"/>
      <c r="BW144" s="351"/>
      <c r="BX144" s="330"/>
      <c r="BY144" s="351"/>
      <c r="BZ144" s="389"/>
      <c r="CA144" s="341"/>
      <c r="CB144" s="342">
        <f ca="1">UDayCou(3,ROW())</f>
        <v>0</v>
      </c>
      <c r="CC144" s="343">
        <f ca="1">UNightCou(3,ROW())</f>
        <v>0</v>
      </c>
      <c r="CD144" s="344">
        <f ca="1">UNewCou(3,ROW())</f>
        <v>0</v>
      </c>
      <c r="CE144" s="327">
        <f t="shared" ref="CE144:CE206" si="581">$A144</f>
        <v>45751</v>
      </c>
      <c r="CF144" s="371" t="str">
        <f t="shared" ref="CF144:CF206" si="582">$B144</f>
        <v>金</v>
      </c>
      <c r="CG144" s="352">
        <f t="shared" ref="CG144" ca="1" si="583">Z144+BA144+CB144</f>
        <v>13</v>
      </c>
      <c r="CH144" s="353">
        <f t="shared" ref="CH144" ca="1" si="584">AA144+BB144+CC144</f>
        <v>11</v>
      </c>
      <c r="CI144" s="354">
        <f t="shared" ref="CI144" ca="1" si="585">AB144+BC144+CD144</f>
        <v>3</v>
      </c>
      <c r="CJ144" s="355">
        <f ca="1">COUNTIF(INDIRECT("D192:CA193"),"*●*")</f>
        <v>0</v>
      </c>
      <c r="CK144" s="356">
        <f ca="1">COUNTIF(INDIRECT("D192:CA193"),"*㋷*")</f>
        <v>0</v>
      </c>
      <c r="CL144" s="75"/>
      <c r="CN144" s="160">
        <f t="shared" ref="CN144:CN206" si="586">$A144</f>
        <v>45751</v>
      </c>
      <c r="CO144" s="162" t="str">
        <f t="shared" ref="CO144:CO206" si="587">$B144</f>
        <v>金</v>
      </c>
      <c r="CP144" s="357"/>
      <c r="CQ144" s="358"/>
      <c r="CR144" s="359"/>
      <c r="CS144" s="358"/>
      <c r="CT144" s="359"/>
      <c r="CU144" s="358"/>
      <c r="CZ144" s="73">
        <v>4</v>
      </c>
      <c r="DA144" s="73">
        <v>4</v>
      </c>
      <c r="DB144" s="73">
        <v>4</v>
      </c>
      <c r="DC144" s="74">
        <f t="shared" si="563"/>
        <v>45751</v>
      </c>
      <c r="DD144" s="68" t="str">
        <f t="shared" si="367"/>
        <v>金</v>
      </c>
      <c r="DF144" s="155">
        <f t="shared" ref="DF144" si="588">$DC144</f>
        <v>45751</v>
      </c>
      <c r="DG144" s="156" t="e">
        <f ca="1">IF($CH144&gt;=設定!$E$12,"✕",IF(SS予約表!$CG144&gt;=設定!$E$12,"△","○"))</f>
        <v>#NAME?</v>
      </c>
    </row>
    <row r="145" spans="1:111" ht="29.25" customHeight="1">
      <c r="A145" s="284"/>
      <c r="B145" s="285"/>
      <c r="C145" s="286" t="s">
        <v>28</v>
      </c>
      <c r="D145" s="320"/>
      <c r="E145" s="321"/>
      <c r="F145" s="320"/>
      <c r="G145" s="324"/>
      <c r="H145" s="360"/>
      <c r="I145" s="324"/>
      <c r="J145" s="320"/>
      <c r="K145" s="324"/>
      <c r="L145" s="469"/>
      <c r="M145" s="445"/>
      <c r="N145" s="320"/>
      <c r="O145" s="321"/>
      <c r="P145" s="320"/>
      <c r="Q145" s="321"/>
      <c r="R145" s="320">
        <v>10</v>
      </c>
      <c r="S145" s="324" t="s">
        <v>111</v>
      </c>
      <c r="T145" s="320"/>
      <c r="U145" s="324"/>
      <c r="V145" s="320"/>
      <c r="W145" s="321"/>
      <c r="X145" s="320"/>
      <c r="Y145" s="321"/>
      <c r="Z145" s="294"/>
      <c r="AA145" s="295"/>
      <c r="AB145" s="296"/>
      <c r="AC145" s="463"/>
      <c r="AD145" s="464"/>
      <c r="AE145" s="320"/>
      <c r="AF145" s="321"/>
      <c r="AG145" s="320"/>
      <c r="AH145" s="321"/>
      <c r="AI145" s="320"/>
      <c r="AJ145" s="321"/>
      <c r="AK145" s="411"/>
      <c r="AL145" s="470"/>
      <c r="AM145" s="320"/>
      <c r="AN145" s="324"/>
      <c r="AO145" s="429"/>
      <c r="AP145" s="322"/>
      <c r="AQ145" s="320"/>
      <c r="AR145" s="321"/>
      <c r="AS145" s="320"/>
      <c r="AT145" s="324"/>
      <c r="AU145" s="320"/>
      <c r="AV145" s="324"/>
      <c r="AW145" s="320">
        <v>10</v>
      </c>
      <c r="AX145" s="324" t="s">
        <v>113</v>
      </c>
      <c r="AY145" s="325"/>
      <c r="AZ145" s="326"/>
      <c r="BA145" s="294"/>
      <c r="BB145" s="295"/>
      <c r="BC145" s="296"/>
      <c r="BD145" s="284"/>
      <c r="BE145" s="298"/>
      <c r="BF145" s="305"/>
      <c r="BG145" s="302"/>
      <c r="BH145" s="301"/>
      <c r="BI145" s="302"/>
      <c r="BJ145" s="301"/>
      <c r="BK145" s="302"/>
      <c r="BL145" s="301"/>
      <c r="BM145" s="302"/>
      <c r="BN145" s="301"/>
      <c r="BO145" s="302"/>
      <c r="BP145" s="301"/>
      <c r="BQ145" s="302"/>
      <c r="BR145" s="301"/>
      <c r="BS145" s="302"/>
      <c r="BT145" s="301"/>
      <c r="BU145" s="302"/>
      <c r="BV145" s="301"/>
      <c r="BW145" s="302"/>
      <c r="BX145" s="301"/>
      <c r="BY145" s="302"/>
      <c r="BZ145" s="306"/>
      <c r="CA145" s="304"/>
      <c r="CB145" s="294"/>
      <c r="CC145" s="295"/>
      <c r="CD145" s="296"/>
      <c r="CE145" s="284"/>
      <c r="CF145" s="298"/>
      <c r="CG145" s="307"/>
      <c r="CH145" s="308"/>
      <c r="CI145" s="309"/>
      <c r="CJ145" s="310"/>
      <c r="CK145" s="311"/>
      <c r="CL145" s="75"/>
      <c r="CN145" s="161"/>
      <c r="CO145" s="163"/>
      <c r="CP145" s="320">
        <v>10</v>
      </c>
      <c r="CQ145" s="324" t="s">
        <v>215</v>
      </c>
      <c r="CR145" s="317"/>
      <c r="CS145" s="316"/>
      <c r="CT145" s="317"/>
      <c r="CU145" s="316"/>
      <c r="CZ145" s="73">
        <v>4</v>
      </c>
      <c r="DA145" s="73">
        <v>4</v>
      </c>
      <c r="DB145" s="73">
        <v>4</v>
      </c>
      <c r="DC145" s="74">
        <f t="shared" si="563"/>
        <v>45751</v>
      </c>
      <c r="DD145" s="68" t="str">
        <f t="shared" si="367"/>
        <v>金</v>
      </c>
      <c r="DF145" s="156"/>
      <c r="DG145" s="156"/>
    </row>
    <row r="146" spans="1:111" ht="28.5" customHeight="1">
      <c r="A146" s="327">
        <f t="shared" si="572"/>
        <v>45752</v>
      </c>
      <c r="B146" s="393" t="str">
        <f t="shared" si="573"/>
        <v>土</v>
      </c>
      <c r="C146" s="329" t="s">
        <v>27</v>
      </c>
      <c r="D146" s="333"/>
      <c r="E146" s="381"/>
      <c r="F146" s="333"/>
      <c r="G146" s="377"/>
      <c r="H146" s="368"/>
      <c r="I146" s="377"/>
      <c r="J146" s="333">
        <v>15</v>
      </c>
      <c r="K146" s="337"/>
      <c r="L146" s="471"/>
      <c r="M146" s="472"/>
      <c r="N146" s="333"/>
      <c r="O146" s="381"/>
      <c r="P146" s="333"/>
      <c r="Q146" s="381"/>
      <c r="R146" s="333"/>
      <c r="S146" s="377"/>
      <c r="T146" s="333">
        <v>15</v>
      </c>
      <c r="U146" s="337"/>
      <c r="V146" s="333"/>
      <c r="W146" s="381"/>
      <c r="X146" s="333"/>
      <c r="Y146" s="381"/>
      <c r="Z146" s="342">
        <f t="shared" ref="Z146" ca="1" si="589">UDayCou(1,ROW())</f>
        <v>8</v>
      </c>
      <c r="AA146" s="343">
        <f t="shared" ref="AA146" ca="1" si="590">UNightCou(1,ROW())</f>
        <v>6</v>
      </c>
      <c r="AB146" s="344">
        <f t="shared" ref="AB146" ca="1" si="591">UNewCou(1,ROW())</f>
        <v>2</v>
      </c>
      <c r="AC146" s="461">
        <f t="shared" si="577"/>
        <v>45752</v>
      </c>
      <c r="AD146" s="465" t="str">
        <f t="shared" si="578"/>
        <v>土</v>
      </c>
      <c r="AE146" s="333"/>
      <c r="AF146" s="381"/>
      <c r="AG146" s="333"/>
      <c r="AH146" s="381"/>
      <c r="AI146" s="333"/>
      <c r="AJ146" s="381"/>
      <c r="AK146" s="440"/>
      <c r="AL146" s="474"/>
      <c r="AM146" s="333"/>
      <c r="AN146" s="377"/>
      <c r="AO146" s="430"/>
      <c r="AP146" s="409"/>
      <c r="AQ146" s="333"/>
      <c r="AR146" s="381"/>
      <c r="AS146" s="333">
        <v>15</v>
      </c>
      <c r="AT146" s="337"/>
      <c r="AU146" s="333"/>
      <c r="AV146" s="377"/>
      <c r="AW146" s="333"/>
      <c r="AX146" s="377"/>
      <c r="AY146" s="348"/>
      <c r="AZ146" s="349"/>
      <c r="BA146" s="342">
        <f ca="1">UDayCou(2,ROW())</f>
        <v>7</v>
      </c>
      <c r="BB146" s="343">
        <f ca="1">UNightCou(2,ROW())</f>
        <v>6</v>
      </c>
      <c r="BC146" s="344">
        <f ca="1">UNewCou(2,ROW())</f>
        <v>1</v>
      </c>
      <c r="BD146" s="327">
        <f t="shared" si="579"/>
        <v>45752</v>
      </c>
      <c r="BE146" s="394" t="str">
        <f t="shared" si="580"/>
        <v>土</v>
      </c>
      <c r="BF146" s="350"/>
      <c r="BG146" s="351"/>
      <c r="BH146" s="330"/>
      <c r="BI146" s="351"/>
      <c r="BJ146" s="330"/>
      <c r="BK146" s="351"/>
      <c r="BL146" s="330"/>
      <c r="BM146" s="351"/>
      <c r="BN146" s="330"/>
      <c r="BO146" s="351"/>
      <c r="BP146" s="330"/>
      <c r="BQ146" s="351"/>
      <c r="BR146" s="330"/>
      <c r="BS146" s="351"/>
      <c r="BT146" s="330"/>
      <c r="BU146" s="351"/>
      <c r="BV146" s="330"/>
      <c r="BW146" s="351"/>
      <c r="BX146" s="330"/>
      <c r="BY146" s="351"/>
      <c r="BZ146" s="389"/>
      <c r="CA146" s="341"/>
      <c r="CB146" s="342">
        <f ca="1">UDayCou(3,ROW())</f>
        <v>0</v>
      </c>
      <c r="CC146" s="343">
        <f ca="1">UNightCou(3,ROW())</f>
        <v>0</v>
      </c>
      <c r="CD146" s="344">
        <f ca="1">UNewCou(3,ROW())</f>
        <v>0</v>
      </c>
      <c r="CE146" s="327">
        <f t="shared" si="581"/>
        <v>45752</v>
      </c>
      <c r="CF146" s="394" t="str">
        <f t="shared" si="582"/>
        <v>土</v>
      </c>
      <c r="CG146" s="352">
        <f t="shared" ref="CG146" ca="1" si="592">Z146+BA146+CB146</f>
        <v>15</v>
      </c>
      <c r="CH146" s="353">
        <f t="shared" ref="CH146" ca="1" si="593">AA146+BB146+CC146</f>
        <v>12</v>
      </c>
      <c r="CI146" s="354">
        <f t="shared" ref="CI146" ca="1" si="594">AB146+BC146+CD146</f>
        <v>3</v>
      </c>
      <c r="CJ146" s="355">
        <f ca="1">COUNTIF(INDIRECT("D194:CA195"),"*●*")</f>
        <v>0</v>
      </c>
      <c r="CK146" s="356">
        <f ca="1">COUNTIF(INDIRECT("D194:CA195"),"*㋷*")</f>
        <v>0</v>
      </c>
      <c r="CL146" s="75"/>
      <c r="CN146" s="160">
        <f t="shared" si="586"/>
        <v>45752</v>
      </c>
      <c r="CO146" s="167" t="str">
        <f t="shared" si="587"/>
        <v>土</v>
      </c>
      <c r="CP146" s="333">
        <v>15</v>
      </c>
      <c r="CQ146" s="337"/>
      <c r="CR146" s="359"/>
      <c r="CS146" s="358"/>
      <c r="CT146" s="359"/>
      <c r="CU146" s="358"/>
      <c r="CZ146" s="73">
        <v>4</v>
      </c>
      <c r="DA146" s="73">
        <v>4</v>
      </c>
      <c r="DB146" s="73">
        <v>5</v>
      </c>
      <c r="DC146" s="74">
        <f t="shared" si="563"/>
        <v>45752</v>
      </c>
      <c r="DD146" s="68" t="str">
        <f t="shared" si="367"/>
        <v>土</v>
      </c>
      <c r="DF146" s="155">
        <f t="shared" ref="DF146" si="595">$DC146</f>
        <v>45752</v>
      </c>
      <c r="DG146" s="156" t="e">
        <f ca="1">IF($CH146&gt;=設定!$E$12,"✕",IF(SS予約表!$CG146&gt;=設定!$E$12,"△","○"))</f>
        <v>#NAME?</v>
      </c>
    </row>
    <row r="147" spans="1:111" ht="29.25" customHeight="1" thickBot="1">
      <c r="A147" s="284"/>
      <c r="B147" s="285"/>
      <c r="C147" s="286" t="s">
        <v>28</v>
      </c>
      <c r="D147" s="289"/>
      <c r="E147" s="321"/>
      <c r="F147" s="422"/>
      <c r="G147" s="364"/>
      <c r="H147" s="360"/>
      <c r="I147" s="324"/>
      <c r="J147" s="320"/>
      <c r="K147" s="321"/>
      <c r="L147" s="469"/>
      <c r="M147" s="445"/>
      <c r="N147" s="299">
        <v>10</v>
      </c>
      <c r="O147" s="322" t="s">
        <v>142</v>
      </c>
      <c r="P147" s="289"/>
      <c r="Q147" s="321"/>
      <c r="R147" s="320"/>
      <c r="S147" s="324"/>
      <c r="T147" s="289"/>
      <c r="U147" s="321"/>
      <c r="V147" s="299">
        <v>10</v>
      </c>
      <c r="W147" s="322" t="s">
        <v>142</v>
      </c>
      <c r="X147" s="320"/>
      <c r="Y147" s="321"/>
      <c r="Z147" s="294"/>
      <c r="AA147" s="295"/>
      <c r="AB147" s="296"/>
      <c r="AC147" s="463"/>
      <c r="AD147" s="464"/>
      <c r="AE147" s="289">
        <v>10</v>
      </c>
      <c r="AF147" s="324" t="s">
        <v>83</v>
      </c>
      <c r="AG147" s="320"/>
      <c r="AH147" s="321"/>
      <c r="AI147" s="299"/>
      <c r="AJ147" s="300"/>
      <c r="AK147" s="320">
        <v>10</v>
      </c>
      <c r="AL147" s="324" t="s">
        <v>64</v>
      </c>
      <c r="AM147" s="320"/>
      <c r="AN147" s="324"/>
      <c r="AO147" s="429"/>
      <c r="AP147" s="322"/>
      <c r="AQ147" s="320"/>
      <c r="AR147" s="321"/>
      <c r="AS147" s="320"/>
      <c r="AT147" s="321"/>
      <c r="AU147" s="320"/>
      <c r="AV147" s="324"/>
      <c r="AW147" s="320"/>
      <c r="AX147" s="324"/>
      <c r="AY147" s="325"/>
      <c r="AZ147" s="326"/>
      <c r="BA147" s="294"/>
      <c r="BB147" s="295"/>
      <c r="BC147" s="296"/>
      <c r="BD147" s="284"/>
      <c r="BE147" s="298"/>
      <c r="BF147" s="305"/>
      <c r="BG147" s="302"/>
      <c r="BH147" s="301"/>
      <c r="BI147" s="302"/>
      <c r="BJ147" s="301"/>
      <c r="BK147" s="302"/>
      <c r="BL147" s="301"/>
      <c r="BM147" s="302"/>
      <c r="BN147" s="301"/>
      <c r="BO147" s="302"/>
      <c r="BP147" s="301"/>
      <c r="BQ147" s="302"/>
      <c r="BR147" s="301"/>
      <c r="BS147" s="302"/>
      <c r="BT147" s="301"/>
      <c r="BU147" s="302"/>
      <c r="BV147" s="301"/>
      <c r="BW147" s="302"/>
      <c r="BX147" s="301"/>
      <c r="BY147" s="302"/>
      <c r="BZ147" s="306"/>
      <c r="CA147" s="304"/>
      <c r="CB147" s="294"/>
      <c r="CC147" s="295"/>
      <c r="CD147" s="296"/>
      <c r="CE147" s="284"/>
      <c r="CF147" s="298"/>
      <c r="CG147" s="307"/>
      <c r="CH147" s="308"/>
      <c r="CI147" s="309"/>
      <c r="CJ147" s="310"/>
      <c r="CK147" s="311"/>
      <c r="CL147" s="75"/>
      <c r="CN147" s="161"/>
      <c r="CO147" s="163"/>
      <c r="CP147" s="315"/>
      <c r="CQ147" s="316"/>
      <c r="CR147" s="317"/>
      <c r="CS147" s="316"/>
      <c r="CT147" s="317"/>
      <c r="CU147" s="316"/>
      <c r="CZ147" s="73">
        <v>4</v>
      </c>
      <c r="DA147" s="73">
        <v>4</v>
      </c>
      <c r="DB147" s="73">
        <v>5</v>
      </c>
      <c r="DC147" s="74">
        <f t="shared" si="563"/>
        <v>45752</v>
      </c>
      <c r="DD147" s="68" t="str">
        <f t="shared" si="367"/>
        <v>土</v>
      </c>
      <c r="DF147" s="156"/>
      <c r="DG147" s="156"/>
    </row>
    <row r="148" spans="1:111" ht="28.5" customHeight="1">
      <c r="A148" s="491">
        <f t="shared" si="572"/>
        <v>45753</v>
      </c>
      <c r="B148" s="492" t="str">
        <f t="shared" si="573"/>
        <v>日</v>
      </c>
      <c r="C148" s="493" t="s">
        <v>27</v>
      </c>
      <c r="D148" s="550"/>
      <c r="E148" s="526"/>
      <c r="F148" s="549"/>
      <c r="G148" s="541" t="s">
        <v>42</v>
      </c>
      <c r="H148" s="529"/>
      <c r="I148" s="527"/>
      <c r="J148" s="497"/>
      <c r="K148" s="526"/>
      <c r="L148" s="568"/>
      <c r="M148" s="569"/>
      <c r="N148" s="499"/>
      <c r="O148" s="548"/>
      <c r="P148" s="550"/>
      <c r="Q148" s="526"/>
      <c r="R148" s="497"/>
      <c r="S148" s="527"/>
      <c r="T148" s="550"/>
      <c r="U148" s="526"/>
      <c r="V148" s="499"/>
      <c r="W148" s="548"/>
      <c r="X148" s="497"/>
      <c r="Y148" s="526"/>
      <c r="Z148" s="506">
        <f t="shared" ref="Z148" ca="1" si="596">UDayCou(1,ROW())</f>
        <v>6</v>
      </c>
      <c r="AA148" s="507">
        <f t="shared" ref="AA148" ca="1" si="597">UNightCou(1,ROW())</f>
        <v>6</v>
      </c>
      <c r="AB148" s="508">
        <f t="shared" ref="AB148" ca="1" si="598">UNewCou(1,ROW())</f>
        <v>2</v>
      </c>
      <c r="AC148" s="559">
        <f t="shared" si="577"/>
        <v>45753</v>
      </c>
      <c r="AD148" s="572" t="str">
        <f t="shared" si="578"/>
        <v>日</v>
      </c>
      <c r="AE148" s="550"/>
      <c r="AF148" s="527"/>
      <c r="AG148" s="497"/>
      <c r="AH148" s="526"/>
      <c r="AI148" s="499"/>
      <c r="AJ148" s="511"/>
      <c r="AK148" s="497"/>
      <c r="AL148" s="527"/>
      <c r="AM148" s="497"/>
      <c r="AN148" s="527"/>
      <c r="AO148" s="547"/>
      <c r="AP148" s="548"/>
      <c r="AQ148" s="497"/>
      <c r="AR148" s="526"/>
      <c r="AS148" s="497"/>
      <c r="AT148" s="526"/>
      <c r="AU148" s="497"/>
      <c r="AV148" s="527" t="s">
        <v>195</v>
      </c>
      <c r="AW148" s="497"/>
      <c r="AX148" s="527"/>
      <c r="AY148" s="512"/>
      <c r="AZ148" s="513"/>
      <c r="BA148" s="506">
        <f ca="1">UDayCou(2,ROW())</f>
        <v>6</v>
      </c>
      <c r="BB148" s="507">
        <f ca="1">UNightCou(2,ROW())</f>
        <v>6</v>
      </c>
      <c r="BC148" s="508">
        <f ca="1">UNewCou(2,ROW())</f>
        <v>1</v>
      </c>
      <c r="BD148" s="491">
        <f t="shared" si="579"/>
        <v>45753</v>
      </c>
      <c r="BE148" s="510" t="str">
        <f t="shared" si="580"/>
        <v>日</v>
      </c>
      <c r="BF148" s="514"/>
      <c r="BG148" s="515"/>
      <c r="BH148" s="494"/>
      <c r="BI148" s="515"/>
      <c r="BJ148" s="494"/>
      <c r="BK148" s="515"/>
      <c r="BL148" s="494"/>
      <c r="BM148" s="515"/>
      <c r="BN148" s="494"/>
      <c r="BO148" s="515"/>
      <c r="BP148" s="494"/>
      <c r="BQ148" s="515"/>
      <c r="BR148" s="494"/>
      <c r="BS148" s="515"/>
      <c r="BT148" s="494"/>
      <c r="BU148" s="515"/>
      <c r="BV148" s="494"/>
      <c r="BW148" s="515"/>
      <c r="BX148" s="494"/>
      <c r="BY148" s="515"/>
      <c r="BZ148" s="530"/>
      <c r="CA148" s="505"/>
      <c r="CB148" s="506">
        <f ca="1">UDayCou(3,ROW())</f>
        <v>0</v>
      </c>
      <c r="CC148" s="507">
        <f ca="1">UNightCou(3,ROW())</f>
        <v>0</v>
      </c>
      <c r="CD148" s="508">
        <f ca="1">UNewCou(3,ROW())</f>
        <v>0</v>
      </c>
      <c r="CE148" s="491">
        <f t="shared" si="581"/>
        <v>45753</v>
      </c>
      <c r="CF148" s="510" t="str">
        <f t="shared" si="582"/>
        <v>日</v>
      </c>
      <c r="CG148" s="516">
        <f t="shared" ref="CG148" ca="1" si="599">Z148+BA148+CB148</f>
        <v>12</v>
      </c>
      <c r="CH148" s="517">
        <f t="shared" ref="CH148" ca="1" si="600">AA148+BB148+CC148</f>
        <v>12</v>
      </c>
      <c r="CI148" s="518">
        <f t="shared" ref="CI148" ca="1" si="601">AB148+BC148+CD148</f>
        <v>3</v>
      </c>
      <c r="CJ148" s="519">
        <f ca="1">COUNTIF(INDIRECT("D196:CA197"),"*●*")</f>
        <v>0</v>
      </c>
      <c r="CK148" s="520">
        <f ca="1">COUNTIF(INDIRECT("D196:CA197"),"*㋷*")</f>
        <v>0</v>
      </c>
      <c r="CL148" s="75"/>
      <c r="CN148" s="164">
        <f t="shared" si="586"/>
        <v>45753</v>
      </c>
      <c r="CO148" s="166" t="str">
        <f t="shared" si="587"/>
        <v>日</v>
      </c>
      <c r="CP148" s="521"/>
      <c r="CQ148" s="522"/>
      <c r="CR148" s="523"/>
      <c r="CS148" s="522"/>
      <c r="CT148" s="523"/>
      <c r="CU148" s="522"/>
      <c r="CZ148" s="73">
        <v>4</v>
      </c>
      <c r="DA148" s="73">
        <v>4</v>
      </c>
      <c r="DB148" s="73">
        <v>6</v>
      </c>
      <c r="DC148" s="74">
        <f t="shared" si="563"/>
        <v>45753</v>
      </c>
      <c r="DD148" s="68" t="str">
        <f t="shared" si="367"/>
        <v>日</v>
      </c>
      <c r="DF148" s="155">
        <f t="shared" ref="DF148" si="602">$DC148</f>
        <v>45753</v>
      </c>
      <c r="DG148" s="156" t="e">
        <f ca="1">IF($CH148&gt;=設定!$E$12,"✕",IF(SS予約表!$CG148&gt;=設定!$E$12,"△","○"))</f>
        <v>#NAME?</v>
      </c>
    </row>
    <row r="149" spans="1:111" ht="29.25" customHeight="1">
      <c r="A149" s="284"/>
      <c r="B149" s="285"/>
      <c r="C149" s="286" t="s">
        <v>28</v>
      </c>
      <c r="D149" s="289"/>
      <c r="E149" s="321"/>
      <c r="F149" s="422"/>
      <c r="G149" s="364"/>
      <c r="H149" s="360"/>
      <c r="I149" s="324"/>
      <c r="J149" s="320"/>
      <c r="K149" s="321"/>
      <c r="L149" s="469"/>
      <c r="M149" s="445"/>
      <c r="N149" s="299"/>
      <c r="O149" s="322"/>
      <c r="P149" s="289"/>
      <c r="Q149" s="321"/>
      <c r="R149" s="320"/>
      <c r="S149" s="324"/>
      <c r="T149" s="289"/>
      <c r="U149" s="321"/>
      <c r="V149" s="299"/>
      <c r="W149" s="322"/>
      <c r="X149" s="320"/>
      <c r="Y149" s="321"/>
      <c r="Z149" s="294"/>
      <c r="AA149" s="295"/>
      <c r="AB149" s="296"/>
      <c r="AC149" s="463"/>
      <c r="AD149" s="464"/>
      <c r="AE149" s="289"/>
      <c r="AF149" s="324"/>
      <c r="AG149" s="320"/>
      <c r="AH149" s="321"/>
      <c r="AI149" s="299"/>
      <c r="AJ149" s="300"/>
      <c r="AK149" s="320"/>
      <c r="AL149" s="324"/>
      <c r="AM149" s="320"/>
      <c r="AN149" s="324"/>
      <c r="AO149" s="429"/>
      <c r="AP149" s="322"/>
      <c r="AQ149" s="320"/>
      <c r="AR149" s="321"/>
      <c r="AS149" s="320"/>
      <c r="AT149" s="321"/>
      <c r="AU149" s="320"/>
      <c r="AV149" s="324"/>
      <c r="AW149" s="320"/>
      <c r="AX149" s="324"/>
      <c r="AY149" s="325"/>
      <c r="AZ149" s="326"/>
      <c r="BA149" s="294"/>
      <c r="BB149" s="295"/>
      <c r="BC149" s="296"/>
      <c r="BD149" s="284"/>
      <c r="BE149" s="298"/>
      <c r="BF149" s="305"/>
      <c r="BG149" s="302"/>
      <c r="BH149" s="301"/>
      <c r="BI149" s="302"/>
      <c r="BJ149" s="301"/>
      <c r="BK149" s="302"/>
      <c r="BL149" s="301"/>
      <c r="BM149" s="302"/>
      <c r="BN149" s="301"/>
      <c r="BO149" s="302"/>
      <c r="BP149" s="301"/>
      <c r="BQ149" s="302"/>
      <c r="BR149" s="301"/>
      <c r="BS149" s="302"/>
      <c r="BT149" s="301"/>
      <c r="BU149" s="302"/>
      <c r="BV149" s="301"/>
      <c r="BW149" s="302"/>
      <c r="BX149" s="301"/>
      <c r="BY149" s="302"/>
      <c r="BZ149" s="306"/>
      <c r="CA149" s="304"/>
      <c r="CB149" s="294"/>
      <c r="CC149" s="295"/>
      <c r="CD149" s="296"/>
      <c r="CE149" s="284"/>
      <c r="CF149" s="298"/>
      <c r="CG149" s="307"/>
      <c r="CH149" s="308"/>
      <c r="CI149" s="309"/>
      <c r="CJ149" s="310"/>
      <c r="CK149" s="311"/>
      <c r="CL149" s="75"/>
      <c r="CN149" s="161"/>
      <c r="CO149" s="163"/>
      <c r="CP149" s="315"/>
      <c r="CQ149" s="316"/>
      <c r="CR149" s="317"/>
      <c r="CS149" s="316"/>
      <c r="CT149" s="317"/>
      <c r="CU149" s="316"/>
      <c r="CZ149" s="73">
        <v>4</v>
      </c>
      <c r="DA149" s="73">
        <v>4</v>
      </c>
      <c r="DB149" s="73">
        <v>6</v>
      </c>
      <c r="DC149" s="74">
        <f t="shared" si="563"/>
        <v>45753</v>
      </c>
      <c r="DD149" s="68" t="str">
        <f t="shared" ref="DD149:DD212" si="603">TEXT($DC149,"aaa")</f>
        <v>日</v>
      </c>
      <c r="DF149" s="156"/>
      <c r="DG149" s="156"/>
    </row>
    <row r="150" spans="1:111" ht="28.5" customHeight="1">
      <c r="A150" s="327">
        <f t="shared" si="572"/>
        <v>45754</v>
      </c>
      <c r="B150" s="365" t="str">
        <f t="shared" si="573"/>
        <v>月</v>
      </c>
      <c r="C150" s="329" t="s">
        <v>27</v>
      </c>
      <c r="D150" s="431"/>
      <c r="E150" s="381"/>
      <c r="F150" s="425">
        <v>15</v>
      </c>
      <c r="G150" s="475"/>
      <c r="H150" s="368"/>
      <c r="I150" s="377"/>
      <c r="J150" s="333"/>
      <c r="K150" s="381"/>
      <c r="L150" s="471"/>
      <c r="M150" s="472"/>
      <c r="N150" s="335"/>
      <c r="O150" s="409"/>
      <c r="P150" s="431"/>
      <c r="Q150" s="381"/>
      <c r="R150" s="333">
        <v>15</v>
      </c>
      <c r="S150" s="337"/>
      <c r="T150" s="431"/>
      <c r="U150" s="381"/>
      <c r="V150" s="335"/>
      <c r="W150" s="409"/>
      <c r="X150" s="333"/>
      <c r="Y150" s="381"/>
      <c r="Z150" s="342">
        <f t="shared" ref="Z150" ca="1" si="604">UDayCou(1,ROW())</f>
        <v>6</v>
      </c>
      <c r="AA150" s="343">
        <f t="shared" ref="AA150" ca="1" si="605">UNightCou(1,ROW())</f>
        <v>4</v>
      </c>
      <c r="AB150" s="344">
        <f t="shared" ref="AB150" ca="1" si="606">UNewCou(1,ROW())</f>
        <v>2</v>
      </c>
      <c r="AC150" s="461">
        <f t="shared" si="577"/>
        <v>45754</v>
      </c>
      <c r="AD150" s="462" t="str">
        <f t="shared" si="578"/>
        <v>月</v>
      </c>
      <c r="AE150" s="431">
        <v>15</v>
      </c>
      <c r="AF150" s="337"/>
      <c r="AG150" s="333"/>
      <c r="AH150" s="381"/>
      <c r="AI150" s="335"/>
      <c r="AJ150" s="347"/>
      <c r="AK150" s="333">
        <v>15</v>
      </c>
      <c r="AL150" s="337"/>
      <c r="AM150" s="333"/>
      <c r="AN150" s="377"/>
      <c r="AO150" s="430"/>
      <c r="AP150" s="409"/>
      <c r="AQ150" s="333"/>
      <c r="AR150" s="381"/>
      <c r="AS150" s="333"/>
      <c r="AT150" s="381"/>
      <c r="AU150" s="333"/>
      <c r="AV150" s="377"/>
      <c r="AW150" s="333">
        <v>15</v>
      </c>
      <c r="AX150" s="337"/>
      <c r="AY150" s="348"/>
      <c r="AZ150" s="349"/>
      <c r="BA150" s="342">
        <f ca="1">UDayCou(2,ROW())</f>
        <v>7</v>
      </c>
      <c r="BB150" s="343">
        <f ca="1">UNightCou(2,ROW())</f>
        <v>4</v>
      </c>
      <c r="BC150" s="344">
        <f ca="1">UNewCou(2,ROW())</f>
        <v>1</v>
      </c>
      <c r="BD150" s="327">
        <f t="shared" si="579"/>
        <v>45754</v>
      </c>
      <c r="BE150" s="371" t="str">
        <f t="shared" si="580"/>
        <v>月</v>
      </c>
      <c r="BF150" s="350"/>
      <c r="BG150" s="351"/>
      <c r="BH150" s="330"/>
      <c r="BI150" s="351"/>
      <c r="BJ150" s="330"/>
      <c r="BK150" s="351"/>
      <c r="BL150" s="330"/>
      <c r="BM150" s="351"/>
      <c r="BN150" s="330"/>
      <c r="BO150" s="351"/>
      <c r="BP150" s="330"/>
      <c r="BQ150" s="351"/>
      <c r="BR150" s="330"/>
      <c r="BS150" s="351"/>
      <c r="BT150" s="330"/>
      <c r="BU150" s="351"/>
      <c r="BV150" s="330"/>
      <c r="BW150" s="351"/>
      <c r="BX150" s="330"/>
      <c r="BY150" s="351"/>
      <c r="BZ150" s="389"/>
      <c r="CA150" s="341"/>
      <c r="CB150" s="342">
        <f ca="1">UDayCou(3,ROW())</f>
        <v>0</v>
      </c>
      <c r="CC150" s="343">
        <f ca="1">UNightCou(3,ROW())</f>
        <v>0</v>
      </c>
      <c r="CD150" s="344">
        <f ca="1">UNewCou(3,ROW())</f>
        <v>0</v>
      </c>
      <c r="CE150" s="327">
        <f t="shared" si="581"/>
        <v>45754</v>
      </c>
      <c r="CF150" s="371" t="str">
        <f t="shared" si="582"/>
        <v>月</v>
      </c>
      <c r="CG150" s="352">
        <f t="shared" ref="CG150" ca="1" si="607">Z150+BA150+CB150</f>
        <v>13</v>
      </c>
      <c r="CH150" s="353">
        <f t="shared" ref="CH150" ca="1" si="608">AA150+BB150+CC150</f>
        <v>8</v>
      </c>
      <c r="CI150" s="354">
        <f t="shared" ref="CI150" ca="1" si="609">AB150+BC150+CD150</f>
        <v>3</v>
      </c>
      <c r="CJ150" s="355">
        <f ca="1">COUNTIF(INDIRECT("D198:CA199"),"*●*")</f>
        <v>0</v>
      </c>
      <c r="CK150" s="356">
        <f ca="1">COUNTIF(INDIRECT("D198:CA199"),"*㋷*")</f>
        <v>0</v>
      </c>
      <c r="CL150" s="75"/>
      <c r="CN150" s="160">
        <f t="shared" si="586"/>
        <v>45754</v>
      </c>
      <c r="CO150" s="162" t="str">
        <f t="shared" si="587"/>
        <v>月</v>
      </c>
      <c r="CP150" s="357"/>
      <c r="CQ150" s="358"/>
      <c r="CR150" s="359"/>
      <c r="CS150" s="358"/>
      <c r="CT150" s="359"/>
      <c r="CU150" s="358"/>
      <c r="CZ150" s="73">
        <v>4</v>
      </c>
      <c r="DA150" s="73">
        <v>4</v>
      </c>
      <c r="DB150" s="73">
        <v>7</v>
      </c>
      <c r="DC150" s="74">
        <f t="shared" si="563"/>
        <v>45754</v>
      </c>
      <c r="DD150" s="68" t="str">
        <f t="shared" si="603"/>
        <v>月</v>
      </c>
      <c r="DF150" s="155">
        <f t="shared" ref="DF150" si="610">$DC150</f>
        <v>45754</v>
      </c>
      <c r="DG150" s="156" t="e">
        <f ca="1">IF($CH150&gt;=設定!$E$12,"✕",IF(SS予約表!$CG150&gt;=設定!$E$12,"△","○"))</f>
        <v>#NAME?</v>
      </c>
    </row>
    <row r="151" spans="1:111" ht="29.25" customHeight="1">
      <c r="A151" s="284"/>
      <c r="B151" s="285"/>
      <c r="C151" s="286" t="s">
        <v>28</v>
      </c>
      <c r="D151" s="299"/>
      <c r="E151" s="300"/>
      <c r="F151" s="320"/>
      <c r="G151" s="321"/>
      <c r="H151" s="360"/>
      <c r="I151" s="324"/>
      <c r="J151" s="320"/>
      <c r="K151" s="321"/>
      <c r="L151" s="469"/>
      <c r="M151" s="445"/>
      <c r="N151" s="299"/>
      <c r="O151" s="322"/>
      <c r="P151" s="320"/>
      <c r="Q151" s="321"/>
      <c r="R151" s="320"/>
      <c r="S151" s="321"/>
      <c r="T151" s="320"/>
      <c r="U151" s="321"/>
      <c r="V151" s="320"/>
      <c r="W151" s="324"/>
      <c r="X151" s="299"/>
      <c r="Y151" s="300"/>
      <c r="Z151" s="294"/>
      <c r="AA151" s="295"/>
      <c r="AB151" s="296"/>
      <c r="AC151" s="463"/>
      <c r="AD151" s="464"/>
      <c r="AE151" s="320"/>
      <c r="AF151" s="321"/>
      <c r="AG151" s="320"/>
      <c r="AH151" s="321"/>
      <c r="AI151" s="320">
        <v>10</v>
      </c>
      <c r="AJ151" s="324" t="s">
        <v>216</v>
      </c>
      <c r="AK151" s="320"/>
      <c r="AL151" s="321"/>
      <c r="AM151" s="320"/>
      <c r="AN151" s="324"/>
      <c r="AO151" s="429"/>
      <c r="AP151" s="322"/>
      <c r="AQ151" s="320"/>
      <c r="AR151" s="321"/>
      <c r="AS151" s="320"/>
      <c r="AT151" s="321"/>
      <c r="AU151" s="320"/>
      <c r="AV151" s="324"/>
      <c r="AW151" s="411"/>
      <c r="AX151" s="470"/>
      <c r="AY151" s="325"/>
      <c r="AZ151" s="326"/>
      <c r="BA151" s="294"/>
      <c r="BB151" s="295"/>
      <c r="BC151" s="296"/>
      <c r="BD151" s="284"/>
      <c r="BE151" s="298"/>
      <c r="BF151" s="305"/>
      <c r="BG151" s="302"/>
      <c r="BH151" s="301"/>
      <c r="BI151" s="302"/>
      <c r="BJ151" s="301"/>
      <c r="BK151" s="302"/>
      <c r="BL151" s="301"/>
      <c r="BM151" s="302"/>
      <c r="BN151" s="301"/>
      <c r="BO151" s="302"/>
      <c r="BP151" s="301"/>
      <c r="BQ151" s="302"/>
      <c r="BR151" s="301"/>
      <c r="BS151" s="302"/>
      <c r="BT151" s="301"/>
      <c r="BU151" s="302"/>
      <c r="BV151" s="301"/>
      <c r="BW151" s="302"/>
      <c r="BX151" s="301"/>
      <c r="BY151" s="302"/>
      <c r="BZ151" s="306"/>
      <c r="CA151" s="304"/>
      <c r="CB151" s="294"/>
      <c r="CC151" s="295"/>
      <c r="CD151" s="296"/>
      <c r="CE151" s="284"/>
      <c r="CF151" s="298"/>
      <c r="CG151" s="307"/>
      <c r="CH151" s="308"/>
      <c r="CI151" s="309"/>
      <c r="CJ151" s="310"/>
      <c r="CK151" s="311"/>
      <c r="CL151" s="75"/>
      <c r="CN151" s="161"/>
      <c r="CO151" s="163"/>
      <c r="CP151" s="315"/>
      <c r="CQ151" s="316"/>
      <c r="CR151" s="317"/>
      <c r="CS151" s="316"/>
      <c r="CT151" s="317"/>
      <c r="CU151" s="316"/>
      <c r="CZ151" s="73">
        <v>4</v>
      </c>
      <c r="DA151" s="73">
        <v>4</v>
      </c>
      <c r="DB151" s="73">
        <v>7</v>
      </c>
      <c r="DC151" s="74">
        <f t="shared" si="563"/>
        <v>45754</v>
      </c>
      <c r="DD151" s="68" t="str">
        <f t="shared" si="603"/>
        <v>月</v>
      </c>
      <c r="DF151" s="156"/>
      <c r="DG151" s="156"/>
    </row>
    <row r="152" spans="1:111" ht="28.5" customHeight="1">
      <c r="A152" s="327">
        <f t="shared" si="572"/>
        <v>45755</v>
      </c>
      <c r="B152" s="365" t="str">
        <f t="shared" si="573"/>
        <v>火</v>
      </c>
      <c r="C152" s="329" t="s">
        <v>27</v>
      </c>
      <c r="D152" s="335"/>
      <c r="E152" s="347"/>
      <c r="F152" s="333"/>
      <c r="G152" s="381"/>
      <c r="H152" s="368"/>
      <c r="I152" s="377"/>
      <c r="J152" s="333"/>
      <c r="K152" s="381"/>
      <c r="L152" s="471"/>
      <c r="M152" s="472"/>
      <c r="N152" s="333">
        <v>15</v>
      </c>
      <c r="O152" s="337"/>
      <c r="P152" s="333"/>
      <c r="Q152" s="381"/>
      <c r="R152" s="333"/>
      <c r="S152" s="381"/>
      <c r="T152" s="333"/>
      <c r="U152" s="381"/>
      <c r="V152" s="333">
        <v>15</v>
      </c>
      <c r="W152" s="337"/>
      <c r="X152" s="335"/>
      <c r="Y152" s="347"/>
      <c r="Z152" s="342">
        <f t="shared" ref="Z152" ca="1" si="611">UDayCou(1,ROW())</f>
        <v>6</v>
      </c>
      <c r="AA152" s="343">
        <f t="shared" ref="AA152" ca="1" si="612">UNightCou(1,ROW())</f>
        <v>4</v>
      </c>
      <c r="AB152" s="344">
        <f t="shared" ref="AB152" ca="1" si="613">UNewCou(1,ROW())</f>
        <v>2</v>
      </c>
      <c r="AC152" s="461">
        <f t="shared" si="577"/>
        <v>45755</v>
      </c>
      <c r="AD152" s="462" t="str">
        <f t="shared" si="578"/>
        <v>火</v>
      </c>
      <c r="AE152" s="333"/>
      <c r="AF152" s="381"/>
      <c r="AG152" s="333"/>
      <c r="AH152" s="381"/>
      <c r="AI152" s="333"/>
      <c r="AJ152" s="377"/>
      <c r="AK152" s="333"/>
      <c r="AL152" s="381"/>
      <c r="AM152" s="333"/>
      <c r="AN152" s="377"/>
      <c r="AO152" s="430"/>
      <c r="AP152" s="409"/>
      <c r="AQ152" s="333"/>
      <c r="AR152" s="381" t="s">
        <v>163</v>
      </c>
      <c r="AS152" s="333"/>
      <c r="AT152" s="381"/>
      <c r="AU152" s="333"/>
      <c r="AV152" s="377"/>
      <c r="AW152" s="440"/>
      <c r="AX152" s="474"/>
      <c r="AY152" s="348"/>
      <c r="AZ152" s="349"/>
      <c r="BA152" s="342">
        <f ca="1">UDayCou(2,ROW())</f>
        <v>7</v>
      </c>
      <c r="BB152" s="343">
        <f ca="1">UNightCou(2,ROW())</f>
        <v>7</v>
      </c>
      <c r="BC152" s="344">
        <f ca="1">UNewCou(2,ROW())</f>
        <v>2</v>
      </c>
      <c r="BD152" s="327">
        <f t="shared" si="579"/>
        <v>45755</v>
      </c>
      <c r="BE152" s="371" t="str">
        <f t="shared" si="580"/>
        <v>火</v>
      </c>
      <c r="BF152" s="350"/>
      <c r="BG152" s="351"/>
      <c r="BH152" s="330"/>
      <c r="BI152" s="351"/>
      <c r="BJ152" s="330"/>
      <c r="BK152" s="351"/>
      <c r="BL152" s="330"/>
      <c r="BM152" s="351"/>
      <c r="BN152" s="330"/>
      <c r="BO152" s="351"/>
      <c r="BP152" s="330"/>
      <c r="BQ152" s="351"/>
      <c r="BR152" s="330"/>
      <c r="BS152" s="351"/>
      <c r="BT152" s="330"/>
      <c r="BU152" s="351"/>
      <c r="BV152" s="330"/>
      <c r="BW152" s="351"/>
      <c r="BX152" s="330"/>
      <c r="BY152" s="351"/>
      <c r="BZ152" s="389"/>
      <c r="CA152" s="341"/>
      <c r="CB152" s="342">
        <f ca="1">UDayCou(3,ROW())</f>
        <v>0</v>
      </c>
      <c r="CC152" s="343">
        <f ca="1">UNightCou(3,ROW())</f>
        <v>0</v>
      </c>
      <c r="CD152" s="344">
        <f ca="1">UNewCou(3,ROW())</f>
        <v>0</v>
      </c>
      <c r="CE152" s="327">
        <f t="shared" si="581"/>
        <v>45755</v>
      </c>
      <c r="CF152" s="371" t="str">
        <f t="shared" si="582"/>
        <v>火</v>
      </c>
      <c r="CG152" s="352">
        <f t="shared" ref="CG152" ca="1" si="614">Z152+BA152+CB152</f>
        <v>13</v>
      </c>
      <c r="CH152" s="353">
        <f t="shared" ref="CH152" ca="1" si="615">AA152+BB152+CC152</f>
        <v>11</v>
      </c>
      <c r="CI152" s="354">
        <f t="shared" ref="CI152" ca="1" si="616">AB152+BC152+CD152</f>
        <v>4</v>
      </c>
      <c r="CJ152" s="355">
        <f ca="1">COUNTIF(INDIRECT("D200:CA201"),"*●*")</f>
        <v>0</v>
      </c>
      <c r="CK152" s="356">
        <f ca="1">COUNTIF(INDIRECT("D200:CA201"),"*㋷*")</f>
        <v>0</v>
      </c>
      <c r="CL152" s="75"/>
      <c r="CN152" s="160">
        <f t="shared" si="586"/>
        <v>45755</v>
      </c>
      <c r="CO152" s="162" t="str">
        <f t="shared" si="587"/>
        <v>火</v>
      </c>
      <c r="CP152" s="357"/>
      <c r="CQ152" s="358"/>
      <c r="CR152" s="359"/>
      <c r="CS152" s="358"/>
      <c r="CT152" s="359"/>
      <c r="CU152" s="358"/>
      <c r="CZ152" s="73">
        <v>4</v>
      </c>
      <c r="DA152" s="73">
        <v>4</v>
      </c>
      <c r="DB152" s="73">
        <v>8</v>
      </c>
      <c r="DC152" s="74">
        <f t="shared" si="563"/>
        <v>45755</v>
      </c>
      <c r="DD152" s="68" t="str">
        <f t="shared" si="603"/>
        <v>火</v>
      </c>
      <c r="DF152" s="155">
        <f t="shared" ref="DF152" si="617">$DC152</f>
        <v>45755</v>
      </c>
      <c r="DG152" s="156" t="e">
        <f ca="1">IF($CH152&gt;=設定!$E$12,"✕",IF(SS予約表!$CG152&gt;=設定!$E$12,"△","○"))</f>
        <v>#NAME?</v>
      </c>
    </row>
    <row r="153" spans="1:111" ht="29.25" customHeight="1">
      <c r="A153" s="284"/>
      <c r="B153" s="285"/>
      <c r="C153" s="286" t="s">
        <v>28</v>
      </c>
      <c r="D153" s="320">
        <v>10</v>
      </c>
      <c r="E153" s="324" t="s">
        <v>50</v>
      </c>
      <c r="F153" s="320"/>
      <c r="G153" s="321"/>
      <c r="H153" s="360"/>
      <c r="I153" s="324"/>
      <c r="J153" s="320">
        <v>10</v>
      </c>
      <c r="K153" s="324" t="s">
        <v>131</v>
      </c>
      <c r="L153" s="469"/>
      <c r="M153" s="445"/>
      <c r="N153" s="320"/>
      <c r="O153" s="321"/>
      <c r="P153" s="320"/>
      <c r="Q153" s="321"/>
      <c r="R153" s="320"/>
      <c r="S153" s="321"/>
      <c r="T153" s="320"/>
      <c r="U153" s="321"/>
      <c r="V153" s="299"/>
      <c r="W153" s="300"/>
      <c r="X153" s="299"/>
      <c r="Y153" s="300"/>
      <c r="Z153" s="294"/>
      <c r="AA153" s="295"/>
      <c r="AB153" s="296"/>
      <c r="AC153" s="463"/>
      <c r="AD153" s="464"/>
      <c r="AE153" s="320"/>
      <c r="AF153" s="321"/>
      <c r="AG153" s="320">
        <v>10</v>
      </c>
      <c r="AH153" s="324" t="s">
        <v>217</v>
      </c>
      <c r="AI153" s="320"/>
      <c r="AJ153" s="324"/>
      <c r="AK153" s="360"/>
      <c r="AL153" s="321"/>
      <c r="AM153" s="320"/>
      <c r="AN153" s="324"/>
      <c r="AO153" s="429"/>
      <c r="AP153" s="322"/>
      <c r="AQ153" s="320">
        <v>10</v>
      </c>
      <c r="AR153" s="324" t="s">
        <v>172</v>
      </c>
      <c r="AS153" s="320"/>
      <c r="AT153" s="321"/>
      <c r="AU153" s="320"/>
      <c r="AV153" s="324"/>
      <c r="AW153" s="411">
        <v>10</v>
      </c>
      <c r="AX153" s="445" t="s">
        <v>218</v>
      </c>
      <c r="AY153" s="325"/>
      <c r="AZ153" s="326"/>
      <c r="BA153" s="294"/>
      <c r="BB153" s="295"/>
      <c r="BC153" s="296"/>
      <c r="BD153" s="284"/>
      <c r="BE153" s="298"/>
      <c r="BF153" s="305"/>
      <c r="BG153" s="302"/>
      <c r="BH153" s="301"/>
      <c r="BI153" s="302"/>
      <c r="BJ153" s="301"/>
      <c r="BK153" s="302"/>
      <c r="BL153" s="301"/>
      <c r="BM153" s="302"/>
      <c r="BN153" s="301"/>
      <c r="BO153" s="302"/>
      <c r="BP153" s="301"/>
      <c r="BQ153" s="302"/>
      <c r="BR153" s="301"/>
      <c r="BS153" s="302"/>
      <c r="BT153" s="301"/>
      <c r="BU153" s="302"/>
      <c r="BV153" s="301"/>
      <c r="BW153" s="302"/>
      <c r="BX153" s="301"/>
      <c r="BY153" s="302"/>
      <c r="BZ153" s="306"/>
      <c r="CA153" s="304"/>
      <c r="CB153" s="294"/>
      <c r="CC153" s="295"/>
      <c r="CD153" s="296"/>
      <c r="CE153" s="284"/>
      <c r="CF153" s="298"/>
      <c r="CG153" s="307"/>
      <c r="CH153" s="308"/>
      <c r="CI153" s="309"/>
      <c r="CJ153" s="310"/>
      <c r="CK153" s="311"/>
      <c r="CL153" s="75"/>
      <c r="CN153" s="161"/>
      <c r="CO153" s="163"/>
      <c r="CP153" s="315"/>
      <c r="CQ153" s="316"/>
      <c r="CR153" s="317"/>
      <c r="CS153" s="316"/>
      <c r="CT153" s="317"/>
      <c r="CU153" s="316"/>
      <c r="CZ153" s="73">
        <v>4</v>
      </c>
      <c r="DA153" s="73">
        <v>4</v>
      </c>
      <c r="DB153" s="73">
        <v>8</v>
      </c>
      <c r="DC153" s="74">
        <f t="shared" si="563"/>
        <v>45755</v>
      </c>
      <c r="DD153" s="68" t="str">
        <f t="shared" si="603"/>
        <v>火</v>
      </c>
      <c r="DF153" s="156"/>
      <c r="DG153" s="156"/>
    </row>
    <row r="154" spans="1:111" ht="28.5" customHeight="1">
      <c r="A154" s="327">
        <f t="shared" si="572"/>
        <v>45756</v>
      </c>
      <c r="B154" s="365" t="str">
        <f t="shared" si="573"/>
        <v>水</v>
      </c>
      <c r="C154" s="329" t="s">
        <v>27</v>
      </c>
      <c r="D154" s="333"/>
      <c r="E154" s="377"/>
      <c r="F154" s="333"/>
      <c r="G154" s="381"/>
      <c r="H154" s="368"/>
      <c r="I154" s="377"/>
      <c r="J154" s="333"/>
      <c r="K154" s="377"/>
      <c r="L154" s="471"/>
      <c r="M154" s="472"/>
      <c r="N154" s="333"/>
      <c r="O154" s="381"/>
      <c r="P154" s="333"/>
      <c r="Q154" s="381"/>
      <c r="R154" s="333"/>
      <c r="S154" s="381"/>
      <c r="T154" s="333"/>
      <c r="U154" s="381"/>
      <c r="V154" s="335"/>
      <c r="W154" s="347"/>
      <c r="X154" s="335"/>
      <c r="Y154" s="347"/>
      <c r="Z154" s="342">
        <f t="shared" ref="Z154" ca="1" si="618">UDayCou(1,ROW())</f>
        <v>5</v>
      </c>
      <c r="AA154" s="343">
        <f t="shared" ref="AA154" ca="1" si="619">UNightCou(1,ROW())</f>
        <v>5</v>
      </c>
      <c r="AB154" s="344">
        <f t="shared" ref="AB154" ca="1" si="620">UNewCou(1,ROW())</f>
        <v>2</v>
      </c>
      <c r="AC154" s="461">
        <f t="shared" si="577"/>
        <v>45756</v>
      </c>
      <c r="AD154" s="462" t="str">
        <f t="shared" si="578"/>
        <v>水</v>
      </c>
      <c r="AE154" s="333"/>
      <c r="AF154" s="381"/>
      <c r="AG154" s="333"/>
      <c r="AH154" s="377"/>
      <c r="AI154" s="333"/>
      <c r="AJ154" s="377"/>
      <c r="AK154" s="368"/>
      <c r="AL154" s="381"/>
      <c r="AM154" s="333"/>
      <c r="AN154" s="377"/>
      <c r="AO154" s="430"/>
      <c r="AP154" s="409"/>
      <c r="AQ154" s="333"/>
      <c r="AR154" s="377"/>
      <c r="AS154" s="333"/>
      <c r="AT154" s="381"/>
      <c r="AU154" s="333"/>
      <c r="AV154" s="377"/>
      <c r="AW154" s="440"/>
      <c r="AX154" s="472"/>
      <c r="AY154" s="348"/>
      <c r="AZ154" s="349"/>
      <c r="BA154" s="342">
        <f ca="1">UDayCou(2,ROW())</f>
        <v>8</v>
      </c>
      <c r="BB154" s="343">
        <f ca="1">UNightCou(2,ROW())</f>
        <v>8</v>
      </c>
      <c r="BC154" s="344">
        <f ca="1">UNewCou(2,ROW())</f>
        <v>2</v>
      </c>
      <c r="BD154" s="327">
        <f t="shared" si="579"/>
        <v>45756</v>
      </c>
      <c r="BE154" s="371" t="str">
        <f t="shared" si="580"/>
        <v>水</v>
      </c>
      <c r="BF154" s="350"/>
      <c r="BG154" s="351"/>
      <c r="BH154" s="330"/>
      <c r="BI154" s="351"/>
      <c r="BJ154" s="330"/>
      <c r="BK154" s="351"/>
      <c r="BL154" s="330"/>
      <c r="BM154" s="351"/>
      <c r="BN154" s="330"/>
      <c r="BO154" s="351"/>
      <c r="BP154" s="330"/>
      <c r="BQ154" s="351"/>
      <c r="BR154" s="330"/>
      <c r="BS154" s="351"/>
      <c r="BT154" s="330"/>
      <c r="BU154" s="351"/>
      <c r="BV154" s="330"/>
      <c r="BW154" s="351"/>
      <c r="BX154" s="330"/>
      <c r="BY154" s="351"/>
      <c r="BZ154" s="389"/>
      <c r="CA154" s="341"/>
      <c r="CB154" s="342">
        <f ca="1">UDayCou(3,ROW())</f>
        <v>0</v>
      </c>
      <c r="CC154" s="343">
        <f ca="1">UNightCou(3,ROW())</f>
        <v>0</v>
      </c>
      <c r="CD154" s="344">
        <f ca="1">UNewCou(3,ROW())</f>
        <v>0</v>
      </c>
      <c r="CE154" s="327">
        <f t="shared" si="581"/>
        <v>45756</v>
      </c>
      <c r="CF154" s="371" t="str">
        <f t="shared" si="582"/>
        <v>水</v>
      </c>
      <c r="CG154" s="352">
        <f t="shared" ref="CG154" ca="1" si="621">Z154+BA154+CB154</f>
        <v>13</v>
      </c>
      <c r="CH154" s="353">
        <f t="shared" ref="CH154" ca="1" si="622">AA154+BB154+CC154</f>
        <v>13</v>
      </c>
      <c r="CI154" s="354">
        <f t="shared" ref="CI154" ca="1" si="623">AB154+BC154+CD154</f>
        <v>4</v>
      </c>
      <c r="CJ154" s="355">
        <f ca="1">COUNTIF(INDIRECT("D202:CA203"),"*●*")</f>
        <v>0</v>
      </c>
      <c r="CK154" s="356">
        <f ca="1">COUNTIF(INDIRECT("D202:CA203"),"*㋷*")</f>
        <v>0</v>
      </c>
      <c r="CL154" s="75"/>
      <c r="CN154" s="160">
        <f t="shared" si="586"/>
        <v>45756</v>
      </c>
      <c r="CO154" s="162" t="str">
        <f t="shared" si="587"/>
        <v>水</v>
      </c>
      <c r="CP154" s="357"/>
      <c r="CQ154" s="358"/>
      <c r="CR154" s="359"/>
      <c r="CS154" s="358"/>
      <c r="CT154" s="359"/>
      <c r="CU154" s="358"/>
      <c r="CZ154" s="73">
        <v>4</v>
      </c>
      <c r="DA154" s="73">
        <v>4</v>
      </c>
      <c r="DB154" s="73">
        <v>9</v>
      </c>
      <c r="DC154" s="74">
        <f t="shared" si="563"/>
        <v>45756</v>
      </c>
      <c r="DD154" s="68" t="str">
        <f t="shared" si="603"/>
        <v>水</v>
      </c>
      <c r="DF154" s="155">
        <f t="shared" ref="DF154" si="624">$DC154</f>
        <v>45756</v>
      </c>
      <c r="DG154" s="156" t="e">
        <f ca="1">IF($CH154&gt;=設定!$E$12,"✕",IF(SS予約表!$CG154&gt;=設定!$E$12,"△","○"))</f>
        <v>#NAME?</v>
      </c>
    </row>
    <row r="155" spans="1:111" ht="29.25" customHeight="1">
      <c r="A155" s="284"/>
      <c r="B155" s="285"/>
      <c r="C155" s="286" t="s">
        <v>28</v>
      </c>
      <c r="D155" s="320"/>
      <c r="E155" s="324"/>
      <c r="F155" s="320">
        <v>10</v>
      </c>
      <c r="G155" s="324" t="s">
        <v>50</v>
      </c>
      <c r="H155" s="360"/>
      <c r="I155" s="324"/>
      <c r="J155" s="320"/>
      <c r="K155" s="324"/>
      <c r="L155" s="469"/>
      <c r="M155" s="445"/>
      <c r="N155" s="320"/>
      <c r="O155" s="321"/>
      <c r="P155" s="320"/>
      <c r="Q155" s="321"/>
      <c r="R155" s="320"/>
      <c r="S155" s="321"/>
      <c r="T155" s="320"/>
      <c r="U155" s="321"/>
      <c r="V155" s="299"/>
      <c r="W155" s="300"/>
      <c r="X155" s="299"/>
      <c r="Y155" s="300"/>
      <c r="Z155" s="294"/>
      <c r="AA155" s="295"/>
      <c r="AB155" s="296"/>
      <c r="AC155" s="463"/>
      <c r="AD155" s="464"/>
      <c r="AE155" s="320"/>
      <c r="AF155" s="321"/>
      <c r="AG155" s="320"/>
      <c r="AH155" s="324"/>
      <c r="AI155" s="320"/>
      <c r="AJ155" s="324"/>
      <c r="AK155" s="422" t="s">
        <v>219</v>
      </c>
      <c r="AL155" s="384" t="s">
        <v>220</v>
      </c>
      <c r="AM155" s="320"/>
      <c r="AN155" s="324"/>
      <c r="AO155" s="429"/>
      <c r="AP155" s="322"/>
      <c r="AQ155" s="320"/>
      <c r="AR155" s="324"/>
      <c r="AS155" s="320"/>
      <c r="AT155" s="321"/>
      <c r="AU155" s="320"/>
      <c r="AV155" s="324"/>
      <c r="AW155" s="411"/>
      <c r="AX155" s="445"/>
      <c r="AY155" s="325"/>
      <c r="AZ155" s="326"/>
      <c r="BA155" s="294"/>
      <c r="BB155" s="295"/>
      <c r="BC155" s="296"/>
      <c r="BD155" s="284"/>
      <c r="BE155" s="298"/>
      <c r="BF155" s="305"/>
      <c r="BG155" s="302"/>
      <c r="BH155" s="301"/>
      <c r="BI155" s="302"/>
      <c r="BJ155" s="301"/>
      <c r="BK155" s="302"/>
      <c r="BL155" s="301"/>
      <c r="BM155" s="302"/>
      <c r="BN155" s="301"/>
      <c r="BO155" s="302"/>
      <c r="BP155" s="301"/>
      <c r="BQ155" s="302"/>
      <c r="BR155" s="301"/>
      <c r="BS155" s="302"/>
      <c r="BT155" s="301"/>
      <c r="BU155" s="302"/>
      <c r="BV155" s="301"/>
      <c r="BW155" s="302"/>
      <c r="BX155" s="301"/>
      <c r="BY155" s="302"/>
      <c r="BZ155" s="306"/>
      <c r="CA155" s="304"/>
      <c r="CB155" s="294"/>
      <c r="CC155" s="295"/>
      <c r="CD155" s="296"/>
      <c r="CE155" s="284"/>
      <c r="CF155" s="298"/>
      <c r="CG155" s="307"/>
      <c r="CH155" s="308"/>
      <c r="CI155" s="309"/>
      <c r="CJ155" s="310"/>
      <c r="CK155" s="311"/>
      <c r="CL155" s="75"/>
      <c r="CN155" s="161"/>
      <c r="CO155" s="163"/>
      <c r="CP155" s="315"/>
      <c r="CQ155" s="316"/>
      <c r="CR155" s="317"/>
      <c r="CS155" s="316"/>
      <c r="CT155" s="317"/>
      <c r="CU155" s="316"/>
      <c r="CZ155" s="73">
        <v>4</v>
      </c>
      <c r="DA155" s="73">
        <v>4</v>
      </c>
      <c r="DB155" s="73">
        <v>9</v>
      </c>
      <c r="DC155" s="74">
        <f t="shared" si="563"/>
        <v>45756</v>
      </c>
      <c r="DD155" s="68" t="str">
        <f t="shared" si="603"/>
        <v>水</v>
      </c>
      <c r="DF155" s="156"/>
      <c r="DG155" s="156"/>
    </row>
    <row r="156" spans="1:111" ht="28.5" customHeight="1">
      <c r="A156" s="327">
        <f t="shared" si="572"/>
        <v>45757</v>
      </c>
      <c r="B156" s="365" t="str">
        <f t="shared" si="573"/>
        <v>木</v>
      </c>
      <c r="C156" s="329" t="s">
        <v>27</v>
      </c>
      <c r="D156" s="333"/>
      <c r="E156" s="377"/>
      <c r="F156" s="333"/>
      <c r="G156" s="377"/>
      <c r="H156" s="368"/>
      <c r="I156" s="377"/>
      <c r="J156" s="333">
        <v>15</v>
      </c>
      <c r="K156" s="337"/>
      <c r="L156" s="471"/>
      <c r="M156" s="472"/>
      <c r="N156" s="333"/>
      <c r="O156" s="381"/>
      <c r="P156" s="333"/>
      <c r="Q156" s="381"/>
      <c r="R156" s="333"/>
      <c r="S156" s="381"/>
      <c r="T156" s="333"/>
      <c r="U156" s="381"/>
      <c r="V156" s="335"/>
      <c r="W156" s="347"/>
      <c r="X156" s="335"/>
      <c r="Y156" s="347"/>
      <c r="Z156" s="342">
        <f t="shared" ref="Z156" ca="1" si="625">UDayCou(1,ROW())</f>
        <v>5</v>
      </c>
      <c r="AA156" s="343">
        <f t="shared" ref="AA156" ca="1" si="626">UNightCou(1,ROW())</f>
        <v>4</v>
      </c>
      <c r="AB156" s="344">
        <f t="shared" ref="AB156" ca="1" si="627">UNewCou(1,ROW())</f>
        <v>2</v>
      </c>
      <c r="AC156" s="461">
        <f t="shared" si="577"/>
        <v>45757</v>
      </c>
      <c r="AD156" s="462" t="str">
        <f t="shared" si="578"/>
        <v>木</v>
      </c>
      <c r="AE156" s="333"/>
      <c r="AF156" s="381"/>
      <c r="AG156" s="333">
        <v>15</v>
      </c>
      <c r="AH156" s="337"/>
      <c r="AI156" s="333">
        <v>15</v>
      </c>
      <c r="AJ156" s="337"/>
      <c r="AK156" s="425" t="s">
        <v>39</v>
      </c>
      <c r="AL156" s="379"/>
      <c r="AM156" s="333"/>
      <c r="AN156" s="377"/>
      <c r="AO156" s="430"/>
      <c r="AP156" s="409"/>
      <c r="AQ156" s="333"/>
      <c r="AR156" s="377"/>
      <c r="AS156" s="333"/>
      <c r="AT156" s="381"/>
      <c r="AU156" s="333"/>
      <c r="AV156" s="377"/>
      <c r="AW156" s="440"/>
      <c r="AX156" s="472"/>
      <c r="AY156" s="348"/>
      <c r="AZ156" s="349"/>
      <c r="BA156" s="342">
        <f ca="1">UDayCou(2,ROW())</f>
        <v>8</v>
      </c>
      <c r="BB156" s="343">
        <f ca="1">UNightCou(2,ROW())</f>
        <v>6</v>
      </c>
      <c r="BC156" s="344">
        <f ca="1">UNewCou(2,ROW())</f>
        <v>1</v>
      </c>
      <c r="BD156" s="327">
        <f t="shared" si="579"/>
        <v>45757</v>
      </c>
      <c r="BE156" s="371" t="str">
        <f t="shared" si="580"/>
        <v>木</v>
      </c>
      <c r="BF156" s="350"/>
      <c r="BG156" s="351"/>
      <c r="BH156" s="330"/>
      <c r="BI156" s="351"/>
      <c r="BJ156" s="330"/>
      <c r="BK156" s="351"/>
      <c r="BL156" s="330"/>
      <c r="BM156" s="351"/>
      <c r="BN156" s="330"/>
      <c r="BO156" s="351"/>
      <c r="BP156" s="330"/>
      <c r="BQ156" s="351"/>
      <c r="BR156" s="330"/>
      <c r="BS156" s="351"/>
      <c r="BT156" s="330"/>
      <c r="BU156" s="351"/>
      <c r="BV156" s="330"/>
      <c r="BW156" s="351"/>
      <c r="BX156" s="330"/>
      <c r="BY156" s="351"/>
      <c r="BZ156" s="389"/>
      <c r="CA156" s="341"/>
      <c r="CB156" s="342">
        <f ca="1">UDayCou(3,ROW())</f>
        <v>0</v>
      </c>
      <c r="CC156" s="343">
        <f ca="1">UNightCou(3,ROW())</f>
        <v>0</v>
      </c>
      <c r="CD156" s="344">
        <f ca="1">UNewCou(3,ROW())</f>
        <v>0</v>
      </c>
      <c r="CE156" s="327">
        <f t="shared" si="581"/>
        <v>45757</v>
      </c>
      <c r="CF156" s="371" t="str">
        <f t="shared" si="582"/>
        <v>木</v>
      </c>
      <c r="CG156" s="352">
        <f t="shared" ref="CG156" ca="1" si="628">Z156+BA156+CB156</f>
        <v>13</v>
      </c>
      <c r="CH156" s="353">
        <f t="shared" ref="CH156" ca="1" si="629">AA156+BB156+CC156</f>
        <v>10</v>
      </c>
      <c r="CI156" s="354">
        <f t="shared" ref="CI156" ca="1" si="630">AB156+BC156+CD156</f>
        <v>3</v>
      </c>
      <c r="CJ156" s="355">
        <f ca="1">COUNTIF(INDIRECT("D204:CA205"),"*●*")</f>
        <v>0</v>
      </c>
      <c r="CK156" s="356">
        <f ca="1">COUNTIF(INDIRECT("D204:CA205"),"*㋷*")</f>
        <v>0</v>
      </c>
      <c r="CL156" s="75"/>
      <c r="CN156" s="160">
        <f t="shared" si="586"/>
        <v>45757</v>
      </c>
      <c r="CO156" s="162" t="str">
        <f t="shared" si="587"/>
        <v>木</v>
      </c>
      <c r="CP156" s="357"/>
      <c r="CQ156" s="358"/>
      <c r="CR156" s="359"/>
      <c r="CS156" s="358"/>
      <c r="CT156" s="359"/>
      <c r="CU156" s="358"/>
      <c r="CZ156" s="73">
        <v>4</v>
      </c>
      <c r="DA156" s="73">
        <v>4</v>
      </c>
      <c r="DB156" s="73">
        <v>10</v>
      </c>
      <c r="DC156" s="74">
        <f t="shared" si="563"/>
        <v>45757</v>
      </c>
      <c r="DD156" s="68" t="str">
        <f t="shared" si="603"/>
        <v>木</v>
      </c>
      <c r="DF156" s="155">
        <f t="shared" ref="DF156" si="631">$DC156</f>
        <v>45757</v>
      </c>
      <c r="DG156" s="156" t="e">
        <f ca="1">IF($CH156&gt;=設定!$E$12,"✕",IF(SS予約表!$CG156&gt;=設定!$E$12,"△","○"))</f>
        <v>#NAME?</v>
      </c>
    </row>
    <row r="157" spans="1:111" ht="29.25" customHeight="1" thickBot="1">
      <c r="A157" s="284"/>
      <c r="B157" s="285"/>
      <c r="C157" s="286" t="s">
        <v>28</v>
      </c>
      <c r="D157" s="320"/>
      <c r="E157" s="324"/>
      <c r="F157" s="320"/>
      <c r="G157" s="324"/>
      <c r="H157" s="360"/>
      <c r="I157" s="324"/>
      <c r="J157" s="320"/>
      <c r="K157" s="321"/>
      <c r="L157" s="469"/>
      <c r="M157" s="445"/>
      <c r="N157" s="320"/>
      <c r="O157" s="321"/>
      <c r="P157" s="320"/>
      <c r="Q157" s="321"/>
      <c r="R157" s="320"/>
      <c r="S157" s="321"/>
      <c r="T157" s="299"/>
      <c r="U157" s="300"/>
      <c r="V157" s="299"/>
      <c r="W157" s="300"/>
      <c r="X157" s="299"/>
      <c r="Y157" s="300"/>
      <c r="Z157" s="294"/>
      <c r="AA157" s="295"/>
      <c r="AB157" s="296"/>
      <c r="AC157" s="463"/>
      <c r="AD157" s="464"/>
      <c r="AE157" s="320"/>
      <c r="AF157" s="321"/>
      <c r="AG157" s="476"/>
      <c r="AH157" s="321"/>
      <c r="AI157" s="422"/>
      <c r="AJ157" s="423"/>
      <c r="AK157" s="422" t="s">
        <v>39</v>
      </c>
      <c r="AL157" s="364"/>
      <c r="AM157" s="320"/>
      <c r="AN157" s="324"/>
      <c r="AO157" s="429"/>
      <c r="AP157" s="322"/>
      <c r="AQ157" s="320"/>
      <c r="AR157" s="324"/>
      <c r="AS157" s="320"/>
      <c r="AT157" s="321"/>
      <c r="AU157" s="320"/>
      <c r="AV157" s="324"/>
      <c r="AW157" s="411"/>
      <c r="AX157" s="445"/>
      <c r="AY157" s="325"/>
      <c r="AZ157" s="326"/>
      <c r="BA157" s="294"/>
      <c r="BB157" s="295"/>
      <c r="BC157" s="296"/>
      <c r="BD157" s="284"/>
      <c r="BE157" s="298"/>
      <c r="BF157" s="305"/>
      <c r="BG157" s="302"/>
      <c r="BH157" s="301"/>
      <c r="BI157" s="302"/>
      <c r="BJ157" s="301"/>
      <c r="BK157" s="302"/>
      <c r="BL157" s="301"/>
      <c r="BM157" s="302"/>
      <c r="BN157" s="301"/>
      <c r="BO157" s="302"/>
      <c r="BP157" s="301"/>
      <c r="BQ157" s="302"/>
      <c r="BR157" s="301"/>
      <c r="BS157" s="302"/>
      <c r="BT157" s="301"/>
      <c r="BU157" s="302"/>
      <c r="BV157" s="301"/>
      <c r="BW157" s="302"/>
      <c r="BX157" s="301"/>
      <c r="BY157" s="302"/>
      <c r="BZ157" s="306"/>
      <c r="CA157" s="304"/>
      <c r="CB157" s="294"/>
      <c r="CC157" s="295"/>
      <c r="CD157" s="296"/>
      <c r="CE157" s="284"/>
      <c r="CF157" s="298"/>
      <c r="CG157" s="307"/>
      <c r="CH157" s="308"/>
      <c r="CI157" s="309"/>
      <c r="CJ157" s="310"/>
      <c r="CK157" s="311"/>
      <c r="CL157" s="75"/>
      <c r="CN157" s="161"/>
      <c r="CO157" s="163"/>
      <c r="CP157" s="315"/>
      <c r="CQ157" s="316"/>
      <c r="CR157" s="317"/>
      <c r="CS157" s="316"/>
      <c r="CT157" s="317"/>
      <c r="CU157" s="316"/>
      <c r="CZ157" s="73">
        <v>4</v>
      </c>
      <c r="DA157" s="73">
        <v>4</v>
      </c>
      <c r="DB157" s="73">
        <v>10</v>
      </c>
      <c r="DC157" s="74">
        <f t="shared" si="563"/>
        <v>45757</v>
      </c>
      <c r="DD157" s="68" t="str">
        <f t="shared" si="603"/>
        <v>木</v>
      </c>
      <c r="DF157" s="156"/>
      <c r="DG157" s="156"/>
    </row>
    <row r="158" spans="1:111" ht="28.5" customHeight="1">
      <c r="A158" s="491">
        <f t="shared" si="572"/>
        <v>45758</v>
      </c>
      <c r="B158" s="524" t="str">
        <f t="shared" si="573"/>
        <v>金</v>
      </c>
      <c r="C158" s="493" t="s">
        <v>27</v>
      </c>
      <c r="D158" s="497"/>
      <c r="E158" s="527"/>
      <c r="F158" s="497">
        <v>15</v>
      </c>
      <c r="G158" s="501"/>
      <c r="H158" s="529"/>
      <c r="I158" s="527"/>
      <c r="J158" s="497"/>
      <c r="K158" s="526"/>
      <c r="L158" s="568"/>
      <c r="M158" s="569"/>
      <c r="N158" s="497"/>
      <c r="O158" s="526"/>
      <c r="P158" s="497"/>
      <c r="Q158" s="526"/>
      <c r="R158" s="497"/>
      <c r="S158" s="526" t="s">
        <v>57</v>
      </c>
      <c r="T158" s="499"/>
      <c r="U158" s="511"/>
      <c r="V158" s="499"/>
      <c r="W158" s="511"/>
      <c r="X158" s="499"/>
      <c r="Y158" s="511"/>
      <c r="Z158" s="506">
        <f t="shared" ref="Z158" ca="1" si="632">UDayCou(1,ROW())</f>
        <v>9</v>
      </c>
      <c r="AA158" s="507">
        <f t="shared" ref="AA158" ca="1" si="633">UNightCou(1,ROW())</f>
        <v>8</v>
      </c>
      <c r="AB158" s="508">
        <f t="shared" ref="AB158" ca="1" si="634">UNewCou(1,ROW())</f>
        <v>3</v>
      </c>
      <c r="AC158" s="559">
        <f t="shared" si="577"/>
        <v>45758</v>
      </c>
      <c r="AD158" s="560" t="str">
        <f t="shared" si="578"/>
        <v>金</v>
      </c>
      <c r="AE158" s="497"/>
      <c r="AF158" s="526"/>
      <c r="AG158" s="570"/>
      <c r="AH158" s="526"/>
      <c r="AI158" s="549"/>
      <c r="AJ158" s="553"/>
      <c r="AK158" s="549" t="s">
        <v>221</v>
      </c>
      <c r="AL158" s="573"/>
      <c r="AM158" s="497"/>
      <c r="AN158" s="527"/>
      <c r="AO158" s="547"/>
      <c r="AP158" s="548"/>
      <c r="AQ158" s="497"/>
      <c r="AR158" s="527"/>
      <c r="AS158" s="497"/>
      <c r="AT158" s="526"/>
      <c r="AU158" s="497"/>
      <c r="AV158" s="527"/>
      <c r="AW158" s="554"/>
      <c r="AX158" s="569"/>
      <c r="AY158" s="512"/>
      <c r="AZ158" s="513"/>
      <c r="BA158" s="506">
        <f ca="1">UDayCou(2,ROW())</f>
        <v>9</v>
      </c>
      <c r="BB158" s="507">
        <f ca="1">UNightCou(2,ROW())</f>
        <v>8</v>
      </c>
      <c r="BC158" s="508">
        <f ca="1">UNewCou(2,ROW())</f>
        <v>1</v>
      </c>
      <c r="BD158" s="491">
        <f t="shared" si="579"/>
        <v>45758</v>
      </c>
      <c r="BE158" s="531" t="str">
        <f t="shared" si="580"/>
        <v>金</v>
      </c>
      <c r="BF158" s="514"/>
      <c r="BG158" s="515"/>
      <c r="BH158" s="494"/>
      <c r="BI158" s="515"/>
      <c r="BJ158" s="494"/>
      <c r="BK158" s="515"/>
      <c r="BL158" s="494"/>
      <c r="BM158" s="515"/>
      <c r="BN158" s="494"/>
      <c r="BO158" s="515"/>
      <c r="BP158" s="494"/>
      <c r="BQ158" s="515"/>
      <c r="BR158" s="494"/>
      <c r="BS158" s="515"/>
      <c r="BT158" s="494"/>
      <c r="BU158" s="515"/>
      <c r="BV158" s="494"/>
      <c r="BW158" s="515"/>
      <c r="BX158" s="494"/>
      <c r="BY158" s="515"/>
      <c r="BZ158" s="530"/>
      <c r="CA158" s="505"/>
      <c r="CB158" s="506">
        <f ca="1">UDayCou(3,ROW())</f>
        <v>0</v>
      </c>
      <c r="CC158" s="507">
        <f ca="1">UNightCou(3,ROW())</f>
        <v>0</v>
      </c>
      <c r="CD158" s="508">
        <f ca="1">UNewCou(3,ROW())</f>
        <v>0</v>
      </c>
      <c r="CE158" s="491">
        <f t="shared" si="581"/>
        <v>45758</v>
      </c>
      <c r="CF158" s="531" t="str">
        <f t="shared" si="582"/>
        <v>金</v>
      </c>
      <c r="CG158" s="516">
        <f t="shared" ref="CG158" ca="1" si="635">Z158+BA158+CB158</f>
        <v>18</v>
      </c>
      <c r="CH158" s="517">
        <f t="shared" ref="CH158" ca="1" si="636">AA158+BB158+CC158</f>
        <v>16</v>
      </c>
      <c r="CI158" s="518">
        <f t="shared" ref="CI158" ca="1" si="637">AB158+BC158+CD158</f>
        <v>4</v>
      </c>
      <c r="CJ158" s="519">
        <f ca="1">COUNTIF(INDIRECT("D206:CA207"),"*●*")</f>
        <v>0</v>
      </c>
      <c r="CK158" s="520">
        <f ca="1">COUNTIF(INDIRECT("D206:CA207"),"*㋷*")</f>
        <v>0</v>
      </c>
      <c r="CL158" s="75"/>
      <c r="CN158" s="164">
        <f t="shared" si="586"/>
        <v>45758</v>
      </c>
      <c r="CO158" s="165" t="str">
        <f t="shared" si="587"/>
        <v>金</v>
      </c>
      <c r="CP158" s="521"/>
      <c r="CQ158" s="522"/>
      <c r="CR158" s="523"/>
      <c r="CS158" s="522"/>
      <c r="CT158" s="523"/>
      <c r="CU158" s="522"/>
      <c r="CZ158" s="73">
        <v>4</v>
      </c>
      <c r="DA158" s="73">
        <v>4</v>
      </c>
      <c r="DB158" s="73">
        <v>11</v>
      </c>
      <c r="DC158" s="74">
        <f t="shared" si="563"/>
        <v>45758</v>
      </c>
      <c r="DD158" s="68" t="str">
        <f t="shared" si="603"/>
        <v>金</v>
      </c>
      <c r="DF158" s="155">
        <f t="shared" ref="DF158" si="638">$DC158</f>
        <v>45758</v>
      </c>
      <c r="DG158" s="156" t="e">
        <f ca="1">IF($CH158&gt;=設定!$E$12,"✕",IF(SS予約表!$CG158&gt;=設定!$E$12,"△","○"))</f>
        <v>#NAME?</v>
      </c>
    </row>
    <row r="159" spans="1:111" ht="29.25" customHeight="1">
      <c r="A159" s="284"/>
      <c r="B159" s="285"/>
      <c r="C159" s="286" t="s">
        <v>28</v>
      </c>
      <c r="D159" s="320"/>
      <c r="E159" s="324"/>
      <c r="F159" s="360">
        <v>10</v>
      </c>
      <c r="G159" s="324" t="s">
        <v>222</v>
      </c>
      <c r="H159" s="360"/>
      <c r="I159" s="324"/>
      <c r="J159" s="320">
        <v>10</v>
      </c>
      <c r="K159" s="324" t="s">
        <v>111</v>
      </c>
      <c r="L159" s="469"/>
      <c r="M159" s="445"/>
      <c r="N159" s="320">
        <v>10</v>
      </c>
      <c r="O159" s="324" t="s">
        <v>215</v>
      </c>
      <c r="P159" s="320">
        <v>10</v>
      </c>
      <c r="Q159" s="324" t="s">
        <v>110</v>
      </c>
      <c r="R159" s="299">
        <v>10</v>
      </c>
      <c r="S159" s="441" t="s">
        <v>97</v>
      </c>
      <c r="T159" s="299"/>
      <c r="U159" s="300"/>
      <c r="V159" s="299"/>
      <c r="W159" s="300"/>
      <c r="X159" s="299"/>
      <c r="Y159" s="300"/>
      <c r="Z159" s="294"/>
      <c r="AA159" s="295"/>
      <c r="AB159" s="296"/>
      <c r="AC159" s="463"/>
      <c r="AD159" s="464"/>
      <c r="AE159" s="320">
        <v>10</v>
      </c>
      <c r="AF159" s="324" t="s">
        <v>223</v>
      </c>
      <c r="AG159" s="289">
        <v>10</v>
      </c>
      <c r="AH159" s="324" t="s">
        <v>110</v>
      </c>
      <c r="AI159" s="320">
        <v>10</v>
      </c>
      <c r="AJ159" s="324" t="s">
        <v>103</v>
      </c>
      <c r="AK159" s="411"/>
      <c r="AL159" s="470"/>
      <c r="AM159" s="320"/>
      <c r="AN159" s="324"/>
      <c r="AO159" s="429"/>
      <c r="AP159" s="446"/>
      <c r="AQ159" s="320"/>
      <c r="AR159" s="324"/>
      <c r="AS159" s="320"/>
      <c r="AT159" s="321"/>
      <c r="AU159" s="320"/>
      <c r="AV159" s="324"/>
      <c r="AW159" s="411"/>
      <c r="AX159" s="445"/>
      <c r="AY159" s="325"/>
      <c r="AZ159" s="326"/>
      <c r="BA159" s="294"/>
      <c r="BB159" s="295"/>
      <c r="BC159" s="296"/>
      <c r="BD159" s="284"/>
      <c r="BE159" s="298"/>
      <c r="BF159" s="305"/>
      <c r="BG159" s="302"/>
      <c r="BH159" s="301"/>
      <c r="BI159" s="302"/>
      <c r="BJ159" s="301"/>
      <c r="BK159" s="302"/>
      <c r="BL159" s="301"/>
      <c r="BM159" s="302"/>
      <c r="BN159" s="301"/>
      <c r="BO159" s="302"/>
      <c r="BP159" s="301"/>
      <c r="BQ159" s="302"/>
      <c r="BR159" s="301"/>
      <c r="BS159" s="302"/>
      <c r="BT159" s="301"/>
      <c r="BU159" s="302"/>
      <c r="BV159" s="301"/>
      <c r="BW159" s="302"/>
      <c r="BX159" s="301"/>
      <c r="BY159" s="302"/>
      <c r="BZ159" s="306"/>
      <c r="CA159" s="304"/>
      <c r="CB159" s="294"/>
      <c r="CC159" s="295"/>
      <c r="CD159" s="296"/>
      <c r="CE159" s="284"/>
      <c r="CF159" s="298"/>
      <c r="CG159" s="307"/>
      <c r="CH159" s="308"/>
      <c r="CI159" s="309"/>
      <c r="CJ159" s="310"/>
      <c r="CK159" s="311"/>
      <c r="CL159" s="75"/>
      <c r="CN159" s="161"/>
      <c r="CO159" s="163"/>
      <c r="CP159" s="315"/>
      <c r="CQ159" s="316"/>
      <c r="CR159" s="317"/>
      <c r="CS159" s="316"/>
      <c r="CT159" s="317"/>
      <c r="CU159" s="316"/>
      <c r="CZ159" s="73">
        <v>4</v>
      </c>
      <c r="DA159" s="73">
        <v>4</v>
      </c>
      <c r="DB159" s="73">
        <v>11</v>
      </c>
      <c r="DC159" s="74">
        <f t="shared" si="563"/>
        <v>45758</v>
      </c>
      <c r="DD159" s="68" t="str">
        <f t="shared" si="603"/>
        <v>金</v>
      </c>
      <c r="DF159" s="156"/>
      <c r="DG159" s="156"/>
    </row>
    <row r="160" spans="1:111" ht="28.5" customHeight="1">
      <c r="A160" s="327">
        <f t="shared" si="572"/>
        <v>45759</v>
      </c>
      <c r="B160" s="393" t="str">
        <f t="shared" si="573"/>
        <v>土</v>
      </c>
      <c r="C160" s="329" t="s">
        <v>27</v>
      </c>
      <c r="D160" s="333">
        <v>15</v>
      </c>
      <c r="E160" s="337"/>
      <c r="F160" s="368"/>
      <c r="G160" s="377"/>
      <c r="H160" s="368"/>
      <c r="I160" s="377"/>
      <c r="J160" s="333"/>
      <c r="K160" s="377"/>
      <c r="L160" s="471"/>
      <c r="M160" s="472"/>
      <c r="N160" s="333">
        <v>15</v>
      </c>
      <c r="O160" s="337"/>
      <c r="P160" s="333"/>
      <c r="Q160" s="377"/>
      <c r="R160" s="335"/>
      <c r="S160" s="377"/>
      <c r="T160" s="335"/>
      <c r="U160" s="347" t="s">
        <v>45</v>
      </c>
      <c r="V160" s="335"/>
      <c r="W160" s="347"/>
      <c r="X160" s="335"/>
      <c r="Y160" s="347"/>
      <c r="Z160" s="342">
        <f t="shared" ref="Z160" ca="1" si="639">UDayCou(1,ROW())</f>
        <v>12</v>
      </c>
      <c r="AA160" s="343">
        <f t="shared" ref="AA160" ca="1" si="640">UNightCou(1,ROW())</f>
        <v>10</v>
      </c>
      <c r="AB160" s="344">
        <f t="shared" ref="AB160" ca="1" si="641">UNewCou(1,ROW())</f>
        <v>3</v>
      </c>
      <c r="AC160" s="461">
        <f t="shared" si="577"/>
        <v>45759</v>
      </c>
      <c r="AD160" s="465" t="str">
        <f t="shared" si="578"/>
        <v>土</v>
      </c>
      <c r="AE160" s="333"/>
      <c r="AF160" s="377"/>
      <c r="AG160" s="431"/>
      <c r="AH160" s="377"/>
      <c r="AI160" s="333"/>
      <c r="AJ160" s="377"/>
      <c r="AK160" s="440"/>
      <c r="AL160" s="474"/>
      <c r="AM160" s="333"/>
      <c r="AN160" s="377"/>
      <c r="AO160" s="430"/>
      <c r="AP160" s="409"/>
      <c r="AQ160" s="333"/>
      <c r="AR160" s="377"/>
      <c r="AS160" s="333"/>
      <c r="AT160" s="381"/>
      <c r="AU160" s="333"/>
      <c r="AV160" s="377"/>
      <c r="AW160" s="440"/>
      <c r="AX160" s="472"/>
      <c r="AY160" s="348"/>
      <c r="AZ160" s="349"/>
      <c r="BA160" s="342">
        <f ca="1">UDayCou(2,ROW())</f>
        <v>8</v>
      </c>
      <c r="BB160" s="343">
        <f ca="1">UNightCou(2,ROW())</f>
        <v>8</v>
      </c>
      <c r="BC160" s="344">
        <f ca="1">UNewCou(2,ROW())</f>
        <v>1</v>
      </c>
      <c r="BD160" s="327">
        <f t="shared" si="579"/>
        <v>45759</v>
      </c>
      <c r="BE160" s="394" t="str">
        <f t="shared" si="580"/>
        <v>土</v>
      </c>
      <c r="BF160" s="350"/>
      <c r="BG160" s="351"/>
      <c r="BH160" s="330"/>
      <c r="BI160" s="351"/>
      <c r="BJ160" s="330"/>
      <c r="BK160" s="351"/>
      <c r="BL160" s="330"/>
      <c r="BM160" s="351"/>
      <c r="BN160" s="330"/>
      <c r="BO160" s="351"/>
      <c r="BP160" s="330"/>
      <c r="BQ160" s="351"/>
      <c r="BR160" s="330"/>
      <c r="BS160" s="351"/>
      <c r="BT160" s="330"/>
      <c r="BU160" s="351"/>
      <c r="BV160" s="330"/>
      <c r="BW160" s="351"/>
      <c r="BX160" s="330"/>
      <c r="BY160" s="351"/>
      <c r="BZ160" s="389"/>
      <c r="CA160" s="341"/>
      <c r="CB160" s="342">
        <f ca="1">UDayCou(3,ROW())</f>
        <v>0</v>
      </c>
      <c r="CC160" s="343">
        <f ca="1">UNightCou(3,ROW())</f>
        <v>0</v>
      </c>
      <c r="CD160" s="344">
        <f ca="1">UNewCou(3,ROW())</f>
        <v>0</v>
      </c>
      <c r="CE160" s="327">
        <f t="shared" si="581"/>
        <v>45759</v>
      </c>
      <c r="CF160" s="394" t="str">
        <f t="shared" si="582"/>
        <v>土</v>
      </c>
      <c r="CG160" s="352">
        <f t="shared" ref="CG160" ca="1" si="642">Z160+BA160+CB160</f>
        <v>20</v>
      </c>
      <c r="CH160" s="353">
        <f t="shared" ref="CH160" ca="1" si="643">AA160+BB160+CC160</f>
        <v>18</v>
      </c>
      <c r="CI160" s="354">
        <f t="shared" ref="CI160" ca="1" si="644">AB160+BC160+CD160</f>
        <v>4</v>
      </c>
      <c r="CJ160" s="355">
        <f ca="1">COUNTIF(INDIRECT("D208:CA209"),"*●*")</f>
        <v>0</v>
      </c>
      <c r="CK160" s="356">
        <f ca="1">COUNTIF(INDIRECT("D208:CA209"),"*㋷*")</f>
        <v>0</v>
      </c>
      <c r="CL160" s="75"/>
      <c r="CN160" s="160">
        <f t="shared" si="586"/>
        <v>45759</v>
      </c>
      <c r="CO160" s="167" t="str">
        <f t="shared" si="587"/>
        <v>土</v>
      </c>
      <c r="CP160" s="357"/>
      <c r="CQ160" s="358"/>
      <c r="CR160" s="359"/>
      <c r="CS160" s="358"/>
      <c r="CT160" s="359"/>
      <c r="CU160" s="358"/>
      <c r="CZ160" s="73">
        <v>4</v>
      </c>
      <c r="DA160" s="73">
        <v>4</v>
      </c>
      <c r="DB160" s="73">
        <v>12</v>
      </c>
      <c r="DC160" s="74">
        <f t="shared" si="563"/>
        <v>45759</v>
      </c>
      <c r="DD160" s="68" t="str">
        <f t="shared" si="603"/>
        <v>土</v>
      </c>
      <c r="DF160" s="155">
        <f t="shared" ref="DF160" si="645">$DC160</f>
        <v>45759</v>
      </c>
      <c r="DG160" s="156" t="e">
        <f ca="1">IF($CH160&gt;=設定!$E$12,"✕",IF(SS予約表!$CG160&gt;=設定!$E$12,"△","○"))</f>
        <v>#NAME?</v>
      </c>
    </row>
    <row r="161" spans="1:111" ht="29.25" customHeight="1">
      <c r="A161" s="284"/>
      <c r="B161" s="285"/>
      <c r="C161" s="286" t="s">
        <v>28</v>
      </c>
      <c r="D161" s="449">
        <v>10</v>
      </c>
      <c r="E161" s="384" t="s">
        <v>142</v>
      </c>
      <c r="F161" s="360"/>
      <c r="G161" s="324"/>
      <c r="H161" s="360"/>
      <c r="I161" s="324"/>
      <c r="J161" s="320"/>
      <c r="K161" s="324"/>
      <c r="L161" s="469"/>
      <c r="M161" s="445"/>
      <c r="N161" s="320">
        <v>10</v>
      </c>
      <c r="O161" s="324" t="s">
        <v>224</v>
      </c>
      <c r="P161" s="320"/>
      <c r="Q161" s="324"/>
      <c r="R161" s="299"/>
      <c r="S161" s="324"/>
      <c r="T161" s="320">
        <v>10</v>
      </c>
      <c r="U161" s="324" t="s">
        <v>161</v>
      </c>
      <c r="V161" s="299"/>
      <c r="W161" s="300"/>
      <c r="X161" s="320">
        <v>10</v>
      </c>
      <c r="Y161" s="324" t="s">
        <v>142</v>
      </c>
      <c r="Z161" s="294"/>
      <c r="AA161" s="295"/>
      <c r="AB161" s="296"/>
      <c r="AC161" s="463"/>
      <c r="AD161" s="464"/>
      <c r="AE161" s="320"/>
      <c r="AF161" s="324"/>
      <c r="AG161" s="289"/>
      <c r="AH161" s="324"/>
      <c r="AI161" s="320"/>
      <c r="AJ161" s="324"/>
      <c r="AK161" s="411"/>
      <c r="AL161" s="470"/>
      <c r="AM161" s="320"/>
      <c r="AN161" s="324"/>
      <c r="AO161" s="429"/>
      <c r="AP161" s="322"/>
      <c r="AQ161" s="320"/>
      <c r="AR161" s="324"/>
      <c r="AS161" s="320"/>
      <c r="AT161" s="321"/>
      <c r="AU161" s="320"/>
      <c r="AV161" s="324"/>
      <c r="AW161" s="411"/>
      <c r="AX161" s="445"/>
      <c r="AY161" s="325"/>
      <c r="AZ161" s="326"/>
      <c r="BA161" s="294"/>
      <c r="BB161" s="295"/>
      <c r="BC161" s="296"/>
      <c r="BD161" s="284"/>
      <c r="BE161" s="298"/>
      <c r="BF161" s="305"/>
      <c r="BG161" s="302"/>
      <c r="BH161" s="301"/>
      <c r="BI161" s="302"/>
      <c r="BJ161" s="301"/>
      <c r="BK161" s="302"/>
      <c r="BL161" s="301"/>
      <c r="BM161" s="302"/>
      <c r="BN161" s="301"/>
      <c r="BO161" s="302"/>
      <c r="BP161" s="301"/>
      <c r="BQ161" s="302"/>
      <c r="BR161" s="301"/>
      <c r="BS161" s="302"/>
      <c r="BT161" s="301"/>
      <c r="BU161" s="302"/>
      <c r="BV161" s="301"/>
      <c r="BW161" s="302"/>
      <c r="BX161" s="301"/>
      <c r="BY161" s="302"/>
      <c r="BZ161" s="306"/>
      <c r="CA161" s="304"/>
      <c r="CB161" s="294"/>
      <c r="CC161" s="295"/>
      <c r="CD161" s="296"/>
      <c r="CE161" s="284"/>
      <c r="CF161" s="298"/>
      <c r="CG161" s="307"/>
      <c r="CH161" s="308"/>
      <c r="CI161" s="309"/>
      <c r="CJ161" s="310"/>
      <c r="CK161" s="311"/>
      <c r="CL161" s="75"/>
      <c r="CN161" s="161"/>
      <c r="CO161" s="163"/>
      <c r="CP161" s="299"/>
      <c r="CQ161" s="300"/>
      <c r="CR161" s="299"/>
      <c r="CS161" s="300"/>
      <c r="CT161" s="317"/>
      <c r="CU161" s="316"/>
      <c r="CZ161" s="73">
        <v>4</v>
      </c>
      <c r="DA161" s="73">
        <v>4</v>
      </c>
      <c r="DB161" s="73">
        <v>12</v>
      </c>
      <c r="DC161" s="74">
        <f t="shared" si="563"/>
        <v>45759</v>
      </c>
      <c r="DD161" s="68" t="str">
        <f t="shared" si="603"/>
        <v>土</v>
      </c>
      <c r="DF161" s="156"/>
      <c r="DG161" s="156"/>
    </row>
    <row r="162" spans="1:111" ht="28.5" customHeight="1">
      <c r="A162" s="327">
        <f t="shared" si="572"/>
        <v>45760</v>
      </c>
      <c r="B162" s="328" t="str">
        <f t="shared" si="573"/>
        <v>日</v>
      </c>
      <c r="C162" s="329" t="s">
        <v>27</v>
      </c>
      <c r="D162" s="447" t="s">
        <v>39</v>
      </c>
      <c r="E162" s="390"/>
      <c r="F162" s="388">
        <v>15</v>
      </c>
      <c r="G162" s="337"/>
      <c r="H162" s="368"/>
      <c r="I162" s="377"/>
      <c r="J162" s="333"/>
      <c r="K162" s="377"/>
      <c r="L162" s="471"/>
      <c r="M162" s="472"/>
      <c r="N162" s="333"/>
      <c r="O162" s="377"/>
      <c r="P162" s="333"/>
      <c r="Q162" s="377"/>
      <c r="R162" s="335">
        <v>15</v>
      </c>
      <c r="S162" s="337" t="s">
        <v>114</v>
      </c>
      <c r="T162" s="333"/>
      <c r="U162" s="377"/>
      <c r="V162" s="335"/>
      <c r="W162" s="347"/>
      <c r="X162" s="333"/>
      <c r="Y162" s="377"/>
      <c r="Z162" s="342">
        <f t="shared" ref="Z162" ca="1" si="646">UDayCou(1,ROW())</f>
        <v>10</v>
      </c>
      <c r="AA162" s="343">
        <f t="shared" ref="AA162" ca="1" si="647">UNightCou(1,ROW())</f>
        <v>8</v>
      </c>
      <c r="AB162" s="344">
        <f t="shared" ref="AB162" ca="1" si="648">UNewCou(1,ROW())</f>
        <v>3</v>
      </c>
      <c r="AC162" s="461">
        <f t="shared" si="577"/>
        <v>45760</v>
      </c>
      <c r="AD162" s="466" t="str">
        <f t="shared" si="578"/>
        <v>日</v>
      </c>
      <c r="AE162" s="333"/>
      <c r="AF162" s="377"/>
      <c r="AG162" s="431"/>
      <c r="AH162" s="377"/>
      <c r="AI162" s="333"/>
      <c r="AJ162" s="377"/>
      <c r="AK162" s="440"/>
      <c r="AL162" s="474"/>
      <c r="AM162" s="333"/>
      <c r="AN162" s="377"/>
      <c r="AO162" s="430"/>
      <c r="AP162" s="409"/>
      <c r="AQ162" s="333"/>
      <c r="AR162" s="377"/>
      <c r="AS162" s="333"/>
      <c r="AT162" s="381"/>
      <c r="AU162" s="333"/>
      <c r="AV162" s="377"/>
      <c r="AW162" s="440"/>
      <c r="AX162" s="472"/>
      <c r="AY162" s="348"/>
      <c r="AZ162" s="349"/>
      <c r="BA162" s="342">
        <f ca="1">UDayCou(2,ROW())</f>
        <v>8</v>
      </c>
      <c r="BB162" s="343">
        <f ca="1">UNightCou(2,ROW())</f>
        <v>8</v>
      </c>
      <c r="BC162" s="344">
        <f ca="1">UNewCou(2,ROW())</f>
        <v>1</v>
      </c>
      <c r="BD162" s="327">
        <f t="shared" si="579"/>
        <v>45760</v>
      </c>
      <c r="BE162" s="346" t="str">
        <f t="shared" si="580"/>
        <v>日</v>
      </c>
      <c r="BF162" s="350"/>
      <c r="BG162" s="351"/>
      <c r="BH162" s="330"/>
      <c r="BI162" s="351"/>
      <c r="BJ162" s="330"/>
      <c r="BK162" s="351"/>
      <c r="BL162" s="330"/>
      <c r="BM162" s="351"/>
      <c r="BN162" s="330"/>
      <c r="BO162" s="351"/>
      <c r="BP162" s="330"/>
      <c r="BQ162" s="351"/>
      <c r="BR162" s="330"/>
      <c r="BS162" s="351"/>
      <c r="BT162" s="330"/>
      <c r="BU162" s="351"/>
      <c r="BV162" s="330"/>
      <c r="BW162" s="351"/>
      <c r="BX162" s="330"/>
      <c r="BY162" s="351"/>
      <c r="BZ162" s="389"/>
      <c r="CA162" s="341"/>
      <c r="CB162" s="342">
        <f ca="1">UDayCou(3,ROW())</f>
        <v>0</v>
      </c>
      <c r="CC162" s="343">
        <f ca="1">UNightCou(3,ROW())</f>
        <v>0</v>
      </c>
      <c r="CD162" s="344">
        <f ca="1">UNewCou(3,ROW())</f>
        <v>0</v>
      </c>
      <c r="CE162" s="327">
        <f t="shared" si="581"/>
        <v>45760</v>
      </c>
      <c r="CF162" s="346" t="str">
        <f t="shared" si="582"/>
        <v>日</v>
      </c>
      <c r="CG162" s="352">
        <f t="shared" ref="CG162" ca="1" si="649">Z162+BA162+CB162</f>
        <v>18</v>
      </c>
      <c r="CH162" s="353">
        <f t="shared" ref="CH162" ca="1" si="650">AA162+BB162+CC162</f>
        <v>16</v>
      </c>
      <c r="CI162" s="354">
        <f t="shared" ref="CI162" ca="1" si="651">AB162+BC162+CD162</f>
        <v>4</v>
      </c>
      <c r="CJ162" s="355">
        <f ca="1">COUNTIF(INDIRECT("D210:CA211"),"*●*")</f>
        <v>0</v>
      </c>
      <c r="CK162" s="356">
        <f ca="1">COUNTIF(INDIRECT("D210:CA211"),"*㋷*")</f>
        <v>0</v>
      </c>
      <c r="CL162" s="75"/>
      <c r="CN162" s="160">
        <f t="shared" si="586"/>
        <v>45760</v>
      </c>
      <c r="CO162" s="168" t="str">
        <f t="shared" si="587"/>
        <v>日</v>
      </c>
      <c r="CP162" s="335"/>
      <c r="CQ162" s="347"/>
      <c r="CR162" s="335"/>
      <c r="CS162" s="347"/>
      <c r="CT162" s="359"/>
      <c r="CU162" s="358"/>
      <c r="CZ162" s="73">
        <v>4</v>
      </c>
      <c r="DA162" s="73">
        <v>4</v>
      </c>
      <c r="DB162" s="73">
        <v>13</v>
      </c>
      <c r="DC162" s="74">
        <f t="shared" si="563"/>
        <v>45760</v>
      </c>
      <c r="DD162" s="68" t="str">
        <f t="shared" si="603"/>
        <v>日</v>
      </c>
      <c r="DF162" s="155">
        <f t="shared" ref="DF162" si="652">$DC162</f>
        <v>45760</v>
      </c>
      <c r="DG162" s="156" t="e">
        <f ca="1">IF($CH162&gt;=設定!$E$12,"✕",IF(SS予約表!$CG162&gt;=設定!$E$12,"△","○"))</f>
        <v>#NAME?</v>
      </c>
    </row>
    <row r="163" spans="1:111" ht="29.25" customHeight="1">
      <c r="A163" s="284"/>
      <c r="B163" s="285"/>
      <c r="C163" s="286" t="s">
        <v>28</v>
      </c>
      <c r="D163" s="449" t="s">
        <v>39</v>
      </c>
      <c r="E163" s="384"/>
      <c r="F163" s="320"/>
      <c r="G163" s="321"/>
      <c r="H163" s="477"/>
      <c r="I163" s="384"/>
      <c r="J163" s="320"/>
      <c r="K163" s="324"/>
      <c r="L163" s="469"/>
      <c r="M163" s="445"/>
      <c r="N163" s="320"/>
      <c r="O163" s="324"/>
      <c r="P163" s="320"/>
      <c r="Q163" s="324"/>
      <c r="R163" s="320"/>
      <c r="S163" s="321"/>
      <c r="T163" s="320"/>
      <c r="U163" s="324"/>
      <c r="V163" s="299"/>
      <c r="W163" s="300"/>
      <c r="X163" s="467"/>
      <c r="Y163" s="384"/>
      <c r="Z163" s="294"/>
      <c r="AA163" s="295"/>
      <c r="AB163" s="296"/>
      <c r="AC163" s="463"/>
      <c r="AD163" s="464"/>
      <c r="AE163" s="320"/>
      <c r="AF163" s="324"/>
      <c r="AG163" s="289"/>
      <c r="AH163" s="324"/>
      <c r="AI163" s="320"/>
      <c r="AJ163" s="324"/>
      <c r="AK163" s="411"/>
      <c r="AL163" s="470"/>
      <c r="AM163" s="320"/>
      <c r="AN163" s="324"/>
      <c r="AO163" s="429"/>
      <c r="AP163" s="322"/>
      <c r="AQ163" s="320"/>
      <c r="AR163" s="324"/>
      <c r="AS163" s="320"/>
      <c r="AT163" s="321"/>
      <c r="AU163" s="320"/>
      <c r="AV163" s="324"/>
      <c r="AW163" s="411"/>
      <c r="AX163" s="445"/>
      <c r="AY163" s="325"/>
      <c r="AZ163" s="326"/>
      <c r="BA163" s="294"/>
      <c r="BB163" s="295"/>
      <c r="BC163" s="296"/>
      <c r="BD163" s="284"/>
      <c r="BE163" s="298"/>
      <c r="BF163" s="305"/>
      <c r="BG163" s="302"/>
      <c r="BH163" s="301"/>
      <c r="BI163" s="302"/>
      <c r="BJ163" s="301"/>
      <c r="BK163" s="302"/>
      <c r="BL163" s="301"/>
      <c r="BM163" s="302"/>
      <c r="BN163" s="301"/>
      <c r="BO163" s="302"/>
      <c r="BP163" s="301"/>
      <c r="BQ163" s="302"/>
      <c r="BR163" s="301"/>
      <c r="BS163" s="302"/>
      <c r="BT163" s="301"/>
      <c r="BU163" s="302"/>
      <c r="BV163" s="301"/>
      <c r="BW163" s="302"/>
      <c r="BX163" s="301"/>
      <c r="BY163" s="302"/>
      <c r="BZ163" s="306"/>
      <c r="CA163" s="304"/>
      <c r="CB163" s="294"/>
      <c r="CC163" s="295"/>
      <c r="CD163" s="296"/>
      <c r="CE163" s="284"/>
      <c r="CF163" s="298"/>
      <c r="CG163" s="307"/>
      <c r="CH163" s="308"/>
      <c r="CI163" s="309"/>
      <c r="CJ163" s="310"/>
      <c r="CK163" s="311"/>
      <c r="CL163" s="75"/>
      <c r="CN163" s="161"/>
      <c r="CO163" s="163"/>
      <c r="CP163" s="299"/>
      <c r="CQ163" s="300"/>
      <c r="CR163" s="299"/>
      <c r="CS163" s="300"/>
      <c r="CT163" s="317"/>
      <c r="CU163" s="316"/>
      <c r="CZ163" s="73">
        <v>4</v>
      </c>
      <c r="DA163" s="73">
        <v>4</v>
      </c>
      <c r="DB163" s="73">
        <v>13</v>
      </c>
      <c r="DC163" s="74">
        <f t="shared" si="563"/>
        <v>45760</v>
      </c>
      <c r="DD163" s="68" t="str">
        <f t="shared" si="603"/>
        <v>日</v>
      </c>
      <c r="DF163" s="156"/>
      <c r="DG163" s="156"/>
    </row>
    <row r="164" spans="1:111" ht="28.5" customHeight="1">
      <c r="A164" s="327">
        <f t="shared" si="572"/>
        <v>45761</v>
      </c>
      <c r="B164" s="365" t="str">
        <f t="shared" si="573"/>
        <v>月</v>
      </c>
      <c r="C164" s="329" t="s">
        <v>27</v>
      </c>
      <c r="D164" s="447">
        <v>15</v>
      </c>
      <c r="E164" s="448"/>
      <c r="F164" s="333"/>
      <c r="G164" s="381"/>
      <c r="H164" s="478"/>
      <c r="I164" s="390"/>
      <c r="J164" s="333">
        <v>15</v>
      </c>
      <c r="K164" s="337"/>
      <c r="L164" s="471"/>
      <c r="M164" s="472"/>
      <c r="N164" s="333"/>
      <c r="O164" s="377"/>
      <c r="P164" s="333"/>
      <c r="Q164" s="377"/>
      <c r="R164" s="333"/>
      <c r="S164" s="381"/>
      <c r="T164" s="333">
        <v>15</v>
      </c>
      <c r="U164" s="337" t="s">
        <v>225</v>
      </c>
      <c r="V164" s="335"/>
      <c r="W164" s="347"/>
      <c r="X164" s="468">
        <v>15</v>
      </c>
      <c r="Y164" s="448"/>
      <c r="Z164" s="342">
        <f t="shared" ref="Z164" ca="1" si="653">UDayCou(1,ROW())</f>
        <v>8</v>
      </c>
      <c r="AA164" s="343">
        <f t="shared" ref="AA164" ca="1" si="654">UNightCou(1,ROW())</f>
        <v>4</v>
      </c>
      <c r="AB164" s="344">
        <f t="shared" ref="AB164" ca="1" si="655">UNewCou(1,ROW())</f>
        <v>2</v>
      </c>
      <c r="AC164" s="461">
        <f t="shared" si="577"/>
        <v>45761</v>
      </c>
      <c r="AD164" s="462" t="str">
        <f t="shared" si="578"/>
        <v>月</v>
      </c>
      <c r="AE164" s="333">
        <v>15</v>
      </c>
      <c r="AF164" s="337"/>
      <c r="AG164" s="431"/>
      <c r="AH164" s="377"/>
      <c r="AI164" s="333"/>
      <c r="AJ164" s="377"/>
      <c r="AK164" s="440"/>
      <c r="AL164" s="474"/>
      <c r="AM164" s="333"/>
      <c r="AN164" s="377"/>
      <c r="AO164" s="430"/>
      <c r="AP164" s="409"/>
      <c r="AQ164" s="333">
        <v>15</v>
      </c>
      <c r="AR164" s="337" t="s">
        <v>163</v>
      </c>
      <c r="AS164" s="333"/>
      <c r="AT164" s="381"/>
      <c r="AU164" s="333">
        <v>15</v>
      </c>
      <c r="AV164" s="337"/>
      <c r="AW164" s="440"/>
      <c r="AX164" s="472"/>
      <c r="AY164" s="348"/>
      <c r="AZ164" s="349"/>
      <c r="BA164" s="342">
        <f ca="1">UDayCou(2,ROW())</f>
        <v>11</v>
      </c>
      <c r="BB164" s="343">
        <f ca="1">UNightCou(2,ROW())</f>
        <v>8</v>
      </c>
      <c r="BC164" s="344">
        <f ca="1">UNewCou(2,ROW())</f>
        <v>1</v>
      </c>
      <c r="BD164" s="327">
        <f t="shared" si="579"/>
        <v>45761</v>
      </c>
      <c r="BE164" s="371" t="str">
        <f t="shared" si="580"/>
        <v>月</v>
      </c>
      <c r="BF164" s="350"/>
      <c r="BG164" s="351"/>
      <c r="BH164" s="330"/>
      <c r="BI164" s="351"/>
      <c r="BJ164" s="330"/>
      <c r="BK164" s="351"/>
      <c r="BL164" s="330"/>
      <c r="BM164" s="351"/>
      <c r="BN164" s="330"/>
      <c r="BO164" s="351"/>
      <c r="BP164" s="330"/>
      <c r="BQ164" s="351"/>
      <c r="BR164" s="330"/>
      <c r="BS164" s="351"/>
      <c r="BT164" s="330"/>
      <c r="BU164" s="351"/>
      <c r="BV164" s="330"/>
      <c r="BW164" s="351"/>
      <c r="BX164" s="330"/>
      <c r="BY164" s="351"/>
      <c r="BZ164" s="389"/>
      <c r="CA164" s="341"/>
      <c r="CB164" s="342">
        <f ca="1">UDayCou(3,ROW())</f>
        <v>0</v>
      </c>
      <c r="CC164" s="343">
        <f ca="1">UNightCou(3,ROW())</f>
        <v>0</v>
      </c>
      <c r="CD164" s="344">
        <f ca="1">UNewCou(3,ROW())</f>
        <v>0</v>
      </c>
      <c r="CE164" s="327">
        <f t="shared" si="581"/>
        <v>45761</v>
      </c>
      <c r="CF164" s="371" t="str">
        <f t="shared" si="582"/>
        <v>月</v>
      </c>
      <c r="CG164" s="352">
        <f t="shared" ref="CG164" ca="1" si="656">Z164+BA164+CB164</f>
        <v>19</v>
      </c>
      <c r="CH164" s="353">
        <f t="shared" ref="CH164" ca="1" si="657">AA164+BB164+CC164</f>
        <v>12</v>
      </c>
      <c r="CI164" s="354">
        <f t="shared" ref="CI164" ca="1" si="658">AB164+BC164+CD164</f>
        <v>3</v>
      </c>
      <c r="CJ164" s="355">
        <f ca="1">COUNTIF(INDIRECT("D212:CA213"),"*●*")</f>
        <v>0</v>
      </c>
      <c r="CK164" s="356">
        <f ca="1">COUNTIF(INDIRECT("D212:CA213"),"*㋷*")</f>
        <v>0</v>
      </c>
      <c r="CL164" s="75"/>
      <c r="CN164" s="160">
        <f t="shared" si="586"/>
        <v>45761</v>
      </c>
      <c r="CO164" s="162" t="str">
        <f t="shared" si="587"/>
        <v>月</v>
      </c>
      <c r="CP164" s="335"/>
      <c r="CQ164" s="347"/>
      <c r="CR164" s="335"/>
      <c r="CS164" s="347"/>
      <c r="CT164" s="359"/>
      <c r="CU164" s="358"/>
      <c r="CZ164" s="73">
        <v>4</v>
      </c>
      <c r="DA164" s="73">
        <v>4</v>
      </c>
      <c r="DB164" s="73">
        <v>14</v>
      </c>
      <c r="DC164" s="74">
        <f t="shared" si="563"/>
        <v>45761</v>
      </c>
      <c r="DD164" s="68" t="str">
        <f t="shared" si="603"/>
        <v>月</v>
      </c>
      <c r="DF164" s="155">
        <f t="shared" ref="DF164" si="659">$DC164</f>
        <v>45761</v>
      </c>
      <c r="DG164" s="156" t="e">
        <f ca="1">IF($CH164&gt;=設定!$E$12,"✕",IF(SS予約表!$CG164&gt;=設定!$E$12,"△","○"))</f>
        <v>#NAME?</v>
      </c>
    </row>
    <row r="165" spans="1:111" ht="29.25" customHeight="1">
      <c r="A165" s="284"/>
      <c r="B165" s="285"/>
      <c r="C165" s="286" t="s">
        <v>28</v>
      </c>
      <c r="D165" s="299"/>
      <c r="E165" s="300"/>
      <c r="F165" s="320"/>
      <c r="G165" s="321"/>
      <c r="H165" s="477"/>
      <c r="I165" s="384"/>
      <c r="J165" s="320"/>
      <c r="K165" s="321"/>
      <c r="L165" s="469"/>
      <c r="M165" s="445"/>
      <c r="N165" s="320"/>
      <c r="O165" s="324"/>
      <c r="P165" s="320"/>
      <c r="Q165" s="324"/>
      <c r="R165" s="320"/>
      <c r="S165" s="321"/>
      <c r="T165" s="320"/>
      <c r="U165" s="321"/>
      <c r="V165" s="299"/>
      <c r="W165" s="300"/>
      <c r="X165" s="299"/>
      <c r="Y165" s="300"/>
      <c r="Z165" s="294"/>
      <c r="AA165" s="295"/>
      <c r="AB165" s="296"/>
      <c r="AC165" s="463"/>
      <c r="AD165" s="464"/>
      <c r="AE165" s="320">
        <v>10</v>
      </c>
      <c r="AF165" s="324" t="s">
        <v>145</v>
      </c>
      <c r="AG165" s="289"/>
      <c r="AH165" s="324"/>
      <c r="AI165" s="320"/>
      <c r="AJ165" s="324"/>
      <c r="AK165" s="411">
        <v>10</v>
      </c>
      <c r="AL165" s="445" t="s">
        <v>226</v>
      </c>
      <c r="AM165" s="320"/>
      <c r="AN165" s="324"/>
      <c r="AO165" s="429"/>
      <c r="AP165" s="322"/>
      <c r="AQ165" s="320"/>
      <c r="AR165" s="321"/>
      <c r="AS165" s="320">
        <v>10</v>
      </c>
      <c r="AT165" s="324" t="s">
        <v>226</v>
      </c>
      <c r="AU165" s="320"/>
      <c r="AV165" s="321"/>
      <c r="AW165" s="411"/>
      <c r="AX165" s="445"/>
      <c r="AY165" s="325"/>
      <c r="AZ165" s="326"/>
      <c r="BA165" s="294"/>
      <c r="BB165" s="295"/>
      <c r="BC165" s="296"/>
      <c r="BD165" s="284"/>
      <c r="BE165" s="298"/>
      <c r="BF165" s="305"/>
      <c r="BG165" s="302"/>
      <c r="BH165" s="301"/>
      <c r="BI165" s="302"/>
      <c r="BJ165" s="301"/>
      <c r="BK165" s="302"/>
      <c r="BL165" s="301"/>
      <c r="BM165" s="302"/>
      <c r="BN165" s="301"/>
      <c r="BO165" s="302"/>
      <c r="BP165" s="301"/>
      <c r="BQ165" s="302"/>
      <c r="BR165" s="301"/>
      <c r="BS165" s="302"/>
      <c r="BT165" s="301"/>
      <c r="BU165" s="302"/>
      <c r="BV165" s="301"/>
      <c r="BW165" s="302"/>
      <c r="BX165" s="301"/>
      <c r="BY165" s="302"/>
      <c r="BZ165" s="306"/>
      <c r="CA165" s="304"/>
      <c r="CB165" s="294"/>
      <c r="CC165" s="295"/>
      <c r="CD165" s="296"/>
      <c r="CE165" s="284"/>
      <c r="CF165" s="298"/>
      <c r="CG165" s="307"/>
      <c r="CH165" s="308"/>
      <c r="CI165" s="309"/>
      <c r="CJ165" s="310"/>
      <c r="CK165" s="311"/>
      <c r="CL165" s="75"/>
      <c r="CN165" s="161"/>
      <c r="CO165" s="163"/>
      <c r="CP165" s="299"/>
      <c r="CQ165" s="300"/>
      <c r="CR165" s="299"/>
      <c r="CS165" s="300"/>
      <c r="CT165" s="317"/>
      <c r="CU165" s="316"/>
      <c r="CZ165" s="73">
        <v>4</v>
      </c>
      <c r="DA165" s="73">
        <v>4</v>
      </c>
      <c r="DB165" s="73">
        <v>14</v>
      </c>
      <c r="DC165" s="74">
        <f t="shared" si="563"/>
        <v>45761</v>
      </c>
      <c r="DD165" s="68" t="str">
        <f t="shared" si="603"/>
        <v>月</v>
      </c>
      <c r="DF165" s="156"/>
      <c r="DG165" s="156"/>
    </row>
    <row r="166" spans="1:111" ht="28.5" customHeight="1">
      <c r="A166" s="327">
        <f t="shared" si="572"/>
        <v>45762</v>
      </c>
      <c r="B166" s="365" t="str">
        <f t="shared" si="573"/>
        <v>火</v>
      </c>
      <c r="C166" s="329" t="s">
        <v>27</v>
      </c>
      <c r="D166" s="335"/>
      <c r="E166" s="347"/>
      <c r="F166" s="333"/>
      <c r="G166" s="381"/>
      <c r="H166" s="478"/>
      <c r="I166" s="390"/>
      <c r="J166" s="333"/>
      <c r="K166" s="381"/>
      <c r="L166" s="471"/>
      <c r="M166" s="472"/>
      <c r="N166" s="333">
        <v>15</v>
      </c>
      <c r="O166" s="337"/>
      <c r="P166" s="333">
        <v>15</v>
      </c>
      <c r="Q166" s="337"/>
      <c r="R166" s="333"/>
      <c r="S166" s="381"/>
      <c r="T166" s="333"/>
      <c r="U166" s="381"/>
      <c r="V166" s="335"/>
      <c r="W166" s="347"/>
      <c r="X166" s="335"/>
      <c r="Y166" s="347"/>
      <c r="Z166" s="342">
        <f t="shared" ref="Z166" ca="1" si="660">UDayCou(1,ROW())</f>
        <v>6</v>
      </c>
      <c r="AA166" s="343">
        <f t="shared" ref="AA166" ca="1" si="661">UNightCou(1,ROW())</f>
        <v>4</v>
      </c>
      <c r="AB166" s="344">
        <f t="shared" ref="AB166" ca="1" si="662">UNewCou(1,ROW())</f>
        <v>2</v>
      </c>
      <c r="AC166" s="461">
        <f t="shared" si="577"/>
        <v>45762</v>
      </c>
      <c r="AD166" s="462" t="str">
        <f t="shared" si="578"/>
        <v>火</v>
      </c>
      <c r="AE166" s="333"/>
      <c r="AF166" s="377"/>
      <c r="AG166" s="431">
        <v>15</v>
      </c>
      <c r="AH166" s="337"/>
      <c r="AI166" s="333"/>
      <c r="AJ166" s="377"/>
      <c r="AK166" s="440"/>
      <c r="AL166" s="472" t="s">
        <v>227</v>
      </c>
      <c r="AM166" s="333"/>
      <c r="AN166" s="377"/>
      <c r="AO166" s="430"/>
      <c r="AP166" s="409"/>
      <c r="AQ166" s="333"/>
      <c r="AR166" s="381"/>
      <c r="AS166" s="333"/>
      <c r="AT166" s="377" t="s">
        <v>227</v>
      </c>
      <c r="AU166" s="333"/>
      <c r="AV166" s="381"/>
      <c r="AW166" s="440"/>
      <c r="AX166" s="472"/>
      <c r="AY166" s="348"/>
      <c r="AZ166" s="349"/>
      <c r="BA166" s="342">
        <f ca="1">UDayCou(2,ROW())</f>
        <v>8</v>
      </c>
      <c r="BB166" s="343">
        <f ca="1">UNightCou(2,ROW())</f>
        <v>7</v>
      </c>
      <c r="BC166" s="344">
        <f ca="1">UNewCou(2,ROW())</f>
        <v>1</v>
      </c>
      <c r="BD166" s="327">
        <f t="shared" si="579"/>
        <v>45762</v>
      </c>
      <c r="BE166" s="371" t="str">
        <f t="shared" si="580"/>
        <v>火</v>
      </c>
      <c r="BF166" s="350"/>
      <c r="BG166" s="351"/>
      <c r="BH166" s="330"/>
      <c r="BI166" s="351"/>
      <c r="BJ166" s="330"/>
      <c r="BK166" s="351"/>
      <c r="BL166" s="330"/>
      <c r="BM166" s="351"/>
      <c r="BN166" s="330"/>
      <c r="BO166" s="351"/>
      <c r="BP166" s="330"/>
      <c r="BQ166" s="351"/>
      <c r="BR166" s="330"/>
      <c r="BS166" s="351"/>
      <c r="BT166" s="330"/>
      <c r="BU166" s="351"/>
      <c r="BV166" s="330"/>
      <c r="BW166" s="351"/>
      <c r="BX166" s="330"/>
      <c r="BY166" s="351"/>
      <c r="BZ166" s="389"/>
      <c r="CA166" s="341"/>
      <c r="CB166" s="342">
        <f ca="1">UDayCou(3,ROW())</f>
        <v>0</v>
      </c>
      <c r="CC166" s="343">
        <f ca="1">UNightCou(3,ROW())</f>
        <v>0</v>
      </c>
      <c r="CD166" s="344">
        <f ca="1">UNewCou(3,ROW())</f>
        <v>0</v>
      </c>
      <c r="CE166" s="327">
        <f t="shared" si="581"/>
        <v>45762</v>
      </c>
      <c r="CF166" s="371" t="str">
        <f t="shared" si="582"/>
        <v>火</v>
      </c>
      <c r="CG166" s="352">
        <f t="shared" ref="CG166" ca="1" si="663">Z166+BA166+CB166</f>
        <v>14</v>
      </c>
      <c r="CH166" s="353">
        <f t="shared" ref="CH166" ca="1" si="664">AA166+BB166+CC166</f>
        <v>11</v>
      </c>
      <c r="CI166" s="354">
        <f t="shared" ref="CI166" ca="1" si="665">AB166+BC166+CD166</f>
        <v>3</v>
      </c>
      <c r="CJ166" s="355">
        <f ca="1">COUNTIF(INDIRECT("D214:CA215"),"*●*")</f>
        <v>0</v>
      </c>
      <c r="CK166" s="356">
        <f ca="1">COUNTIF(INDIRECT("D214:CA215"),"*㋷*")</f>
        <v>0</v>
      </c>
      <c r="CL166" s="75"/>
      <c r="CN166" s="160">
        <f t="shared" si="586"/>
        <v>45762</v>
      </c>
      <c r="CO166" s="162" t="str">
        <f t="shared" si="587"/>
        <v>火</v>
      </c>
      <c r="CP166" s="335"/>
      <c r="CQ166" s="347"/>
      <c r="CR166" s="335"/>
      <c r="CS166" s="347"/>
      <c r="CT166" s="359"/>
      <c r="CU166" s="358"/>
      <c r="CZ166" s="73">
        <v>4</v>
      </c>
      <c r="DA166" s="73">
        <v>4</v>
      </c>
      <c r="DB166" s="73">
        <v>15</v>
      </c>
      <c r="DC166" s="74">
        <f t="shared" si="563"/>
        <v>45762</v>
      </c>
      <c r="DD166" s="68" t="str">
        <f t="shared" si="603"/>
        <v>火</v>
      </c>
      <c r="DF166" s="155">
        <f t="shared" ref="DF166" si="666">$DC166</f>
        <v>45762</v>
      </c>
      <c r="DG166" s="156" t="e">
        <f ca="1">IF($CH166&gt;=設定!$E$12,"✕",IF(SS予約表!$CG166&gt;=設定!$E$12,"△","○"))</f>
        <v>#NAME?</v>
      </c>
    </row>
    <row r="167" spans="1:111" ht="29.25" customHeight="1" thickBot="1">
      <c r="A167" s="284"/>
      <c r="B167" s="285"/>
      <c r="C167" s="286" t="s">
        <v>28</v>
      </c>
      <c r="D167" s="289"/>
      <c r="E167" s="321"/>
      <c r="F167" s="320">
        <v>10</v>
      </c>
      <c r="G167" s="324" t="s">
        <v>50</v>
      </c>
      <c r="H167" s="360"/>
      <c r="I167" s="324"/>
      <c r="J167" s="320"/>
      <c r="K167" s="321"/>
      <c r="L167" s="469"/>
      <c r="M167" s="445"/>
      <c r="N167" s="449">
        <v>10</v>
      </c>
      <c r="O167" s="384" t="s">
        <v>132</v>
      </c>
      <c r="P167" s="320"/>
      <c r="Q167" s="321"/>
      <c r="R167" s="320"/>
      <c r="S167" s="321"/>
      <c r="T167" s="320"/>
      <c r="U167" s="321"/>
      <c r="V167" s="299"/>
      <c r="W167" s="300"/>
      <c r="X167" s="299"/>
      <c r="Y167" s="300"/>
      <c r="Z167" s="294"/>
      <c r="AA167" s="295"/>
      <c r="AB167" s="296"/>
      <c r="AC167" s="463"/>
      <c r="AD167" s="464"/>
      <c r="AE167" s="320"/>
      <c r="AF167" s="324"/>
      <c r="AG167" s="320"/>
      <c r="AH167" s="321"/>
      <c r="AI167" s="320"/>
      <c r="AJ167" s="324"/>
      <c r="AK167" s="411"/>
      <c r="AL167" s="445"/>
      <c r="AM167" s="320"/>
      <c r="AN167" s="324"/>
      <c r="AO167" s="429"/>
      <c r="AP167" s="322"/>
      <c r="AQ167" s="299"/>
      <c r="AR167" s="300"/>
      <c r="AS167" s="320"/>
      <c r="AT167" s="324"/>
      <c r="AU167" s="320"/>
      <c r="AV167" s="321"/>
      <c r="AW167" s="411"/>
      <c r="AX167" s="445"/>
      <c r="AY167" s="325"/>
      <c r="AZ167" s="326"/>
      <c r="BA167" s="294"/>
      <c r="BB167" s="295"/>
      <c r="BC167" s="296"/>
      <c r="BD167" s="284"/>
      <c r="BE167" s="298"/>
      <c r="BF167" s="305"/>
      <c r="BG167" s="302"/>
      <c r="BH167" s="301"/>
      <c r="BI167" s="302"/>
      <c r="BJ167" s="301"/>
      <c r="BK167" s="302"/>
      <c r="BL167" s="301"/>
      <c r="BM167" s="302"/>
      <c r="BN167" s="301"/>
      <c r="BO167" s="302"/>
      <c r="BP167" s="301"/>
      <c r="BQ167" s="302"/>
      <c r="BR167" s="301"/>
      <c r="BS167" s="302"/>
      <c r="BT167" s="301"/>
      <c r="BU167" s="302"/>
      <c r="BV167" s="301"/>
      <c r="BW167" s="302"/>
      <c r="BX167" s="301"/>
      <c r="BY167" s="302"/>
      <c r="BZ167" s="306"/>
      <c r="CA167" s="304"/>
      <c r="CB167" s="294"/>
      <c r="CC167" s="295"/>
      <c r="CD167" s="296"/>
      <c r="CE167" s="284"/>
      <c r="CF167" s="298"/>
      <c r="CG167" s="307"/>
      <c r="CH167" s="308"/>
      <c r="CI167" s="309"/>
      <c r="CJ167" s="310"/>
      <c r="CK167" s="311"/>
      <c r="CL167" s="75"/>
      <c r="CN167" s="161"/>
      <c r="CO167" s="163"/>
      <c r="CP167" s="299"/>
      <c r="CQ167" s="300"/>
      <c r="CR167" s="299"/>
      <c r="CS167" s="300"/>
      <c r="CT167" s="317"/>
      <c r="CU167" s="316"/>
      <c r="CZ167" s="73">
        <v>4</v>
      </c>
      <c r="DA167" s="73">
        <v>4</v>
      </c>
      <c r="DB167" s="73">
        <v>15</v>
      </c>
      <c r="DC167" s="74">
        <f t="shared" si="563"/>
        <v>45762</v>
      </c>
      <c r="DD167" s="68" t="str">
        <f t="shared" si="603"/>
        <v>火</v>
      </c>
      <c r="DF167" s="156"/>
      <c r="DG167" s="156"/>
    </row>
    <row r="168" spans="1:111" ht="28.5" customHeight="1">
      <c r="A168" s="491">
        <f t="shared" si="572"/>
        <v>45763</v>
      </c>
      <c r="B168" s="524" t="str">
        <f t="shared" si="573"/>
        <v>水</v>
      </c>
      <c r="C168" s="493" t="s">
        <v>27</v>
      </c>
      <c r="D168" s="550"/>
      <c r="E168" s="526"/>
      <c r="F168" s="497"/>
      <c r="G168" s="527"/>
      <c r="H168" s="529"/>
      <c r="I168" s="527"/>
      <c r="J168" s="497"/>
      <c r="K168" s="526"/>
      <c r="L168" s="568"/>
      <c r="M168" s="569"/>
      <c r="N168" s="557" t="s">
        <v>39</v>
      </c>
      <c r="O168" s="533"/>
      <c r="P168" s="497"/>
      <c r="Q168" s="526"/>
      <c r="R168" s="497"/>
      <c r="S168" s="526"/>
      <c r="T168" s="497"/>
      <c r="U168" s="526"/>
      <c r="V168" s="499"/>
      <c r="W168" s="511"/>
      <c r="X168" s="499"/>
      <c r="Y168" s="511"/>
      <c r="Z168" s="506">
        <f t="shared" ref="Z168" ca="1" si="667">UDayCou(1,ROW())</f>
        <v>5</v>
      </c>
      <c r="AA168" s="507">
        <f t="shared" ref="AA168" ca="1" si="668">UNightCou(1,ROW())</f>
        <v>5</v>
      </c>
      <c r="AB168" s="508">
        <f t="shared" ref="AB168" ca="1" si="669">UNewCou(1,ROW())</f>
        <v>2</v>
      </c>
      <c r="AC168" s="559">
        <f t="shared" si="577"/>
        <v>45763</v>
      </c>
      <c r="AD168" s="560" t="str">
        <f t="shared" si="578"/>
        <v>水</v>
      </c>
      <c r="AE168" s="497"/>
      <c r="AF168" s="527"/>
      <c r="AG168" s="497"/>
      <c r="AH168" s="526"/>
      <c r="AI168" s="497"/>
      <c r="AJ168" s="527"/>
      <c r="AK168" s="554"/>
      <c r="AL168" s="569"/>
      <c r="AM168" s="497"/>
      <c r="AN168" s="527"/>
      <c r="AO168" s="547"/>
      <c r="AP168" s="548"/>
      <c r="AQ168" s="499"/>
      <c r="AR168" s="511"/>
      <c r="AS168" s="497"/>
      <c r="AT168" s="527"/>
      <c r="AU168" s="497"/>
      <c r="AV168" s="526"/>
      <c r="AW168" s="554"/>
      <c r="AX168" s="569"/>
      <c r="AY168" s="512"/>
      <c r="AZ168" s="513"/>
      <c r="BA168" s="506">
        <f ca="1">UDayCou(2,ROW())</f>
        <v>8</v>
      </c>
      <c r="BB168" s="507">
        <f ca="1">UNightCou(2,ROW())</f>
        <v>8</v>
      </c>
      <c r="BC168" s="508">
        <f ca="1">UNewCou(2,ROW())</f>
        <v>1</v>
      </c>
      <c r="BD168" s="491">
        <f t="shared" si="579"/>
        <v>45763</v>
      </c>
      <c r="BE168" s="531" t="str">
        <f t="shared" si="580"/>
        <v>水</v>
      </c>
      <c r="BF168" s="514"/>
      <c r="BG168" s="515"/>
      <c r="BH168" s="494"/>
      <c r="BI168" s="515"/>
      <c r="BJ168" s="494"/>
      <c r="BK168" s="515"/>
      <c r="BL168" s="494"/>
      <c r="BM168" s="515"/>
      <c r="BN168" s="494"/>
      <c r="BO168" s="515"/>
      <c r="BP168" s="494"/>
      <c r="BQ168" s="515"/>
      <c r="BR168" s="494"/>
      <c r="BS168" s="515"/>
      <c r="BT168" s="494"/>
      <c r="BU168" s="515"/>
      <c r="BV168" s="494"/>
      <c r="BW168" s="515"/>
      <c r="BX168" s="494"/>
      <c r="BY168" s="515"/>
      <c r="BZ168" s="530"/>
      <c r="CA168" s="505"/>
      <c r="CB168" s="506">
        <f ca="1">UDayCou(3,ROW())</f>
        <v>0</v>
      </c>
      <c r="CC168" s="507">
        <f ca="1">UNightCou(3,ROW())</f>
        <v>0</v>
      </c>
      <c r="CD168" s="508">
        <f ca="1">UNewCou(3,ROW())</f>
        <v>0</v>
      </c>
      <c r="CE168" s="491">
        <f t="shared" si="581"/>
        <v>45763</v>
      </c>
      <c r="CF168" s="531" t="str">
        <f t="shared" si="582"/>
        <v>水</v>
      </c>
      <c r="CG168" s="516">
        <f t="shared" ref="CG168" ca="1" si="670">Z168+BA168+CB168</f>
        <v>13</v>
      </c>
      <c r="CH168" s="517">
        <f t="shared" ref="CH168" ca="1" si="671">AA168+BB168+CC168</f>
        <v>13</v>
      </c>
      <c r="CI168" s="518">
        <f t="shared" ref="CI168" ca="1" si="672">AB168+BC168+CD168</f>
        <v>3</v>
      </c>
      <c r="CJ168" s="519">
        <f ca="1">COUNTIF(INDIRECT("D216:CA217"),"*●*")</f>
        <v>0</v>
      </c>
      <c r="CK168" s="520">
        <f ca="1">COUNTIF(INDIRECT("D216:CA217"),"*㋷*")</f>
        <v>0</v>
      </c>
      <c r="CL168" s="75"/>
      <c r="CN168" s="164">
        <f t="shared" si="586"/>
        <v>45763</v>
      </c>
      <c r="CO168" s="165" t="str">
        <f t="shared" si="587"/>
        <v>水</v>
      </c>
      <c r="CP168" s="499"/>
      <c r="CQ168" s="511"/>
      <c r="CR168" s="499"/>
      <c r="CS168" s="511"/>
      <c r="CT168" s="523"/>
      <c r="CU168" s="522"/>
      <c r="CZ168" s="73">
        <v>4</v>
      </c>
      <c r="DA168" s="73">
        <v>4</v>
      </c>
      <c r="DB168" s="73">
        <v>16</v>
      </c>
      <c r="DC168" s="74">
        <f t="shared" si="563"/>
        <v>45763</v>
      </c>
      <c r="DD168" s="68" t="str">
        <f t="shared" si="603"/>
        <v>水</v>
      </c>
      <c r="DF168" s="155">
        <f t="shared" ref="DF168" si="673">$DC168</f>
        <v>45763</v>
      </c>
      <c r="DG168" s="156" t="e">
        <f ca="1">IF($CH168&gt;=設定!$E$12,"✕",IF(SS予約表!$CG168&gt;=設定!$E$12,"△","○"))</f>
        <v>#NAME?</v>
      </c>
    </row>
    <row r="169" spans="1:111" ht="29.25" customHeight="1">
      <c r="A169" s="284"/>
      <c r="B169" s="285"/>
      <c r="C169" s="286" t="s">
        <v>28</v>
      </c>
      <c r="D169" s="299"/>
      <c r="E169" s="300"/>
      <c r="F169" s="320"/>
      <c r="G169" s="324"/>
      <c r="H169" s="360"/>
      <c r="I169" s="324"/>
      <c r="J169" s="320">
        <v>10</v>
      </c>
      <c r="K169" s="324" t="s">
        <v>50</v>
      </c>
      <c r="L169" s="469"/>
      <c r="M169" s="445"/>
      <c r="N169" s="449" t="s">
        <v>39</v>
      </c>
      <c r="O169" s="384"/>
      <c r="P169" s="320"/>
      <c r="Q169" s="321"/>
      <c r="R169" s="320"/>
      <c r="S169" s="321"/>
      <c r="T169" s="320"/>
      <c r="U169" s="321"/>
      <c r="V169" s="299"/>
      <c r="W169" s="300"/>
      <c r="X169" s="299"/>
      <c r="Y169" s="300"/>
      <c r="Z169" s="294"/>
      <c r="AA169" s="295"/>
      <c r="AB169" s="296"/>
      <c r="AC169" s="463"/>
      <c r="AD169" s="464"/>
      <c r="AE169" s="320"/>
      <c r="AF169" s="324"/>
      <c r="AG169" s="320">
        <v>10</v>
      </c>
      <c r="AH169" s="479" t="s">
        <v>228</v>
      </c>
      <c r="AI169" s="320"/>
      <c r="AJ169" s="324"/>
      <c r="AK169" s="411"/>
      <c r="AL169" s="445"/>
      <c r="AM169" s="320"/>
      <c r="AN169" s="324"/>
      <c r="AO169" s="429"/>
      <c r="AP169" s="322"/>
      <c r="AQ169" s="299"/>
      <c r="AR169" s="300"/>
      <c r="AS169" s="320"/>
      <c r="AT169" s="324"/>
      <c r="AU169" s="320"/>
      <c r="AV169" s="321"/>
      <c r="AW169" s="411"/>
      <c r="AX169" s="445"/>
      <c r="AY169" s="325"/>
      <c r="AZ169" s="326"/>
      <c r="BA169" s="294"/>
      <c r="BB169" s="295"/>
      <c r="BC169" s="296"/>
      <c r="BD169" s="284"/>
      <c r="BE169" s="298"/>
      <c r="BF169" s="305"/>
      <c r="BG169" s="302"/>
      <c r="BH169" s="301"/>
      <c r="BI169" s="302"/>
      <c r="BJ169" s="301"/>
      <c r="BK169" s="302"/>
      <c r="BL169" s="301"/>
      <c r="BM169" s="302"/>
      <c r="BN169" s="301"/>
      <c r="BO169" s="302"/>
      <c r="BP169" s="301"/>
      <c r="BQ169" s="302"/>
      <c r="BR169" s="301"/>
      <c r="BS169" s="302"/>
      <c r="BT169" s="301"/>
      <c r="BU169" s="302"/>
      <c r="BV169" s="301"/>
      <c r="BW169" s="302"/>
      <c r="BX169" s="301"/>
      <c r="BY169" s="302"/>
      <c r="BZ169" s="306"/>
      <c r="CA169" s="304"/>
      <c r="CB169" s="294"/>
      <c r="CC169" s="295"/>
      <c r="CD169" s="296"/>
      <c r="CE169" s="284"/>
      <c r="CF169" s="298"/>
      <c r="CG169" s="307"/>
      <c r="CH169" s="308"/>
      <c r="CI169" s="309"/>
      <c r="CJ169" s="310"/>
      <c r="CK169" s="311"/>
      <c r="CL169" s="75"/>
      <c r="CN169" s="161"/>
      <c r="CO169" s="163"/>
      <c r="CP169" s="299"/>
      <c r="CQ169" s="300"/>
      <c r="CR169" s="299"/>
      <c r="CS169" s="300"/>
      <c r="CT169" s="317"/>
      <c r="CU169" s="316"/>
      <c r="CZ169" s="73">
        <v>4</v>
      </c>
      <c r="DA169" s="73">
        <v>4</v>
      </c>
      <c r="DB169" s="73">
        <v>16</v>
      </c>
      <c r="DC169" s="74">
        <f t="shared" si="563"/>
        <v>45763</v>
      </c>
      <c r="DD169" s="68" t="str">
        <f t="shared" si="603"/>
        <v>水</v>
      </c>
      <c r="DF169" s="156"/>
      <c r="DG169" s="156"/>
    </row>
    <row r="170" spans="1:111" ht="28.5" customHeight="1">
      <c r="A170" s="327">
        <f t="shared" si="572"/>
        <v>45764</v>
      </c>
      <c r="B170" s="365" t="str">
        <f t="shared" si="573"/>
        <v>木</v>
      </c>
      <c r="C170" s="329" t="s">
        <v>27</v>
      </c>
      <c r="D170" s="335"/>
      <c r="E170" s="347"/>
      <c r="F170" s="333"/>
      <c r="G170" s="377"/>
      <c r="H170" s="368"/>
      <c r="I170" s="377"/>
      <c r="J170" s="333"/>
      <c r="K170" s="377"/>
      <c r="L170" s="471"/>
      <c r="M170" s="472"/>
      <c r="N170" s="447" t="s">
        <v>39</v>
      </c>
      <c r="O170" s="390"/>
      <c r="P170" s="333"/>
      <c r="Q170" s="381"/>
      <c r="R170" s="333"/>
      <c r="S170" s="381"/>
      <c r="T170" s="333"/>
      <c r="U170" s="381"/>
      <c r="V170" s="335"/>
      <c r="W170" s="347"/>
      <c r="X170" s="335"/>
      <c r="Y170" s="347"/>
      <c r="Z170" s="342">
        <f t="shared" ref="Z170" ca="1" si="674">UDayCou(1,ROW())</f>
        <v>6</v>
      </c>
      <c r="AA170" s="343">
        <f t="shared" ref="AA170" ca="1" si="675">UNightCou(1,ROW())</f>
        <v>6</v>
      </c>
      <c r="AB170" s="344">
        <f t="shared" ref="AB170" ca="1" si="676">UNewCou(1,ROW())</f>
        <v>2</v>
      </c>
      <c r="AC170" s="461">
        <f t="shared" si="577"/>
        <v>45764</v>
      </c>
      <c r="AD170" s="462" t="str">
        <f t="shared" si="578"/>
        <v>木</v>
      </c>
      <c r="AE170" s="333"/>
      <c r="AF170" s="377"/>
      <c r="AG170" s="333"/>
      <c r="AH170" s="377"/>
      <c r="AI170" s="333"/>
      <c r="AJ170" s="377"/>
      <c r="AK170" s="440"/>
      <c r="AL170" s="472"/>
      <c r="AM170" s="333"/>
      <c r="AN170" s="377"/>
      <c r="AO170" s="430"/>
      <c r="AP170" s="409"/>
      <c r="AQ170" s="335"/>
      <c r="AR170" s="347"/>
      <c r="AS170" s="333"/>
      <c r="AT170" s="377"/>
      <c r="AU170" s="333"/>
      <c r="AV170" s="381"/>
      <c r="AW170" s="440"/>
      <c r="AX170" s="472"/>
      <c r="AY170" s="348"/>
      <c r="AZ170" s="349"/>
      <c r="BA170" s="342">
        <f ca="1">UDayCou(2,ROW())</f>
        <v>8</v>
      </c>
      <c r="BB170" s="343">
        <f ca="1">UNightCou(2,ROW())</f>
        <v>8</v>
      </c>
      <c r="BC170" s="344">
        <f ca="1">UNewCou(2,ROW())</f>
        <v>1</v>
      </c>
      <c r="BD170" s="327">
        <f t="shared" si="579"/>
        <v>45764</v>
      </c>
      <c r="BE170" s="371" t="str">
        <f t="shared" si="580"/>
        <v>木</v>
      </c>
      <c r="BF170" s="350"/>
      <c r="BG170" s="351"/>
      <c r="BH170" s="330"/>
      <c r="BI170" s="351"/>
      <c r="BJ170" s="330"/>
      <c r="BK170" s="351"/>
      <c r="BL170" s="330"/>
      <c r="BM170" s="351"/>
      <c r="BN170" s="330"/>
      <c r="BO170" s="351"/>
      <c r="BP170" s="330"/>
      <c r="BQ170" s="351"/>
      <c r="BR170" s="330"/>
      <c r="BS170" s="351"/>
      <c r="BT170" s="330"/>
      <c r="BU170" s="351"/>
      <c r="BV170" s="330"/>
      <c r="BW170" s="351"/>
      <c r="BX170" s="330"/>
      <c r="BY170" s="351"/>
      <c r="BZ170" s="389"/>
      <c r="CA170" s="341"/>
      <c r="CB170" s="342">
        <f ca="1">UDayCou(3,ROW())</f>
        <v>0</v>
      </c>
      <c r="CC170" s="343">
        <f ca="1">UNightCou(3,ROW())</f>
        <v>0</v>
      </c>
      <c r="CD170" s="344">
        <f ca="1">UNewCou(3,ROW())</f>
        <v>0</v>
      </c>
      <c r="CE170" s="327">
        <f t="shared" si="581"/>
        <v>45764</v>
      </c>
      <c r="CF170" s="371" t="str">
        <f t="shared" si="582"/>
        <v>木</v>
      </c>
      <c r="CG170" s="352">
        <f t="shared" ref="CG170" ca="1" si="677">Z170+BA170+CB170</f>
        <v>14</v>
      </c>
      <c r="CH170" s="353">
        <f t="shared" ref="CH170" ca="1" si="678">AA170+BB170+CC170</f>
        <v>14</v>
      </c>
      <c r="CI170" s="354">
        <f t="shared" ref="CI170" ca="1" si="679">AB170+BC170+CD170</f>
        <v>3</v>
      </c>
      <c r="CJ170" s="355">
        <f ca="1">COUNTIF(INDIRECT("D218:CA219"),"*●*")</f>
        <v>0</v>
      </c>
      <c r="CK170" s="356">
        <f ca="1">COUNTIF(INDIRECT("D218:CA219"),"*㋷*")</f>
        <v>0</v>
      </c>
      <c r="CL170" s="75"/>
      <c r="CN170" s="160">
        <f t="shared" si="586"/>
        <v>45764</v>
      </c>
      <c r="CO170" s="162" t="str">
        <f t="shared" si="587"/>
        <v>木</v>
      </c>
      <c r="CP170" s="335"/>
      <c r="CQ170" s="347"/>
      <c r="CR170" s="335"/>
      <c r="CS170" s="347"/>
      <c r="CT170" s="359"/>
      <c r="CU170" s="358"/>
      <c r="CZ170" s="73">
        <v>4</v>
      </c>
      <c r="DA170" s="73">
        <v>4</v>
      </c>
      <c r="DB170" s="73">
        <v>17</v>
      </c>
      <c r="DC170" s="74">
        <f t="shared" si="563"/>
        <v>45764</v>
      </c>
      <c r="DD170" s="68" t="str">
        <f t="shared" si="603"/>
        <v>木</v>
      </c>
      <c r="DF170" s="155">
        <f t="shared" ref="DF170" si="680">$DC170</f>
        <v>45764</v>
      </c>
      <c r="DG170" s="156" t="e">
        <f ca="1">IF($CH170&gt;=設定!$E$12,"✕",IF(SS予約表!$CG170&gt;=設定!$E$12,"△","○"))</f>
        <v>#NAME?</v>
      </c>
    </row>
    <row r="171" spans="1:111" ht="29.25" customHeight="1">
      <c r="A171" s="284"/>
      <c r="B171" s="285"/>
      <c r="C171" s="286" t="s">
        <v>28</v>
      </c>
      <c r="D171" s="289">
        <v>10</v>
      </c>
      <c r="E171" s="324" t="s">
        <v>160</v>
      </c>
      <c r="F171" s="320"/>
      <c r="G171" s="324"/>
      <c r="H171" s="360"/>
      <c r="I171" s="324"/>
      <c r="J171" s="320"/>
      <c r="K171" s="324"/>
      <c r="L171" s="469"/>
      <c r="M171" s="445"/>
      <c r="N171" s="449" t="s">
        <v>39</v>
      </c>
      <c r="O171" s="384"/>
      <c r="P171" s="320"/>
      <c r="Q171" s="321"/>
      <c r="R171" s="320"/>
      <c r="S171" s="321"/>
      <c r="T171" s="320"/>
      <c r="U171" s="321"/>
      <c r="V171" s="299"/>
      <c r="W171" s="300"/>
      <c r="X171" s="299"/>
      <c r="Y171" s="300"/>
      <c r="Z171" s="294"/>
      <c r="AA171" s="295"/>
      <c r="AB171" s="296"/>
      <c r="AC171" s="463"/>
      <c r="AD171" s="464"/>
      <c r="AE171" s="320"/>
      <c r="AF171" s="324"/>
      <c r="AG171" s="320"/>
      <c r="AH171" s="324"/>
      <c r="AI171" s="320"/>
      <c r="AJ171" s="324"/>
      <c r="AK171" s="411"/>
      <c r="AL171" s="445"/>
      <c r="AM171" s="320"/>
      <c r="AN171" s="324"/>
      <c r="AO171" s="429"/>
      <c r="AP171" s="322"/>
      <c r="AQ171" s="299"/>
      <c r="AR171" s="300"/>
      <c r="AS171" s="320"/>
      <c r="AT171" s="324"/>
      <c r="AU171" s="320"/>
      <c r="AV171" s="321"/>
      <c r="AW171" s="411"/>
      <c r="AX171" s="445"/>
      <c r="AY171" s="325"/>
      <c r="AZ171" s="326"/>
      <c r="BA171" s="294"/>
      <c r="BB171" s="295"/>
      <c r="BC171" s="296"/>
      <c r="BD171" s="284"/>
      <c r="BE171" s="298"/>
      <c r="BF171" s="305"/>
      <c r="BG171" s="302"/>
      <c r="BH171" s="301"/>
      <c r="BI171" s="302"/>
      <c r="BJ171" s="301"/>
      <c r="BK171" s="302"/>
      <c r="BL171" s="301"/>
      <c r="BM171" s="302"/>
      <c r="BN171" s="301"/>
      <c r="BO171" s="302"/>
      <c r="BP171" s="301"/>
      <c r="BQ171" s="302"/>
      <c r="BR171" s="301"/>
      <c r="BS171" s="302"/>
      <c r="BT171" s="301"/>
      <c r="BU171" s="302"/>
      <c r="BV171" s="301"/>
      <c r="BW171" s="302"/>
      <c r="BX171" s="301"/>
      <c r="BY171" s="302"/>
      <c r="BZ171" s="306"/>
      <c r="CA171" s="304"/>
      <c r="CB171" s="294"/>
      <c r="CC171" s="295"/>
      <c r="CD171" s="296"/>
      <c r="CE171" s="284"/>
      <c r="CF171" s="298"/>
      <c r="CG171" s="307"/>
      <c r="CH171" s="308"/>
      <c r="CI171" s="309"/>
      <c r="CJ171" s="310"/>
      <c r="CK171" s="311"/>
      <c r="CL171" s="75"/>
      <c r="CN171" s="161"/>
      <c r="CO171" s="163"/>
      <c r="CP171" s="299"/>
      <c r="CQ171" s="300"/>
      <c r="CR171" s="299"/>
      <c r="CS171" s="300"/>
      <c r="CT171" s="317"/>
      <c r="CU171" s="316"/>
      <c r="CZ171" s="73">
        <v>4</v>
      </c>
      <c r="DA171" s="73">
        <v>4</v>
      </c>
      <c r="DB171" s="73">
        <v>17</v>
      </c>
      <c r="DC171" s="74">
        <f t="shared" si="563"/>
        <v>45764</v>
      </c>
      <c r="DD171" s="68" t="str">
        <f t="shared" si="603"/>
        <v>木</v>
      </c>
      <c r="DF171" s="156"/>
      <c r="DG171" s="156"/>
    </row>
    <row r="172" spans="1:111" ht="28.5" customHeight="1">
      <c r="A172" s="327">
        <f t="shared" si="572"/>
        <v>45765</v>
      </c>
      <c r="B172" s="365" t="str">
        <f t="shared" si="573"/>
        <v>金</v>
      </c>
      <c r="C172" s="329" t="s">
        <v>27</v>
      </c>
      <c r="D172" s="431"/>
      <c r="E172" s="377"/>
      <c r="F172" s="333"/>
      <c r="G172" s="377"/>
      <c r="H172" s="368"/>
      <c r="I172" s="377"/>
      <c r="J172" s="333">
        <v>15</v>
      </c>
      <c r="K172" s="337"/>
      <c r="L172" s="471"/>
      <c r="M172" s="472"/>
      <c r="N172" s="447">
        <v>15</v>
      </c>
      <c r="O172" s="448"/>
      <c r="P172" s="333"/>
      <c r="Q172" s="381"/>
      <c r="R172" s="333"/>
      <c r="S172" s="381"/>
      <c r="T172" s="333"/>
      <c r="U172" s="381"/>
      <c r="V172" s="335"/>
      <c r="W172" s="347"/>
      <c r="X172" s="335"/>
      <c r="Y172" s="347"/>
      <c r="Z172" s="342">
        <f t="shared" ref="Z172" ca="1" si="681">UDayCou(1,ROW())</f>
        <v>10</v>
      </c>
      <c r="AA172" s="343">
        <f t="shared" ref="AA172" ca="1" si="682">UNightCou(1,ROW())</f>
        <v>8</v>
      </c>
      <c r="AB172" s="344">
        <f t="shared" ref="AB172" ca="1" si="683">UNewCou(1,ROW())</f>
        <v>2</v>
      </c>
      <c r="AC172" s="461">
        <f t="shared" si="577"/>
        <v>45765</v>
      </c>
      <c r="AD172" s="462" t="str">
        <f t="shared" si="578"/>
        <v>金</v>
      </c>
      <c r="AE172" s="333"/>
      <c r="AF172" s="377"/>
      <c r="AG172" s="333"/>
      <c r="AH172" s="377"/>
      <c r="AI172" s="333"/>
      <c r="AJ172" s="377"/>
      <c r="AK172" s="440">
        <v>15</v>
      </c>
      <c r="AL172" s="480"/>
      <c r="AM172" s="333"/>
      <c r="AN172" s="377"/>
      <c r="AO172" s="430"/>
      <c r="AP172" s="409"/>
      <c r="AQ172" s="335"/>
      <c r="AR172" s="347"/>
      <c r="AS172" s="333">
        <v>15</v>
      </c>
      <c r="AT172" s="337"/>
      <c r="AU172" s="333"/>
      <c r="AV172" s="381"/>
      <c r="AW172" s="440"/>
      <c r="AX172" s="472"/>
      <c r="AY172" s="348"/>
      <c r="AZ172" s="349"/>
      <c r="BA172" s="342">
        <f ca="1">UDayCou(2,ROW())</f>
        <v>9</v>
      </c>
      <c r="BB172" s="343">
        <f ca="1">UNightCou(2,ROW())</f>
        <v>7</v>
      </c>
      <c r="BC172" s="344">
        <f ca="1">UNewCou(2,ROW())</f>
        <v>1</v>
      </c>
      <c r="BD172" s="327">
        <f t="shared" si="579"/>
        <v>45765</v>
      </c>
      <c r="BE172" s="371" t="str">
        <f t="shared" si="580"/>
        <v>金</v>
      </c>
      <c r="BF172" s="350"/>
      <c r="BG172" s="351"/>
      <c r="BH172" s="330"/>
      <c r="BI172" s="351"/>
      <c r="BJ172" s="330"/>
      <c r="BK172" s="351"/>
      <c r="BL172" s="330"/>
      <c r="BM172" s="351"/>
      <c r="BN172" s="330"/>
      <c r="BO172" s="351"/>
      <c r="BP172" s="330"/>
      <c r="BQ172" s="351"/>
      <c r="BR172" s="330"/>
      <c r="BS172" s="351"/>
      <c r="BT172" s="330"/>
      <c r="BU172" s="351"/>
      <c r="BV172" s="330"/>
      <c r="BW172" s="351"/>
      <c r="BX172" s="330"/>
      <c r="BY172" s="351"/>
      <c r="BZ172" s="389"/>
      <c r="CA172" s="341"/>
      <c r="CB172" s="342">
        <f ca="1">UDayCou(3,ROW())</f>
        <v>0</v>
      </c>
      <c r="CC172" s="343">
        <f ca="1">UNightCou(3,ROW())</f>
        <v>0</v>
      </c>
      <c r="CD172" s="344">
        <f ca="1">UNewCou(3,ROW())</f>
        <v>0</v>
      </c>
      <c r="CE172" s="327">
        <f t="shared" si="581"/>
        <v>45765</v>
      </c>
      <c r="CF172" s="371" t="str">
        <f t="shared" si="582"/>
        <v>金</v>
      </c>
      <c r="CG172" s="352">
        <f t="shared" ref="CG172" ca="1" si="684">Z172+BA172+CB172</f>
        <v>19</v>
      </c>
      <c r="CH172" s="353">
        <f t="shared" ref="CH172" ca="1" si="685">AA172+BB172+CC172</f>
        <v>15</v>
      </c>
      <c r="CI172" s="354">
        <f t="shared" ref="CI172" ca="1" si="686">AB172+BC172+CD172</f>
        <v>3</v>
      </c>
      <c r="CJ172" s="355">
        <f ca="1">COUNTIF(INDIRECT("D220:CA221"),"*●*")</f>
        <v>0</v>
      </c>
      <c r="CK172" s="356">
        <f ca="1">COUNTIF(INDIRECT("D220:CA221"),"*㋷*")</f>
        <v>0</v>
      </c>
      <c r="CL172" s="75"/>
      <c r="CN172" s="160">
        <f t="shared" si="586"/>
        <v>45765</v>
      </c>
      <c r="CO172" s="162" t="str">
        <f t="shared" si="587"/>
        <v>金</v>
      </c>
      <c r="CP172" s="335"/>
      <c r="CQ172" s="347"/>
      <c r="CR172" s="335"/>
      <c r="CS172" s="347"/>
      <c r="CT172" s="359"/>
      <c r="CU172" s="358"/>
      <c r="CZ172" s="73">
        <v>4</v>
      </c>
      <c r="DA172" s="73">
        <v>4</v>
      </c>
      <c r="DB172" s="73">
        <v>18</v>
      </c>
      <c r="DC172" s="74">
        <f t="shared" si="563"/>
        <v>45765</v>
      </c>
      <c r="DD172" s="68" t="str">
        <f t="shared" si="603"/>
        <v>金</v>
      </c>
      <c r="DF172" s="155">
        <f t="shared" ref="DF172" si="687">$DC172</f>
        <v>45765</v>
      </c>
      <c r="DG172" s="156" t="e">
        <f ca="1">IF($CH172&gt;=設定!$E$12,"✕",IF(SS予約表!$CG172&gt;=設定!$E$12,"△","○"))</f>
        <v>#NAME?</v>
      </c>
    </row>
    <row r="173" spans="1:111" ht="29.25" customHeight="1">
      <c r="A173" s="284"/>
      <c r="B173" s="285"/>
      <c r="C173" s="286" t="s">
        <v>28</v>
      </c>
      <c r="D173" s="289"/>
      <c r="E173" s="324"/>
      <c r="F173" s="320"/>
      <c r="G173" s="324"/>
      <c r="H173" s="360"/>
      <c r="I173" s="324"/>
      <c r="J173" s="320">
        <v>10</v>
      </c>
      <c r="K173" s="324" t="s">
        <v>141</v>
      </c>
      <c r="L173" s="469"/>
      <c r="M173" s="445"/>
      <c r="N173" s="320"/>
      <c r="O173" s="321"/>
      <c r="P173" s="320">
        <v>10</v>
      </c>
      <c r="Q173" s="324" t="s">
        <v>215</v>
      </c>
      <c r="R173" s="449">
        <v>10</v>
      </c>
      <c r="S173" s="384" t="s">
        <v>111</v>
      </c>
      <c r="T173" s="320">
        <v>10</v>
      </c>
      <c r="U173" s="324" t="s">
        <v>113</v>
      </c>
      <c r="V173" s="299"/>
      <c r="W173" s="300"/>
      <c r="X173" s="299"/>
      <c r="Y173" s="300"/>
      <c r="Z173" s="294"/>
      <c r="AA173" s="295"/>
      <c r="AB173" s="296"/>
      <c r="AC173" s="463"/>
      <c r="AD173" s="464"/>
      <c r="AE173" s="320"/>
      <c r="AF173" s="324"/>
      <c r="AG173" s="320"/>
      <c r="AH173" s="324"/>
      <c r="AI173" s="320"/>
      <c r="AJ173" s="324"/>
      <c r="AK173" s="411"/>
      <c r="AL173" s="470"/>
      <c r="AM173" s="320"/>
      <c r="AN173" s="324"/>
      <c r="AO173" s="429"/>
      <c r="AP173" s="322"/>
      <c r="AQ173" s="299"/>
      <c r="AR173" s="300"/>
      <c r="AS173" s="320"/>
      <c r="AT173" s="321"/>
      <c r="AU173" s="320">
        <v>10</v>
      </c>
      <c r="AV173" s="481" t="s">
        <v>50</v>
      </c>
      <c r="AW173" s="411"/>
      <c r="AX173" s="445"/>
      <c r="AY173" s="325"/>
      <c r="AZ173" s="326"/>
      <c r="BA173" s="294"/>
      <c r="BB173" s="295"/>
      <c r="BC173" s="296"/>
      <c r="BD173" s="284"/>
      <c r="BE173" s="298"/>
      <c r="BF173" s="305"/>
      <c r="BG173" s="302"/>
      <c r="BH173" s="301"/>
      <c r="BI173" s="302"/>
      <c r="BJ173" s="301"/>
      <c r="BK173" s="302"/>
      <c r="BL173" s="301"/>
      <c r="BM173" s="302"/>
      <c r="BN173" s="301"/>
      <c r="BO173" s="302"/>
      <c r="BP173" s="301"/>
      <c r="BQ173" s="302"/>
      <c r="BR173" s="301"/>
      <c r="BS173" s="302"/>
      <c r="BT173" s="301"/>
      <c r="BU173" s="302"/>
      <c r="BV173" s="301"/>
      <c r="BW173" s="302"/>
      <c r="BX173" s="301"/>
      <c r="BY173" s="302"/>
      <c r="BZ173" s="306"/>
      <c r="CA173" s="304"/>
      <c r="CB173" s="294"/>
      <c r="CC173" s="295"/>
      <c r="CD173" s="296"/>
      <c r="CE173" s="284"/>
      <c r="CF173" s="298"/>
      <c r="CG173" s="307"/>
      <c r="CH173" s="308"/>
      <c r="CI173" s="309"/>
      <c r="CJ173" s="310"/>
      <c r="CK173" s="311"/>
      <c r="CL173" s="75"/>
      <c r="CN173" s="161"/>
      <c r="CO173" s="163"/>
      <c r="CP173" s="315"/>
      <c r="CQ173" s="316"/>
      <c r="CR173" s="317"/>
      <c r="CS173" s="316"/>
      <c r="CT173" s="317"/>
      <c r="CU173" s="316"/>
      <c r="CZ173" s="73">
        <v>4</v>
      </c>
      <c r="DA173" s="73">
        <v>4</v>
      </c>
      <c r="DB173" s="73">
        <v>18</v>
      </c>
      <c r="DC173" s="74">
        <f t="shared" si="563"/>
        <v>45765</v>
      </c>
      <c r="DD173" s="68" t="str">
        <f t="shared" si="603"/>
        <v>金</v>
      </c>
      <c r="DF173" s="156"/>
      <c r="DG173" s="156"/>
    </row>
    <row r="174" spans="1:111" ht="28.5" customHeight="1">
      <c r="A174" s="327">
        <f t="shared" si="572"/>
        <v>45766</v>
      </c>
      <c r="B174" s="393" t="str">
        <f t="shared" si="573"/>
        <v>土</v>
      </c>
      <c r="C174" s="329" t="s">
        <v>27</v>
      </c>
      <c r="D174" s="431">
        <v>15</v>
      </c>
      <c r="E174" s="337"/>
      <c r="F174" s="333">
        <v>15</v>
      </c>
      <c r="G174" s="337"/>
      <c r="H174" s="368"/>
      <c r="I174" s="377"/>
      <c r="J174" s="333"/>
      <c r="K174" s="377"/>
      <c r="L174" s="471"/>
      <c r="M174" s="472"/>
      <c r="N174" s="333"/>
      <c r="O174" s="381"/>
      <c r="P174" s="333">
        <v>15</v>
      </c>
      <c r="Q174" s="337"/>
      <c r="R174" s="447" t="s">
        <v>39</v>
      </c>
      <c r="S174" s="390"/>
      <c r="T174" s="333"/>
      <c r="U174" s="377"/>
      <c r="V174" s="335"/>
      <c r="W174" s="347"/>
      <c r="X174" s="335"/>
      <c r="Y174" s="347"/>
      <c r="Z174" s="342">
        <f t="shared" ref="Z174" ca="1" si="688">UDayCou(1,ROW())</f>
        <v>12</v>
      </c>
      <c r="AA174" s="343">
        <f t="shared" ref="AA174" ca="1" si="689">UNightCou(1,ROW())</f>
        <v>9</v>
      </c>
      <c r="AB174" s="344">
        <f t="shared" ref="AB174" ca="1" si="690">UNewCou(1,ROW())</f>
        <v>2</v>
      </c>
      <c r="AC174" s="461">
        <f t="shared" si="577"/>
        <v>45766</v>
      </c>
      <c r="AD174" s="465" t="str">
        <f t="shared" si="578"/>
        <v>土</v>
      </c>
      <c r="AE174" s="333">
        <v>15</v>
      </c>
      <c r="AF174" s="337"/>
      <c r="AG174" s="333"/>
      <c r="AH174" s="377"/>
      <c r="AI174" s="333"/>
      <c r="AJ174" s="377"/>
      <c r="AK174" s="440"/>
      <c r="AL174" s="474"/>
      <c r="AM174" s="333">
        <v>15</v>
      </c>
      <c r="AN174" s="337"/>
      <c r="AO174" s="430"/>
      <c r="AP174" s="409"/>
      <c r="AQ174" s="335"/>
      <c r="AR174" s="347"/>
      <c r="AS174" s="333"/>
      <c r="AT174" s="381"/>
      <c r="AU174" s="333"/>
      <c r="AV174" s="377"/>
      <c r="AW174" s="440"/>
      <c r="AX174" s="472"/>
      <c r="AY174" s="348"/>
      <c r="AZ174" s="349"/>
      <c r="BA174" s="342">
        <f ca="1">UDayCou(2,ROW())</f>
        <v>7</v>
      </c>
      <c r="BB174" s="343">
        <f ca="1">UNightCou(2,ROW())</f>
        <v>5</v>
      </c>
      <c r="BC174" s="344">
        <f ca="1">UNewCou(2,ROW())</f>
        <v>1</v>
      </c>
      <c r="BD174" s="327">
        <f t="shared" si="579"/>
        <v>45766</v>
      </c>
      <c r="BE174" s="394" t="str">
        <f t="shared" si="580"/>
        <v>土</v>
      </c>
      <c r="BF174" s="350"/>
      <c r="BG174" s="351"/>
      <c r="BH174" s="330"/>
      <c r="BI174" s="351"/>
      <c r="BJ174" s="330"/>
      <c r="BK174" s="351"/>
      <c r="BL174" s="330"/>
      <c r="BM174" s="351"/>
      <c r="BN174" s="330"/>
      <c r="BO174" s="351"/>
      <c r="BP174" s="330"/>
      <c r="BQ174" s="351"/>
      <c r="BR174" s="330"/>
      <c r="BS174" s="351"/>
      <c r="BT174" s="330"/>
      <c r="BU174" s="351"/>
      <c r="BV174" s="330"/>
      <c r="BW174" s="351"/>
      <c r="BX174" s="330"/>
      <c r="BY174" s="351"/>
      <c r="BZ174" s="389"/>
      <c r="CA174" s="341"/>
      <c r="CB174" s="342">
        <f ca="1">UDayCou(3,ROW())</f>
        <v>0</v>
      </c>
      <c r="CC174" s="343">
        <f ca="1">UNightCou(3,ROW())</f>
        <v>0</v>
      </c>
      <c r="CD174" s="344">
        <f ca="1">UNewCou(3,ROW())</f>
        <v>0</v>
      </c>
      <c r="CE174" s="327">
        <f t="shared" si="581"/>
        <v>45766</v>
      </c>
      <c r="CF174" s="394" t="str">
        <f t="shared" si="582"/>
        <v>土</v>
      </c>
      <c r="CG174" s="352">
        <f t="shared" ref="CG174" ca="1" si="691">Z174+BA174+CB174</f>
        <v>19</v>
      </c>
      <c r="CH174" s="353">
        <f t="shared" ref="CH174" ca="1" si="692">AA174+BB174+CC174</f>
        <v>14</v>
      </c>
      <c r="CI174" s="354">
        <f t="shared" ref="CI174" ca="1" si="693">AB174+BC174+CD174</f>
        <v>3</v>
      </c>
      <c r="CJ174" s="355">
        <f ca="1">COUNTIF(INDIRECT("D222:CA223"),"*●*")</f>
        <v>0</v>
      </c>
      <c r="CK174" s="356">
        <f ca="1">COUNTIF(INDIRECT("D222:CA223"),"*㋷*")</f>
        <v>0</v>
      </c>
      <c r="CL174" s="75"/>
      <c r="CN174" s="160">
        <f t="shared" si="586"/>
        <v>45766</v>
      </c>
      <c r="CO174" s="167" t="str">
        <f t="shared" si="587"/>
        <v>土</v>
      </c>
      <c r="CP174" s="357"/>
      <c r="CQ174" s="358"/>
      <c r="CR174" s="359"/>
      <c r="CS174" s="358"/>
      <c r="CT174" s="359"/>
      <c r="CU174" s="358"/>
      <c r="CZ174" s="73">
        <v>4</v>
      </c>
      <c r="DA174" s="73">
        <v>4</v>
      </c>
      <c r="DB174" s="73">
        <v>19</v>
      </c>
      <c r="DC174" s="74">
        <f t="shared" si="563"/>
        <v>45766</v>
      </c>
      <c r="DD174" s="68" t="str">
        <f t="shared" si="603"/>
        <v>土</v>
      </c>
      <c r="DF174" s="155">
        <f t="shared" ref="DF174" si="694">$DC174</f>
        <v>45766</v>
      </c>
      <c r="DG174" s="156" t="e">
        <f ca="1">IF($CH174&gt;=設定!$E$12,"✕",IF(SS予約表!$CG174&gt;=設定!$E$12,"△","○"))</f>
        <v>#NAME?</v>
      </c>
    </row>
    <row r="175" spans="1:111" ht="29.25" customHeight="1">
      <c r="A175" s="284"/>
      <c r="B175" s="285"/>
      <c r="C175" s="286" t="s">
        <v>28</v>
      </c>
      <c r="D175" s="289">
        <v>10</v>
      </c>
      <c r="E175" s="324" t="s">
        <v>142</v>
      </c>
      <c r="F175" s="320">
        <v>10</v>
      </c>
      <c r="G175" s="324" t="s">
        <v>83</v>
      </c>
      <c r="H175" s="360"/>
      <c r="I175" s="324"/>
      <c r="J175" s="320"/>
      <c r="K175" s="324"/>
      <c r="L175" s="360"/>
      <c r="M175" s="445"/>
      <c r="N175" s="320">
        <v>10</v>
      </c>
      <c r="O175" s="324" t="s">
        <v>82</v>
      </c>
      <c r="P175" s="320">
        <v>10</v>
      </c>
      <c r="Q175" s="324" t="s">
        <v>142</v>
      </c>
      <c r="R175" s="449" t="s">
        <v>39</v>
      </c>
      <c r="S175" s="384"/>
      <c r="T175" s="320"/>
      <c r="U175" s="324"/>
      <c r="V175" s="299"/>
      <c r="W175" s="300"/>
      <c r="X175" s="299"/>
      <c r="Y175" s="300"/>
      <c r="Z175" s="294"/>
      <c r="AA175" s="295"/>
      <c r="AB175" s="296"/>
      <c r="AC175" s="463"/>
      <c r="AD175" s="464"/>
      <c r="AE175" s="320"/>
      <c r="AF175" s="321"/>
      <c r="AG175" s="320"/>
      <c r="AH175" s="324"/>
      <c r="AI175" s="320"/>
      <c r="AJ175" s="324"/>
      <c r="AK175" s="320"/>
      <c r="AL175" s="470"/>
      <c r="AM175" s="320"/>
      <c r="AN175" s="470"/>
      <c r="AO175" s="360"/>
      <c r="AP175" s="324"/>
      <c r="AQ175" s="299"/>
      <c r="AR175" s="300"/>
      <c r="AS175" s="320"/>
      <c r="AT175" s="321"/>
      <c r="AU175" s="320"/>
      <c r="AV175" s="324"/>
      <c r="AW175" s="320"/>
      <c r="AX175" s="445"/>
      <c r="AY175" s="325"/>
      <c r="AZ175" s="326"/>
      <c r="BA175" s="294"/>
      <c r="BB175" s="295"/>
      <c r="BC175" s="296"/>
      <c r="BD175" s="284"/>
      <c r="BE175" s="298"/>
      <c r="BF175" s="305"/>
      <c r="BG175" s="302"/>
      <c r="BH175" s="301"/>
      <c r="BI175" s="302"/>
      <c r="BJ175" s="301"/>
      <c r="BK175" s="302"/>
      <c r="BL175" s="301"/>
      <c r="BM175" s="302"/>
      <c r="BN175" s="301"/>
      <c r="BO175" s="302"/>
      <c r="BP175" s="301"/>
      <c r="BQ175" s="302"/>
      <c r="BR175" s="301"/>
      <c r="BS175" s="302"/>
      <c r="BT175" s="301"/>
      <c r="BU175" s="302"/>
      <c r="BV175" s="301"/>
      <c r="BW175" s="302"/>
      <c r="BX175" s="301"/>
      <c r="BY175" s="302"/>
      <c r="BZ175" s="306"/>
      <c r="CA175" s="304"/>
      <c r="CB175" s="294"/>
      <c r="CC175" s="295"/>
      <c r="CD175" s="296"/>
      <c r="CE175" s="284"/>
      <c r="CF175" s="298"/>
      <c r="CG175" s="307"/>
      <c r="CH175" s="308"/>
      <c r="CI175" s="309"/>
      <c r="CJ175" s="310"/>
      <c r="CK175" s="311"/>
      <c r="CL175" s="75"/>
      <c r="CN175" s="161"/>
      <c r="CO175" s="163"/>
      <c r="CP175" s="315"/>
      <c r="CQ175" s="316"/>
      <c r="CR175" s="317"/>
      <c r="CS175" s="316"/>
      <c r="CT175" s="317"/>
      <c r="CU175" s="316"/>
      <c r="CZ175" s="73">
        <v>4</v>
      </c>
      <c r="DA175" s="73">
        <v>4</v>
      </c>
      <c r="DB175" s="73">
        <v>19</v>
      </c>
      <c r="DC175" s="74">
        <f t="shared" si="563"/>
        <v>45766</v>
      </c>
      <c r="DD175" s="68" t="str">
        <f t="shared" si="603"/>
        <v>土</v>
      </c>
      <c r="DF175" s="156"/>
      <c r="DG175" s="156"/>
    </row>
    <row r="176" spans="1:111" ht="28.5" customHeight="1">
      <c r="A176" s="327">
        <f t="shared" si="572"/>
        <v>45767</v>
      </c>
      <c r="B176" s="328" t="str">
        <f t="shared" si="573"/>
        <v>日</v>
      </c>
      <c r="C176" s="329" t="s">
        <v>27</v>
      </c>
      <c r="D176" s="431"/>
      <c r="E176" s="377"/>
      <c r="F176" s="333"/>
      <c r="G176" s="377"/>
      <c r="H176" s="368"/>
      <c r="I176" s="377"/>
      <c r="J176" s="333"/>
      <c r="K176" s="377"/>
      <c r="L176" s="368"/>
      <c r="M176" s="472"/>
      <c r="N176" s="333"/>
      <c r="O176" s="377"/>
      <c r="P176" s="333"/>
      <c r="Q176" s="377"/>
      <c r="R176" s="447" t="s">
        <v>39</v>
      </c>
      <c r="S176" s="390"/>
      <c r="T176" s="333"/>
      <c r="U176" s="377"/>
      <c r="V176" s="335"/>
      <c r="W176" s="347"/>
      <c r="X176" s="335"/>
      <c r="Y176" s="347"/>
      <c r="Z176" s="342">
        <f t="shared" ref="Z176" ca="1" si="695">UDayCou(1,ROW())</f>
        <v>9</v>
      </c>
      <c r="AA176" s="343">
        <f t="shared" ref="AA176" ca="1" si="696">UNightCou(1,ROW())</f>
        <v>9</v>
      </c>
      <c r="AB176" s="344">
        <f t="shared" ref="AB176" ca="1" si="697">UNewCou(1,ROW())</f>
        <v>2</v>
      </c>
      <c r="AC176" s="461">
        <f t="shared" si="577"/>
        <v>45767</v>
      </c>
      <c r="AD176" s="466" t="str">
        <f t="shared" si="578"/>
        <v>日</v>
      </c>
      <c r="AE176" s="333"/>
      <c r="AF176" s="381"/>
      <c r="AG176" s="333">
        <v>15</v>
      </c>
      <c r="AH176" s="337"/>
      <c r="AI176" s="333"/>
      <c r="AJ176" s="377"/>
      <c r="AK176" s="333"/>
      <c r="AL176" s="474"/>
      <c r="AM176" s="333"/>
      <c r="AN176" s="474"/>
      <c r="AO176" s="368"/>
      <c r="AP176" s="377"/>
      <c r="AQ176" s="335"/>
      <c r="AR176" s="347"/>
      <c r="AS176" s="333"/>
      <c r="AT176" s="381"/>
      <c r="AU176" s="333"/>
      <c r="AV176" s="377"/>
      <c r="AW176" s="333"/>
      <c r="AX176" s="472"/>
      <c r="AY176" s="348"/>
      <c r="AZ176" s="349"/>
      <c r="BA176" s="342">
        <f ca="1">UDayCou(2,ROW())</f>
        <v>6</v>
      </c>
      <c r="BB176" s="343">
        <f ca="1">UNightCou(2,ROW())</f>
        <v>5</v>
      </c>
      <c r="BC176" s="344">
        <f ca="1">UNewCou(2,ROW())</f>
        <v>1</v>
      </c>
      <c r="BD176" s="327">
        <f t="shared" si="579"/>
        <v>45767</v>
      </c>
      <c r="BE176" s="346" t="str">
        <f t="shared" si="580"/>
        <v>日</v>
      </c>
      <c r="BF176" s="350"/>
      <c r="BG176" s="351"/>
      <c r="BH176" s="330"/>
      <c r="BI176" s="351"/>
      <c r="BJ176" s="330"/>
      <c r="BK176" s="351"/>
      <c r="BL176" s="330"/>
      <c r="BM176" s="351"/>
      <c r="BN176" s="330"/>
      <c r="BO176" s="351"/>
      <c r="BP176" s="330"/>
      <c r="BQ176" s="351"/>
      <c r="BR176" s="330"/>
      <c r="BS176" s="351"/>
      <c r="BT176" s="330"/>
      <c r="BU176" s="351"/>
      <c r="BV176" s="330"/>
      <c r="BW176" s="351"/>
      <c r="BX176" s="330"/>
      <c r="BY176" s="351"/>
      <c r="BZ176" s="389"/>
      <c r="CA176" s="341"/>
      <c r="CB176" s="342">
        <f ca="1">UDayCou(3,ROW())</f>
        <v>0</v>
      </c>
      <c r="CC176" s="343">
        <f ca="1">UNightCou(3,ROW())</f>
        <v>0</v>
      </c>
      <c r="CD176" s="344">
        <f ca="1">UNewCou(3,ROW())</f>
        <v>0</v>
      </c>
      <c r="CE176" s="327">
        <f t="shared" si="581"/>
        <v>45767</v>
      </c>
      <c r="CF176" s="346" t="str">
        <f t="shared" si="582"/>
        <v>日</v>
      </c>
      <c r="CG176" s="352">
        <f t="shared" ref="CG176" ca="1" si="698">Z176+BA176+CB176</f>
        <v>15</v>
      </c>
      <c r="CH176" s="353">
        <f t="shared" ref="CH176" ca="1" si="699">AA176+BB176+CC176</f>
        <v>14</v>
      </c>
      <c r="CI176" s="354">
        <f t="shared" ref="CI176" ca="1" si="700">AB176+BC176+CD176</f>
        <v>3</v>
      </c>
      <c r="CJ176" s="355">
        <f ca="1">COUNTIF(INDIRECT("D224:CA225"),"*●*")</f>
        <v>0</v>
      </c>
      <c r="CK176" s="356">
        <f ca="1">COUNTIF(INDIRECT("D224:CA225"),"*㋷*")</f>
        <v>0</v>
      </c>
      <c r="CL176" s="75"/>
      <c r="CN176" s="160">
        <f t="shared" si="586"/>
        <v>45767</v>
      </c>
      <c r="CO176" s="168" t="str">
        <f t="shared" si="587"/>
        <v>日</v>
      </c>
      <c r="CP176" s="357"/>
      <c r="CQ176" s="358"/>
      <c r="CR176" s="359"/>
      <c r="CS176" s="358"/>
      <c r="CT176" s="359"/>
      <c r="CU176" s="358"/>
      <c r="CZ176" s="73">
        <v>4</v>
      </c>
      <c r="DA176" s="73">
        <v>4</v>
      </c>
      <c r="DB176" s="73">
        <v>20</v>
      </c>
      <c r="DC176" s="74">
        <f t="shared" si="563"/>
        <v>45767</v>
      </c>
      <c r="DD176" s="68" t="str">
        <f t="shared" si="603"/>
        <v>日</v>
      </c>
      <c r="DF176" s="155">
        <f t="shared" ref="DF176" si="701">$DC176</f>
        <v>45767</v>
      </c>
      <c r="DG176" s="156" t="e">
        <f ca="1">IF($CH176&gt;=設定!$E$12,"✕",IF(SS予約表!$CG176&gt;=設定!$E$12,"△","○"))</f>
        <v>#NAME?</v>
      </c>
    </row>
    <row r="177" spans="1:111" ht="29.25" customHeight="1" thickBot="1">
      <c r="A177" s="284"/>
      <c r="B177" s="285"/>
      <c r="C177" s="286" t="s">
        <v>28</v>
      </c>
      <c r="D177" s="289"/>
      <c r="E177" s="324"/>
      <c r="F177" s="320"/>
      <c r="G177" s="324"/>
      <c r="H177" s="360"/>
      <c r="I177" s="324"/>
      <c r="J177" s="320"/>
      <c r="K177" s="324"/>
      <c r="L177" s="360"/>
      <c r="M177" s="445"/>
      <c r="N177" s="476"/>
      <c r="O177" s="324"/>
      <c r="P177" s="320"/>
      <c r="Q177" s="324"/>
      <c r="R177" s="449" t="s">
        <v>39</v>
      </c>
      <c r="S177" s="384"/>
      <c r="T177" s="320"/>
      <c r="U177" s="324"/>
      <c r="V177" s="320"/>
      <c r="W177" s="321"/>
      <c r="X177" s="299"/>
      <c r="Y177" s="300"/>
      <c r="Z177" s="294"/>
      <c r="AA177" s="295"/>
      <c r="AB177" s="296"/>
      <c r="AC177" s="463"/>
      <c r="AD177" s="464"/>
      <c r="AE177" s="320">
        <v>10</v>
      </c>
      <c r="AF177" s="324" t="s">
        <v>217</v>
      </c>
      <c r="AG177" s="320"/>
      <c r="AH177" s="321"/>
      <c r="AI177" s="320"/>
      <c r="AJ177" s="324"/>
      <c r="AK177" s="320"/>
      <c r="AL177" s="470"/>
      <c r="AM177" s="320"/>
      <c r="AN177" s="470"/>
      <c r="AO177" s="360"/>
      <c r="AP177" s="324"/>
      <c r="AQ177" s="299"/>
      <c r="AR177" s="300"/>
      <c r="AS177" s="320"/>
      <c r="AT177" s="321"/>
      <c r="AU177" s="320"/>
      <c r="AV177" s="324"/>
      <c r="AW177" s="320"/>
      <c r="AX177" s="445"/>
      <c r="AY177" s="325"/>
      <c r="AZ177" s="326"/>
      <c r="BA177" s="294"/>
      <c r="BB177" s="295"/>
      <c r="BC177" s="296"/>
      <c r="BD177" s="284"/>
      <c r="BE177" s="298"/>
      <c r="BF177" s="305"/>
      <c r="BG177" s="302"/>
      <c r="BH177" s="301"/>
      <c r="BI177" s="302"/>
      <c r="BJ177" s="301"/>
      <c r="BK177" s="302"/>
      <c r="BL177" s="301"/>
      <c r="BM177" s="302"/>
      <c r="BN177" s="301"/>
      <c r="BO177" s="302"/>
      <c r="BP177" s="301"/>
      <c r="BQ177" s="302"/>
      <c r="BR177" s="301"/>
      <c r="BS177" s="302"/>
      <c r="BT177" s="301"/>
      <c r="BU177" s="302"/>
      <c r="BV177" s="301"/>
      <c r="BW177" s="302"/>
      <c r="BX177" s="301"/>
      <c r="BY177" s="302"/>
      <c r="BZ177" s="306"/>
      <c r="CA177" s="304"/>
      <c r="CB177" s="294"/>
      <c r="CC177" s="295"/>
      <c r="CD177" s="296"/>
      <c r="CE177" s="284"/>
      <c r="CF177" s="298"/>
      <c r="CG177" s="307"/>
      <c r="CH177" s="308"/>
      <c r="CI177" s="309"/>
      <c r="CJ177" s="310"/>
      <c r="CK177" s="311"/>
      <c r="CL177" s="75"/>
      <c r="CN177" s="161"/>
      <c r="CO177" s="163"/>
      <c r="CP177" s="315"/>
      <c r="CQ177" s="316"/>
      <c r="CR177" s="317"/>
      <c r="CS177" s="316"/>
      <c r="CT177" s="317"/>
      <c r="CU177" s="316"/>
      <c r="CZ177" s="73">
        <v>4</v>
      </c>
      <c r="DA177" s="73">
        <v>4</v>
      </c>
      <c r="DB177" s="73">
        <v>20</v>
      </c>
      <c r="DC177" s="74">
        <f t="shared" si="563"/>
        <v>45767</v>
      </c>
      <c r="DD177" s="68" t="str">
        <f t="shared" si="603"/>
        <v>日</v>
      </c>
      <c r="DF177" s="156"/>
      <c r="DG177" s="156"/>
    </row>
    <row r="178" spans="1:111" ht="28.5" customHeight="1">
      <c r="A178" s="491">
        <f t="shared" si="572"/>
        <v>45768</v>
      </c>
      <c r="B178" s="524" t="str">
        <f t="shared" si="573"/>
        <v>月</v>
      </c>
      <c r="C178" s="493" t="s">
        <v>27</v>
      </c>
      <c r="D178" s="550">
        <v>15</v>
      </c>
      <c r="E178" s="501"/>
      <c r="F178" s="497"/>
      <c r="G178" s="527"/>
      <c r="H178" s="529"/>
      <c r="I178" s="527"/>
      <c r="J178" s="497"/>
      <c r="K178" s="527"/>
      <c r="L178" s="529"/>
      <c r="M178" s="569"/>
      <c r="N178" s="570">
        <v>15</v>
      </c>
      <c r="O178" s="501"/>
      <c r="P178" s="497">
        <v>15</v>
      </c>
      <c r="Q178" s="501"/>
      <c r="R178" s="557">
        <v>15</v>
      </c>
      <c r="S178" s="562"/>
      <c r="T178" s="497">
        <v>15</v>
      </c>
      <c r="U178" s="501"/>
      <c r="V178" s="497"/>
      <c r="W178" s="526"/>
      <c r="X178" s="499"/>
      <c r="Y178" s="511"/>
      <c r="Z178" s="506">
        <f t="shared" ref="Z178" ca="1" si="702">UDayCou(1,ROW())</f>
        <v>10</v>
      </c>
      <c r="AA178" s="507">
        <f t="shared" ref="AA178" ca="1" si="703">UNightCou(1,ROW())</f>
        <v>5</v>
      </c>
      <c r="AB178" s="508">
        <f t="shared" ref="AB178" ca="1" si="704">UNewCou(1,ROW())</f>
        <v>2</v>
      </c>
      <c r="AC178" s="559">
        <f t="shared" si="577"/>
        <v>45768</v>
      </c>
      <c r="AD178" s="560" t="str">
        <f t="shared" si="578"/>
        <v>月</v>
      </c>
      <c r="AE178" s="497"/>
      <c r="AF178" s="527"/>
      <c r="AG178" s="497"/>
      <c r="AH178" s="526"/>
      <c r="AI178" s="497"/>
      <c r="AJ178" s="527"/>
      <c r="AK178" s="497"/>
      <c r="AL178" s="571"/>
      <c r="AM178" s="497"/>
      <c r="AN178" s="571"/>
      <c r="AO178" s="529"/>
      <c r="AP178" s="527"/>
      <c r="AQ178" s="499"/>
      <c r="AR178" s="511"/>
      <c r="AS178" s="497"/>
      <c r="AT178" s="526"/>
      <c r="AU178" s="497"/>
      <c r="AV178" s="527"/>
      <c r="AW178" s="497"/>
      <c r="AX178" s="569"/>
      <c r="AY178" s="512"/>
      <c r="AZ178" s="513"/>
      <c r="BA178" s="506">
        <f ca="1">UDayCou(2,ROW())</f>
        <v>9</v>
      </c>
      <c r="BB178" s="507">
        <f ca="1">UNightCou(2,ROW())</f>
        <v>9</v>
      </c>
      <c r="BC178" s="508">
        <f ca="1">UNewCou(2,ROW())</f>
        <v>1</v>
      </c>
      <c r="BD178" s="491">
        <f t="shared" si="579"/>
        <v>45768</v>
      </c>
      <c r="BE178" s="531" t="str">
        <f t="shared" si="580"/>
        <v>月</v>
      </c>
      <c r="BF178" s="514"/>
      <c r="BG178" s="515"/>
      <c r="BH178" s="494"/>
      <c r="BI178" s="515"/>
      <c r="BJ178" s="494"/>
      <c r="BK178" s="515"/>
      <c r="BL178" s="494"/>
      <c r="BM178" s="515"/>
      <c r="BN178" s="494"/>
      <c r="BO178" s="515"/>
      <c r="BP178" s="494"/>
      <c r="BQ178" s="515"/>
      <c r="BR178" s="494"/>
      <c r="BS178" s="515"/>
      <c r="BT178" s="494"/>
      <c r="BU178" s="515"/>
      <c r="BV178" s="494"/>
      <c r="BW178" s="515"/>
      <c r="BX178" s="494"/>
      <c r="BY178" s="515"/>
      <c r="BZ178" s="530"/>
      <c r="CA178" s="505"/>
      <c r="CB178" s="506">
        <f ca="1">UDayCou(3,ROW())</f>
        <v>0</v>
      </c>
      <c r="CC178" s="507">
        <f ca="1">UNightCou(3,ROW())</f>
        <v>0</v>
      </c>
      <c r="CD178" s="508">
        <f ca="1">UNewCou(3,ROW())</f>
        <v>0</v>
      </c>
      <c r="CE178" s="491">
        <f t="shared" si="581"/>
        <v>45768</v>
      </c>
      <c r="CF178" s="531" t="str">
        <f t="shared" si="582"/>
        <v>月</v>
      </c>
      <c r="CG178" s="516">
        <f t="shared" ref="CG178" ca="1" si="705">Z178+BA178+CB178</f>
        <v>19</v>
      </c>
      <c r="CH178" s="517">
        <f t="shared" ref="CH178" ca="1" si="706">AA178+BB178+CC178</f>
        <v>14</v>
      </c>
      <c r="CI178" s="518">
        <f t="shared" ref="CI178" ca="1" si="707">AB178+BC178+CD178</f>
        <v>3</v>
      </c>
      <c r="CJ178" s="519">
        <f ca="1">COUNTIF(INDIRECT("D226:CA227"),"*●*")</f>
        <v>0</v>
      </c>
      <c r="CK178" s="520">
        <f ca="1">COUNTIF(INDIRECT("D226:CA227"),"*㋷*")</f>
        <v>0</v>
      </c>
      <c r="CL178" s="75"/>
      <c r="CN178" s="164">
        <f t="shared" si="586"/>
        <v>45768</v>
      </c>
      <c r="CO178" s="165" t="str">
        <f t="shared" si="587"/>
        <v>月</v>
      </c>
      <c r="CP178" s="521"/>
      <c r="CQ178" s="522"/>
      <c r="CR178" s="523"/>
      <c r="CS178" s="522"/>
      <c r="CT178" s="523"/>
      <c r="CU178" s="522"/>
      <c r="CZ178" s="73">
        <v>4</v>
      </c>
      <c r="DA178" s="73">
        <v>4</v>
      </c>
      <c r="DB178" s="73">
        <v>21</v>
      </c>
      <c r="DC178" s="74">
        <f t="shared" si="563"/>
        <v>45768</v>
      </c>
      <c r="DD178" s="68" t="str">
        <f t="shared" si="603"/>
        <v>月</v>
      </c>
      <c r="DF178" s="155">
        <f t="shared" ref="DF178" si="708">$DC178</f>
        <v>45768</v>
      </c>
      <c r="DG178" s="156" t="e">
        <f ca="1">IF($CH178&gt;=設定!$E$12,"✕",IF(SS予約表!$CG178&gt;=設定!$E$12,"△","○"))</f>
        <v>#NAME?</v>
      </c>
    </row>
    <row r="179" spans="1:111" ht="29.25" customHeight="1">
      <c r="A179" s="284"/>
      <c r="B179" s="285"/>
      <c r="C179" s="286" t="s">
        <v>28</v>
      </c>
      <c r="D179" s="299"/>
      <c r="E179" s="321"/>
      <c r="F179" s="320"/>
      <c r="G179" s="324"/>
      <c r="H179" s="360"/>
      <c r="I179" s="324"/>
      <c r="J179" s="320"/>
      <c r="K179" s="324"/>
      <c r="L179" s="360"/>
      <c r="M179" s="445"/>
      <c r="N179" s="449">
        <v>10</v>
      </c>
      <c r="O179" s="384" t="s">
        <v>98</v>
      </c>
      <c r="P179" s="476"/>
      <c r="Q179" s="321"/>
      <c r="R179" s="320"/>
      <c r="S179" s="321"/>
      <c r="T179" s="320"/>
      <c r="U179" s="321"/>
      <c r="V179" s="320"/>
      <c r="W179" s="321"/>
      <c r="X179" s="299"/>
      <c r="Y179" s="300"/>
      <c r="Z179" s="294"/>
      <c r="AA179" s="295"/>
      <c r="AB179" s="296"/>
      <c r="AC179" s="463"/>
      <c r="AD179" s="464"/>
      <c r="AE179" s="320"/>
      <c r="AF179" s="324"/>
      <c r="AG179" s="320">
        <v>10</v>
      </c>
      <c r="AH179" s="324" t="s">
        <v>171</v>
      </c>
      <c r="AI179" s="320"/>
      <c r="AJ179" s="324"/>
      <c r="AK179" s="320"/>
      <c r="AL179" s="470"/>
      <c r="AM179" s="320">
        <v>10</v>
      </c>
      <c r="AN179" s="324" t="s">
        <v>184</v>
      </c>
      <c r="AO179" s="360"/>
      <c r="AP179" s="324"/>
      <c r="AQ179" s="320">
        <v>10</v>
      </c>
      <c r="AR179" s="445" t="s">
        <v>229</v>
      </c>
      <c r="AS179" s="320">
        <v>10</v>
      </c>
      <c r="AT179" s="324" t="s">
        <v>173</v>
      </c>
      <c r="AU179" s="320"/>
      <c r="AV179" s="324"/>
      <c r="AW179" s="320"/>
      <c r="AX179" s="445"/>
      <c r="AY179" s="325"/>
      <c r="AZ179" s="326"/>
      <c r="BA179" s="294"/>
      <c r="BB179" s="295"/>
      <c r="BC179" s="296"/>
      <c r="BD179" s="284"/>
      <c r="BE179" s="298"/>
      <c r="BF179" s="305"/>
      <c r="BG179" s="302"/>
      <c r="BH179" s="301"/>
      <c r="BI179" s="302"/>
      <c r="BJ179" s="301"/>
      <c r="BK179" s="302"/>
      <c r="BL179" s="301"/>
      <c r="BM179" s="302"/>
      <c r="BN179" s="301"/>
      <c r="BO179" s="302"/>
      <c r="BP179" s="301"/>
      <c r="BQ179" s="302"/>
      <c r="BR179" s="301"/>
      <c r="BS179" s="302"/>
      <c r="BT179" s="301"/>
      <c r="BU179" s="302"/>
      <c r="BV179" s="301"/>
      <c r="BW179" s="302"/>
      <c r="BX179" s="301"/>
      <c r="BY179" s="302"/>
      <c r="BZ179" s="306"/>
      <c r="CA179" s="304"/>
      <c r="CB179" s="294"/>
      <c r="CC179" s="295"/>
      <c r="CD179" s="296"/>
      <c r="CE179" s="284"/>
      <c r="CF179" s="298"/>
      <c r="CG179" s="307"/>
      <c r="CH179" s="308"/>
      <c r="CI179" s="309"/>
      <c r="CJ179" s="310"/>
      <c r="CK179" s="311"/>
      <c r="CL179" s="75"/>
      <c r="CN179" s="161"/>
      <c r="CO179" s="163"/>
      <c r="CP179" s="315"/>
      <c r="CQ179" s="316"/>
      <c r="CR179" s="317"/>
      <c r="CS179" s="316"/>
      <c r="CT179" s="317"/>
      <c r="CU179" s="316"/>
      <c r="CZ179" s="73">
        <v>4</v>
      </c>
      <c r="DA179" s="73">
        <v>4</v>
      </c>
      <c r="DB179" s="73">
        <v>21</v>
      </c>
      <c r="DC179" s="74">
        <f t="shared" si="563"/>
        <v>45768</v>
      </c>
      <c r="DD179" s="68" t="str">
        <f t="shared" si="603"/>
        <v>月</v>
      </c>
      <c r="DF179" s="156"/>
      <c r="DG179" s="156"/>
    </row>
    <row r="180" spans="1:111" ht="28.5" customHeight="1">
      <c r="A180" s="327">
        <f t="shared" si="572"/>
        <v>45769</v>
      </c>
      <c r="B180" s="365" t="str">
        <f t="shared" si="573"/>
        <v>火</v>
      </c>
      <c r="C180" s="329" t="s">
        <v>27</v>
      </c>
      <c r="D180" s="335"/>
      <c r="E180" s="381"/>
      <c r="F180" s="333"/>
      <c r="G180" s="377"/>
      <c r="H180" s="368"/>
      <c r="I180" s="377"/>
      <c r="J180" s="333"/>
      <c r="K180" s="377"/>
      <c r="L180" s="368"/>
      <c r="M180" s="472"/>
      <c r="N180" s="447" t="s">
        <v>39</v>
      </c>
      <c r="O180" s="390"/>
      <c r="P180" s="473"/>
      <c r="Q180" s="381"/>
      <c r="R180" s="333"/>
      <c r="S180" s="381"/>
      <c r="T180" s="333"/>
      <c r="U180" s="381"/>
      <c r="V180" s="333"/>
      <c r="W180" s="381"/>
      <c r="X180" s="335"/>
      <c r="Y180" s="347"/>
      <c r="Z180" s="342">
        <f t="shared" ref="Z180" ca="1" si="709">UDayCou(1,ROW())</f>
        <v>5</v>
      </c>
      <c r="AA180" s="343">
        <f t="shared" ref="AA180" ca="1" si="710">UNightCou(1,ROW())</f>
        <v>5</v>
      </c>
      <c r="AB180" s="344">
        <f t="shared" ref="AB180" ca="1" si="711">UNewCou(1,ROW())</f>
        <v>2</v>
      </c>
      <c r="AC180" s="461">
        <f t="shared" si="577"/>
        <v>45769</v>
      </c>
      <c r="AD180" s="462" t="str">
        <f t="shared" si="578"/>
        <v>火</v>
      </c>
      <c r="AE180" s="333">
        <v>15</v>
      </c>
      <c r="AF180" s="337"/>
      <c r="AG180" s="333"/>
      <c r="AH180" s="377"/>
      <c r="AI180" s="333"/>
      <c r="AJ180" s="377"/>
      <c r="AK180" s="333"/>
      <c r="AL180" s="474"/>
      <c r="AM180" s="333"/>
      <c r="AN180" s="377"/>
      <c r="AO180" s="368"/>
      <c r="AP180" s="377"/>
      <c r="AQ180" s="333"/>
      <c r="AR180" s="472"/>
      <c r="AS180" s="333"/>
      <c r="AT180" s="377"/>
      <c r="AU180" s="333">
        <v>15</v>
      </c>
      <c r="AV180" s="337"/>
      <c r="AW180" s="333"/>
      <c r="AX180" s="472"/>
      <c r="AY180" s="348"/>
      <c r="AZ180" s="349"/>
      <c r="BA180" s="342">
        <f ca="1">UDayCou(2,ROW())</f>
        <v>9</v>
      </c>
      <c r="BB180" s="343">
        <f ca="1">UNightCou(2,ROW())</f>
        <v>7</v>
      </c>
      <c r="BC180" s="344">
        <f ca="1">UNewCou(2,ROW())</f>
        <v>1</v>
      </c>
      <c r="BD180" s="327">
        <f t="shared" si="579"/>
        <v>45769</v>
      </c>
      <c r="BE180" s="371" t="str">
        <f t="shared" si="580"/>
        <v>火</v>
      </c>
      <c r="BF180" s="350"/>
      <c r="BG180" s="351"/>
      <c r="BH180" s="330"/>
      <c r="BI180" s="351"/>
      <c r="BJ180" s="330"/>
      <c r="BK180" s="351"/>
      <c r="BL180" s="330"/>
      <c r="BM180" s="351"/>
      <c r="BN180" s="330"/>
      <c r="BO180" s="351"/>
      <c r="BP180" s="330"/>
      <c r="BQ180" s="351"/>
      <c r="BR180" s="330"/>
      <c r="BS180" s="351"/>
      <c r="BT180" s="330"/>
      <c r="BU180" s="351"/>
      <c r="BV180" s="330"/>
      <c r="BW180" s="351"/>
      <c r="BX180" s="330"/>
      <c r="BY180" s="351"/>
      <c r="BZ180" s="389"/>
      <c r="CA180" s="341"/>
      <c r="CB180" s="342">
        <f ca="1">UDayCou(3,ROW())</f>
        <v>0</v>
      </c>
      <c r="CC180" s="343">
        <f ca="1">UNightCou(3,ROW())</f>
        <v>0</v>
      </c>
      <c r="CD180" s="344">
        <f ca="1">UNewCou(3,ROW())</f>
        <v>0</v>
      </c>
      <c r="CE180" s="327">
        <f t="shared" si="581"/>
        <v>45769</v>
      </c>
      <c r="CF180" s="371" t="str">
        <f t="shared" si="582"/>
        <v>火</v>
      </c>
      <c r="CG180" s="352">
        <f t="shared" ref="CG180" ca="1" si="712">Z180+BA180+CB180</f>
        <v>14</v>
      </c>
      <c r="CH180" s="353">
        <f t="shared" ref="CH180" ca="1" si="713">AA180+BB180+CC180</f>
        <v>12</v>
      </c>
      <c r="CI180" s="354">
        <f t="shared" ref="CI180" ca="1" si="714">AB180+BC180+CD180</f>
        <v>3</v>
      </c>
      <c r="CJ180" s="355">
        <f ca="1">COUNTIF(INDIRECT("D228:CA229"),"*●*")</f>
        <v>0</v>
      </c>
      <c r="CK180" s="356">
        <f ca="1">COUNTIF(INDIRECT("D228:CA229"),"*㋷*")</f>
        <v>0</v>
      </c>
      <c r="CL180" s="75"/>
      <c r="CN180" s="160">
        <f t="shared" si="586"/>
        <v>45769</v>
      </c>
      <c r="CO180" s="162" t="str">
        <f t="shared" si="587"/>
        <v>火</v>
      </c>
      <c r="CP180" s="357"/>
      <c r="CQ180" s="358"/>
      <c r="CR180" s="359"/>
      <c r="CS180" s="358"/>
      <c r="CT180" s="359"/>
      <c r="CU180" s="358"/>
      <c r="CZ180" s="73">
        <v>4</v>
      </c>
      <c r="DA180" s="73">
        <v>4</v>
      </c>
      <c r="DB180" s="73">
        <v>22</v>
      </c>
      <c r="DC180" s="74">
        <f t="shared" si="563"/>
        <v>45769</v>
      </c>
      <c r="DD180" s="68" t="str">
        <f t="shared" si="603"/>
        <v>火</v>
      </c>
      <c r="DF180" s="155">
        <f t="shared" ref="DF180" si="715">$DC180</f>
        <v>45769</v>
      </c>
      <c r="DG180" s="156" t="e">
        <f ca="1">IF($CH180&gt;=設定!$E$12,"✕",IF(SS予約表!$CG180&gt;=設定!$E$12,"△","○"))</f>
        <v>#NAME?</v>
      </c>
    </row>
    <row r="181" spans="1:111" ht="29.25" customHeight="1">
      <c r="A181" s="284"/>
      <c r="B181" s="285"/>
      <c r="C181" s="286" t="s">
        <v>28</v>
      </c>
      <c r="D181" s="287"/>
      <c r="E181" s="321"/>
      <c r="F181" s="320"/>
      <c r="G181" s="384"/>
      <c r="H181" s="360"/>
      <c r="I181" s="324"/>
      <c r="J181" s="320"/>
      <c r="K181" s="324"/>
      <c r="L181" s="360"/>
      <c r="M181" s="445"/>
      <c r="N181" s="449" t="s">
        <v>39</v>
      </c>
      <c r="O181" s="384"/>
      <c r="P181" s="362"/>
      <c r="Q181" s="300"/>
      <c r="R181" s="320"/>
      <c r="S181" s="443"/>
      <c r="T181" s="299"/>
      <c r="U181" s="300"/>
      <c r="V181" s="320"/>
      <c r="W181" s="321"/>
      <c r="X181" s="299"/>
      <c r="Y181" s="300"/>
      <c r="Z181" s="294"/>
      <c r="AA181" s="295"/>
      <c r="AB181" s="296"/>
      <c r="AC181" s="463"/>
      <c r="AD181" s="464"/>
      <c r="AE181" s="320"/>
      <c r="AF181" s="321"/>
      <c r="AG181" s="320"/>
      <c r="AH181" s="324"/>
      <c r="AI181" s="320"/>
      <c r="AJ181" s="324"/>
      <c r="AK181" s="320"/>
      <c r="AL181" s="470"/>
      <c r="AM181" s="320"/>
      <c r="AN181" s="324"/>
      <c r="AO181" s="360"/>
      <c r="AP181" s="324"/>
      <c r="AQ181" s="320"/>
      <c r="AR181" s="445"/>
      <c r="AS181" s="320"/>
      <c r="AT181" s="324"/>
      <c r="AU181" s="476"/>
      <c r="AV181" s="321"/>
      <c r="AW181" s="320"/>
      <c r="AX181" s="445"/>
      <c r="AY181" s="325"/>
      <c r="AZ181" s="326"/>
      <c r="BA181" s="294"/>
      <c r="BB181" s="295"/>
      <c r="BC181" s="296"/>
      <c r="BD181" s="284"/>
      <c r="BE181" s="298"/>
      <c r="BF181" s="305"/>
      <c r="BG181" s="302"/>
      <c r="BH181" s="301"/>
      <c r="BI181" s="302"/>
      <c r="BJ181" s="301"/>
      <c r="BK181" s="302"/>
      <c r="BL181" s="301"/>
      <c r="BM181" s="302"/>
      <c r="BN181" s="301"/>
      <c r="BO181" s="302"/>
      <c r="BP181" s="301"/>
      <c r="BQ181" s="302"/>
      <c r="BR181" s="301"/>
      <c r="BS181" s="302"/>
      <c r="BT181" s="301"/>
      <c r="BU181" s="302"/>
      <c r="BV181" s="301"/>
      <c r="BW181" s="302"/>
      <c r="BX181" s="301"/>
      <c r="BY181" s="302"/>
      <c r="BZ181" s="306"/>
      <c r="CA181" s="304"/>
      <c r="CB181" s="294"/>
      <c r="CC181" s="295"/>
      <c r="CD181" s="296"/>
      <c r="CE181" s="284"/>
      <c r="CF181" s="298"/>
      <c r="CG181" s="307"/>
      <c r="CH181" s="308"/>
      <c r="CI181" s="309"/>
      <c r="CJ181" s="310"/>
      <c r="CK181" s="311"/>
      <c r="CL181" s="75"/>
      <c r="CN181" s="161"/>
      <c r="CO181" s="163"/>
      <c r="CP181" s="315"/>
      <c r="CQ181" s="316"/>
      <c r="CR181" s="317"/>
      <c r="CS181" s="316"/>
      <c r="CT181" s="317"/>
      <c r="CU181" s="316"/>
      <c r="CZ181" s="73">
        <v>4</v>
      </c>
      <c r="DA181" s="73">
        <v>4</v>
      </c>
      <c r="DB181" s="73">
        <v>22</v>
      </c>
      <c r="DC181" s="74">
        <f t="shared" si="563"/>
        <v>45769</v>
      </c>
      <c r="DD181" s="68" t="str">
        <f t="shared" si="603"/>
        <v>火</v>
      </c>
      <c r="DF181" s="156"/>
      <c r="DG181" s="156"/>
    </row>
    <row r="182" spans="1:111" ht="28.5" customHeight="1">
      <c r="A182" s="327">
        <f t="shared" si="572"/>
        <v>45770</v>
      </c>
      <c r="B182" s="365" t="str">
        <f t="shared" si="573"/>
        <v>水</v>
      </c>
      <c r="C182" s="329" t="s">
        <v>27</v>
      </c>
      <c r="D182" s="405"/>
      <c r="E182" s="381"/>
      <c r="F182" s="333"/>
      <c r="G182" s="377"/>
      <c r="H182" s="368"/>
      <c r="I182" s="390"/>
      <c r="J182" s="333"/>
      <c r="K182" s="377"/>
      <c r="L182" s="368"/>
      <c r="M182" s="472"/>
      <c r="N182" s="447" t="s">
        <v>39</v>
      </c>
      <c r="O182" s="390"/>
      <c r="P182" s="370"/>
      <c r="Q182" s="347"/>
      <c r="R182" s="333"/>
      <c r="S182" s="381"/>
      <c r="T182" s="335"/>
      <c r="U182" s="347"/>
      <c r="V182" s="333"/>
      <c r="W182" s="381"/>
      <c r="X182" s="335"/>
      <c r="Y182" s="347"/>
      <c r="Z182" s="342">
        <f t="shared" ref="Z182" ca="1" si="716">UDayCou(1,ROW())</f>
        <v>6</v>
      </c>
      <c r="AA182" s="343">
        <f t="shared" ref="AA182" ca="1" si="717">UNightCou(1,ROW())</f>
        <v>6</v>
      </c>
      <c r="AB182" s="344">
        <f t="shared" ref="AB182" ca="1" si="718">UNewCou(1,ROW())</f>
        <v>2</v>
      </c>
      <c r="AC182" s="461">
        <f t="shared" si="577"/>
        <v>45770</v>
      </c>
      <c r="AD182" s="462" t="str">
        <f t="shared" si="578"/>
        <v>水</v>
      </c>
      <c r="AE182" s="333"/>
      <c r="AF182" s="381"/>
      <c r="AG182" s="333"/>
      <c r="AH182" s="377"/>
      <c r="AI182" s="333">
        <v>15</v>
      </c>
      <c r="AJ182" s="337"/>
      <c r="AK182" s="333"/>
      <c r="AL182" s="474"/>
      <c r="AM182" s="333"/>
      <c r="AN182" s="377"/>
      <c r="AO182" s="368"/>
      <c r="AP182" s="377"/>
      <c r="AQ182" s="333"/>
      <c r="AR182" s="472"/>
      <c r="AS182" s="333"/>
      <c r="AT182" s="377"/>
      <c r="AU182" s="473"/>
      <c r="AV182" s="381"/>
      <c r="AW182" s="333"/>
      <c r="AX182" s="472"/>
      <c r="AY182" s="348"/>
      <c r="AZ182" s="349"/>
      <c r="BA182" s="342">
        <f ca="1">UDayCou(2,ROW())</f>
        <v>7</v>
      </c>
      <c r="BB182" s="343">
        <f ca="1">UNightCou(2,ROW())</f>
        <v>6</v>
      </c>
      <c r="BC182" s="344">
        <f ca="1">UNewCou(2,ROW())</f>
        <v>1</v>
      </c>
      <c r="BD182" s="327">
        <f t="shared" si="579"/>
        <v>45770</v>
      </c>
      <c r="BE182" s="371" t="str">
        <f t="shared" si="580"/>
        <v>水</v>
      </c>
      <c r="BF182" s="350"/>
      <c r="BG182" s="351"/>
      <c r="BH182" s="330"/>
      <c r="BI182" s="351"/>
      <c r="BJ182" s="330"/>
      <c r="BK182" s="351"/>
      <c r="BL182" s="330"/>
      <c r="BM182" s="351"/>
      <c r="BN182" s="330"/>
      <c r="BO182" s="351"/>
      <c r="BP182" s="330"/>
      <c r="BQ182" s="351"/>
      <c r="BR182" s="330"/>
      <c r="BS182" s="351"/>
      <c r="BT182" s="330"/>
      <c r="BU182" s="351"/>
      <c r="BV182" s="330"/>
      <c r="BW182" s="351"/>
      <c r="BX182" s="330"/>
      <c r="BY182" s="351"/>
      <c r="BZ182" s="389"/>
      <c r="CA182" s="341"/>
      <c r="CB182" s="342">
        <f ca="1">UDayCou(3,ROW())</f>
        <v>0</v>
      </c>
      <c r="CC182" s="343">
        <f ca="1">UNightCou(3,ROW())</f>
        <v>0</v>
      </c>
      <c r="CD182" s="344">
        <f ca="1">UNewCou(3,ROW())</f>
        <v>0</v>
      </c>
      <c r="CE182" s="327">
        <f t="shared" si="581"/>
        <v>45770</v>
      </c>
      <c r="CF182" s="371" t="str">
        <f t="shared" si="582"/>
        <v>水</v>
      </c>
      <c r="CG182" s="352">
        <f t="shared" ref="CG182" ca="1" si="719">Z182+BA182+CB182</f>
        <v>13</v>
      </c>
      <c r="CH182" s="353">
        <f t="shared" ref="CH182" ca="1" si="720">AA182+BB182+CC182</f>
        <v>12</v>
      </c>
      <c r="CI182" s="354">
        <f t="shared" ref="CI182" ca="1" si="721">AB182+BC182+CD182</f>
        <v>3</v>
      </c>
      <c r="CJ182" s="355">
        <f ca="1">COUNTIF(INDIRECT("D230:CA231"),"*●*")</f>
        <v>0</v>
      </c>
      <c r="CK182" s="356">
        <f ca="1">COUNTIF(INDIRECT("D230:CA231"),"*㋷*")</f>
        <v>0</v>
      </c>
      <c r="CL182" s="75"/>
      <c r="CN182" s="160">
        <f t="shared" si="586"/>
        <v>45770</v>
      </c>
      <c r="CO182" s="162" t="str">
        <f t="shared" si="587"/>
        <v>水</v>
      </c>
      <c r="CP182" s="357"/>
      <c r="CQ182" s="358"/>
      <c r="CR182" s="359"/>
      <c r="CS182" s="358"/>
      <c r="CT182" s="359"/>
      <c r="CU182" s="358"/>
      <c r="CZ182" s="73">
        <v>4</v>
      </c>
      <c r="DA182" s="73">
        <v>4</v>
      </c>
      <c r="DB182" s="73">
        <v>23</v>
      </c>
      <c r="DC182" s="74">
        <f t="shared" si="563"/>
        <v>45770</v>
      </c>
      <c r="DD182" s="68" t="str">
        <f t="shared" si="603"/>
        <v>水</v>
      </c>
      <c r="DF182" s="155">
        <f t="shared" ref="DF182" si="722">$DC182</f>
        <v>45770</v>
      </c>
      <c r="DG182" s="156" t="e">
        <f ca="1">IF($CH182&gt;=設定!$E$12,"✕",IF(SS予約表!$CG182&gt;=設定!$E$12,"△","○"))</f>
        <v>#NAME?</v>
      </c>
    </row>
    <row r="183" spans="1:111" ht="29.25" customHeight="1">
      <c r="A183" s="284"/>
      <c r="B183" s="285"/>
      <c r="C183" s="286" t="s">
        <v>28</v>
      </c>
      <c r="D183" s="320">
        <v>10</v>
      </c>
      <c r="E183" s="324" t="s">
        <v>50</v>
      </c>
      <c r="F183" s="320"/>
      <c r="G183" s="324"/>
      <c r="H183" s="360"/>
      <c r="I183" s="324"/>
      <c r="J183" s="320"/>
      <c r="K183" s="324"/>
      <c r="L183" s="360"/>
      <c r="M183" s="445"/>
      <c r="N183" s="449" t="s">
        <v>39</v>
      </c>
      <c r="O183" s="384"/>
      <c r="P183" s="362"/>
      <c r="Q183" s="300"/>
      <c r="R183" s="320"/>
      <c r="S183" s="321"/>
      <c r="T183" s="299"/>
      <c r="U183" s="300"/>
      <c r="V183" s="320"/>
      <c r="W183" s="321"/>
      <c r="X183" s="299"/>
      <c r="Y183" s="300"/>
      <c r="Z183" s="294"/>
      <c r="AA183" s="295"/>
      <c r="AB183" s="296"/>
      <c r="AC183" s="463"/>
      <c r="AD183" s="464"/>
      <c r="AE183" s="320"/>
      <c r="AF183" s="321"/>
      <c r="AG183" s="320"/>
      <c r="AH183" s="324"/>
      <c r="AI183" s="320"/>
      <c r="AJ183" s="321"/>
      <c r="AK183" s="320"/>
      <c r="AL183" s="470"/>
      <c r="AM183" s="320"/>
      <c r="AN183" s="324"/>
      <c r="AO183" s="360"/>
      <c r="AP183" s="324"/>
      <c r="AQ183" s="320"/>
      <c r="AR183" s="445"/>
      <c r="AS183" s="320"/>
      <c r="AT183" s="324"/>
      <c r="AU183" s="476"/>
      <c r="AV183" s="321"/>
      <c r="AW183" s="320"/>
      <c r="AX183" s="445"/>
      <c r="AY183" s="325"/>
      <c r="AZ183" s="326"/>
      <c r="BA183" s="294"/>
      <c r="BB183" s="295"/>
      <c r="BC183" s="296"/>
      <c r="BD183" s="284"/>
      <c r="BE183" s="298"/>
      <c r="BF183" s="305"/>
      <c r="BG183" s="302"/>
      <c r="BH183" s="301"/>
      <c r="BI183" s="302"/>
      <c r="BJ183" s="301"/>
      <c r="BK183" s="302"/>
      <c r="BL183" s="301"/>
      <c r="BM183" s="302"/>
      <c r="BN183" s="301"/>
      <c r="BO183" s="302"/>
      <c r="BP183" s="301"/>
      <c r="BQ183" s="302"/>
      <c r="BR183" s="301"/>
      <c r="BS183" s="302"/>
      <c r="BT183" s="301"/>
      <c r="BU183" s="302"/>
      <c r="BV183" s="301"/>
      <c r="BW183" s="302"/>
      <c r="BX183" s="301"/>
      <c r="BY183" s="302"/>
      <c r="BZ183" s="306"/>
      <c r="CA183" s="304"/>
      <c r="CB183" s="294"/>
      <c r="CC183" s="295"/>
      <c r="CD183" s="296"/>
      <c r="CE183" s="284"/>
      <c r="CF183" s="298"/>
      <c r="CG183" s="307"/>
      <c r="CH183" s="308"/>
      <c r="CI183" s="309"/>
      <c r="CJ183" s="310"/>
      <c r="CK183" s="311"/>
      <c r="CL183" s="75"/>
      <c r="CN183" s="161"/>
      <c r="CO183" s="163"/>
      <c r="CP183" s="315"/>
      <c r="CQ183" s="316"/>
      <c r="CR183" s="317"/>
      <c r="CS183" s="316"/>
      <c r="CT183" s="317"/>
      <c r="CU183" s="316"/>
      <c r="CZ183" s="73">
        <v>4</v>
      </c>
      <c r="DA183" s="73">
        <v>4</v>
      </c>
      <c r="DB183" s="73">
        <v>23</v>
      </c>
      <c r="DC183" s="74">
        <f t="shared" si="563"/>
        <v>45770</v>
      </c>
      <c r="DD183" s="68" t="str">
        <f t="shared" si="603"/>
        <v>水</v>
      </c>
      <c r="DF183" s="156"/>
      <c r="DG183" s="156"/>
    </row>
    <row r="184" spans="1:111" ht="28.5" customHeight="1">
      <c r="A184" s="327">
        <f t="shared" si="572"/>
        <v>45771</v>
      </c>
      <c r="B184" s="365" t="str">
        <f t="shared" si="573"/>
        <v>木</v>
      </c>
      <c r="C184" s="329" t="s">
        <v>27</v>
      </c>
      <c r="D184" s="333"/>
      <c r="E184" s="377"/>
      <c r="F184" s="333"/>
      <c r="G184" s="377"/>
      <c r="H184" s="368"/>
      <c r="I184" s="377"/>
      <c r="J184" s="333">
        <v>15</v>
      </c>
      <c r="K184" s="337"/>
      <c r="L184" s="368"/>
      <c r="M184" s="472"/>
      <c r="N184" s="447" t="s">
        <v>39</v>
      </c>
      <c r="O184" s="390"/>
      <c r="P184" s="370"/>
      <c r="Q184" s="347"/>
      <c r="R184" s="333"/>
      <c r="S184" s="381"/>
      <c r="T184" s="335"/>
      <c r="U184" s="347"/>
      <c r="V184" s="333"/>
      <c r="W184" s="381"/>
      <c r="X184" s="335"/>
      <c r="Y184" s="347"/>
      <c r="Z184" s="342">
        <f t="shared" ref="Z184" ca="1" si="723">UDayCou(1,ROW())</f>
        <v>6</v>
      </c>
      <c r="AA184" s="343">
        <f t="shared" ref="AA184" ca="1" si="724">UNightCou(1,ROW())</f>
        <v>5</v>
      </c>
      <c r="AB184" s="344">
        <f t="shared" ref="AB184" ca="1" si="725">UNewCou(1,ROW())</f>
        <v>2</v>
      </c>
      <c r="AC184" s="461">
        <f t="shared" si="577"/>
        <v>45771</v>
      </c>
      <c r="AD184" s="462" t="str">
        <f t="shared" si="578"/>
        <v>木</v>
      </c>
      <c r="AE184" s="333"/>
      <c r="AF184" s="381"/>
      <c r="AG184" s="333"/>
      <c r="AH184" s="377"/>
      <c r="AI184" s="333"/>
      <c r="AJ184" s="381"/>
      <c r="AK184" s="333"/>
      <c r="AL184" s="474"/>
      <c r="AM184" s="333"/>
      <c r="AN184" s="377"/>
      <c r="AO184" s="368"/>
      <c r="AP184" s="377"/>
      <c r="AQ184" s="333"/>
      <c r="AR184" s="472"/>
      <c r="AS184" s="333">
        <v>15</v>
      </c>
      <c r="AT184" s="337"/>
      <c r="AU184" s="473"/>
      <c r="AV184" s="381"/>
      <c r="AW184" s="333"/>
      <c r="AX184" s="472"/>
      <c r="AY184" s="348"/>
      <c r="AZ184" s="349"/>
      <c r="BA184" s="342">
        <f ca="1">UDayCou(2,ROW())</f>
        <v>8</v>
      </c>
      <c r="BB184" s="343">
        <f ca="1">UNightCou(2,ROW())</f>
        <v>7</v>
      </c>
      <c r="BC184" s="344">
        <f ca="1">UNewCou(2,ROW())</f>
        <v>2</v>
      </c>
      <c r="BD184" s="327">
        <f t="shared" si="579"/>
        <v>45771</v>
      </c>
      <c r="BE184" s="371" t="str">
        <f t="shared" si="580"/>
        <v>木</v>
      </c>
      <c r="BF184" s="350"/>
      <c r="BG184" s="351"/>
      <c r="BH184" s="330"/>
      <c r="BI184" s="351"/>
      <c r="BJ184" s="330"/>
      <c r="BK184" s="351"/>
      <c r="BL184" s="330"/>
      <c r="BM184" s="351"/>
      <c r="BN184" s="330"/>
      <c r="BO184" s="351"/>
      <c r="BP184" s="330"/>
      <c r="BQ184" s="351"/>
      <c r="BR184" s="330"/>
      <c r="BS184" s="351"/>
      <c r="BT184" s="330"/>
      <c r="BU184" s="351"/>
      <c r="BV184" s="330"/>
      <c r="BW184" s="351"/>
      <c r="BX184" s="330"/>
      <c r="BY184" s="351"/>
      <c r="BZ184" s="389"/>
      <c r="CA184" s="341"/>
      <c r="CB184" s="342">
        <f ca="1">UDayCou(3,ROW())</f>
        <v>0</v>
      </c>
      <c r="CC184" s="343">
        <f ca="1">UNightCou(3,ROW())</f>
        <v>0</v>
      </c>
      <c r="CD184" s="344">
        <f ca="1">UNewCou(3,ROW())</f>
        <v>0</v>
      </c>
      <c r="CE184" s="327">
        <f t="shared" si="581"/>
        <v>45771</v>
      </c>
      <c r="CF184" s="371" t="str">
        <f t="shared" si="582"/>
        <v>木</v>
      </c>
      <c r="CG184" s="352">
        <f t="shared" ref="CG184" ca="1" si="726">Z184+BA184+CB184</f>
        <v>14</v>
      </c>
      <c r="CH184" s="353">
        <f t="shared" ref="CH184" ca="1" si="727">AA184+BB184+CC184</f>
        <v>12</v>
      </c>
      <c r="CI184" s="354">
        <f t="shared" ref="CI184" ca="1" si="728">AB184+BC184+CD184</f>
        <v>4</v>
      </c>
      <c r="CJ184" s="355">
        <f ca="1">COUNTIF(INDIRECT("D232:CA233"),"*●*")</f>
        <v>0</v>
      </c>
      <c r="CK184" s="356">
        <f ca="1">COUNTIF(INDIRECT("D232:CA233"),"*㋷*")</f>
        <v>0</v>
      </c>
      <c r="CL184" s="75"/>
      <c r="CN184" s="160">
        <f t="shared" si="586"/>
        <v>45771</v>
      </c>
      <c r="CO184" s="162" t="str">
        <f t="shared" si="587"/>
        <v>木</v>
      </c>
      <c r="CP184" s="357"/>
      <c r="CQ184" s="358"/>
      <c r="CR184" s="359"/>
      <c r="CS184" s="358"/>
      <c r="CT184" s="359"/>
      <c r="CU184" s="358"/>
      <c r="CZ184" s="73">
        <v>4</v>
      </c>
      <c r="DA184" s="73">
        <v>4</v>
      </c>
      <c r="DB184" s="73">
        <v>24</v>
      </c>
      <c r="DC184" s="74">
        <f t="shared" si="563"/>
        <v>45771</v>
      </c>
      <c r="DD184" s="68" t="str">
        <f t="shared" si="603"/>
        <v>木</v>
      </c>
      <c r="DF184" s="155">
        <f t="shared" ref="DF184" si="729">$DC184</f>
        <v>45771</v>
      </c>
      <c r="DG184" s="156" t="e">
        <f ca="1">IF($CH184&gt;=設定!$E$12,"✕",IF(SS予約表!$CG184&gt;=設定!$E$12,"△","○"))</f>
        <v>#NAME?</v>
      </c>
    </row>
    <row r="185" spans="1:111" ht="29.25" customHeight="1">
      <c r="A185" s="284"/>
      <c r="B185" s="285"/>
      <c r="C185" s="286" t="s">
        <v>28</v>
      </c>
      <c r="D185" s="320"/>
      <c r="E185" s="324"/>
      <c r="F185" s="320"/>
      <c r="G185" s="324"/>
      <c r="H185" s="360"/>
      <c r="I185" s="324"/>
      <c r="J185" s="320"/>
      <c r="K185" s="321"/>
      <c r="L185" s="360"/>
      <c r="M185" s="445"/>
      <c r="N185" s="449" t="s">
        <v>39</v>
      </c>
      <c r="O185" s="384"/>
      <c r="P185" s="362"/>
      <c r="Q185" s="300"/>
      <c r="R185" s="320"/>
      <c r="S185" s="321"/>
      <c r="T185" s="299"/>
      <c r="U185" s="300"/>
      <c r="V185" s="320"/>
      <c r="W185" s="321"/>
      <c r="X185" s="299"/>
      <c r="Y185" s="300"/>
      <c r="Z185" s="294"/>
      <c r="AA185" s="295"/>
      <c r="AB185" s="296"/>
      <c r="AC185" s="463"/>
      <c r="AD185" s="464"/>
      <c r="AE185" s="320">
        <v>10</v>
      </c>
      <c r="AF185" s="324" t="s">
        <v>224</v>
      </c>
      <c r="AG185" s="320"/>
      <c r="AH185" s="324"/>
      <c r="AI185" s="360">
        <v>10</v>
      </c>
      <c r="AJ185" s="324" t="s">
        <v>230</v>
      </c>
      <c r="AK185" s="320"/>
      <c r="AL185" s="470"/>
      <c r="AM185" s="320"/>
      <c r="AN185" s="324"/>
      <c r="AO185" s="360"/>
      <c r="AP185" s="324"/>
      <c r="AQ185" s="320"/>
      <c r="AR185" s="445"/>
      <c r="AS185" s="320"/>
      <c r="AT185" s="321"/>
      <c r="AU185" s="320"/>
      <c r="AV185" s="321"/>
      <c r="AW185" s="320"/>
      <c r="AX185" s="445"/>
      <c r="AY185" s="325"/>
      <c r="AZ185" s="326"/>
      <c r="BA185" s="294"/>
      <c r="BB185" s="295"/>
      <c r="BC185" s="296"/>
      <c r="BD185" s="284"/>
      <c r="BE185" s="298"/>
      <c r="BF185" s="305"/>
      <c r="BG185" s="302"/>
      <c r="BH185" s="301"/>
      <c r="BI185" s="302"/>
      <c r="BJ185" s="301"/>
      <c r="BK185" s="302"/>
      <c r="BL185" s="301"/>
      <c r="BM185" s="302"/>
      <c r="BN185" s="301"/>
      <c r="BO185" s="302"/>
      <c r="BP185" s="301"/>
      <c r="BQ185" s="302"/>
      <c r="BR185" s="301"/>
      <c r="BS185" s="302"/>
      <c r="BT185" s="301"/>
      <c r="BU185" s="302"/>
      <c r="BV185" s="301"/>
      <c r="BW185" s="302"/>
      <c r="BX185" s="301"/>
      <c r="BY185" s="302"/>
      <c r="BZ185" s="306"/>
      <c r="CA185" s="304"/>
      <c r="CB185" s="294"/>
      <c r="CC185" s="295"/>
      <c r="CD185" s="296"/>
      <c r="CE185" s="284"/>
      <c r="CF185" s="298"/>
      <c r="CG185" s="307"/>
      <c r="CH185" s="308"/>
      <c r="CI185" s="309"/>
      <c r="CJ185" s="310"/>
      <c r="CK185" s="311"/>
      <c r="CL185" s="75"/>
      <c r="CN185" s="161"/>
      <c r="CO185" s="163"/>
      <c r="CP185" s="315"/>
      <c r="CQ185" s="316"/>
      <c r="CR185" s="317"/>
      <c r="CS185" s="316"/>
      <c r="CT185" s="317"/>
      <c r="CU185" s="316"/>
      <c r="CZ185" s="73">
        <v>4</v>
      </c>
      <c r="DA185" s="73">
        <v>4</v>
      </c>
      <c r="DB185" s="73">
        <v>24</v>
      </c>
      <c r="DC185" s="74">
        <f t="shared" si="563"/>
        <v>45771</v>
      </c>
      <c r="DD185" s="68" t="str">
        <f t="shared" si="603"/>
        <v>木</v>
      </c>
      <c r="DF185" s="156"/>
      <c r="DG185" s="156"/>
    </row>
    <row r="186" spans="1:111" ht="28.5" customHeight="1">
      <c r="A186" s="327">
        <f t="shared" si="572"/>
        <v>45772</v>
      </c>
      <c r="B186" s="365" t="str">
        <f t="shared" si="573"/>
        <v>金</v>
      </c>
      <c r="C186" s="329" t="s">
        <v>27</v>
      </c>
      <c r="D186" s="333">
        <v>15</v>
      </c>
      <c r="E186" s="337"/>
      <c r="F186" s="333">
        <v>15</v>
      </c>
      <c r="G186" s="337"/>
      <c r="H186" s="368"/>
      <c r="I186" s="377"/>
      <c r="J186" s="333"/>
      <c r="K186" s="381"/>
      <c r="L186" s="368"/>
      <c r="M186" s="472"/>
      <c r="N186" s="447">
        <v>15</v>
      </c>
      <c r="O186" s="448"/>
      <c r="P186" s="370"/>
      <c r="Q186" s="347"/>
      <c r="R186" s="333"/>
      <c r="S186" s="381"/>
      <c r="T186" s="335"/>
      <c r="U186" s="347"/>
      <c r="V186" s="333"/>
      <c r="W186" s="381"/>
      <c r="X186" s="335"/>
      <c r="Y186" s="347"/>
      <c r="Z186" s="342">
        <f t="shared" ref="Z186" ca="1" si="730">UDayCou(1,ROW())</f>
        <v>9</v>
      </c>
      <c r="AA186" s="343">
        <f t="shared" ref="AA186" ca="1" si="731">UNightCou(1,ROW())</f>
        <v>6</v>
      </c>
      <c r="AB186" s="344">
        <f t="shared" ref="AB186" ca="1" si="732">UNewCou(1,ROW())</f>
        <v>2</v>
      </c>
      <c r="AC186" s="461">
        <f t="shared" si="577"/>
        <v>45772</v>
      </c>
      <c r="AD186" s="462" t="str">
        <f t="shared" si="578"/>
        <v>金</v>
      </c>
      <c r="AE186" s="333"/>
      <c r="AF186" s="377"/>
      <c r="AG186" s="333"/>
      <c r="AH186" s="377"/>
      <c r="AI186" s="368"/>
      <c r="AJ186" s="377"/>
      <c r="AK186" s="333"/>
      <c r="AL186" s="474"/>
      <c r="AM186" s="333">
        <v>15</v>
      </c>
      <c r="AN186" s="337"/>
      <c r="AO186" s="368"/>
      <c r="AP186" s="377"/>
      <c r="AQ186" s="333"/>
      <c r="AR186" s="472"/>
      <c r="AS186" s="333"/>
      <c r="AT186" s="381"/>
      <c r="AU186" s="333"/>
      <c r="AV186" s="381"/>
      <c r="AW186" s="333"/>
      <c r="AX186" s="472"/>
      <c r="AY186" s="348"/>
      <c r="AZ186" s="349"/>
      <c r="BA186" s="342">
        <f ca="1">UDayCou(2,ROW())</f>
        <v>8</v>
      </c>
      <c r="BB186" s="343">
        <f ca="1">UNightCou(2,ROW())</f>
        <v>7</v>
      </c>
      <c r="BC186" s="344">
        <f ca="1">UNewCou(2,ROW())</f>
        <v>2</v>
      </c>
      <c r="BD186" s="327">
        <f t="shared" si="579"/>
        <v>45772</v>
      </c>
      <c r="BE186" s="371" t="str">
        <f t="shared" si="580"/>
        <v>金</v>
      </c>
      <c r="BF186" s="350"/>
      <c r="BG186" s="351"/>
      <c r="BH186" s="330"/>
      <c r="BI186" s="351"/>
      <c r="BJ186" s="330"/>
      <c r="BK186" s="351"/>
      <c r="BL186" s="330"/>
      <c r="BM186" s="351"/>
      <c r="BN186" s="330"/>
      <c r="BO186" s="351"/>
      <c r="BP186" s="330"/>
      <c r="BQ186" s="351"/>
      <c r="BR186" s="330"/>
      <c r="BS186" s="351"/>
      <c r="BT186" s="330"/>
      <c r="BU186" s="351"/>
      <c r="BV186" s="330"/>
      <c r="BW186" s="351"/>
      <c r="BX186" s="330"/>
      <c r="BY186" s="351"/>
      <c r="BZ186" s="389"/>
      <c r="CA186" s="341"/>
      <c r="CB186" s="342">
        <f ca="1">UDayCou(3,ROW())</f>
        <v>0</v>
      </c>
      <c r="CC186" s="343">
        <f ca="1">UNightCou(3,ROW())</f>
        <v>0</v>
      </c>
      <c r="CD186" s="344">
        <f ca="1">UNewCou(3,ROW())</f>
        <v>0</v>
      </c>
      <c r="CE186" s="327">
        <f t="shared" si="581"/>
        <v>45772</v>
      </c>
      <c r="CF186" s="371" t="str">
        <f t="shared" si="582"/>
        <v>金</v>
      </c>
      <c r="CG186" s="352">
        <f t="shared" ref="CG186" ca="1" si="733">Z186+BA186+CB186</f>
        <v>17</v>
      </c>
      <c r="CH186" s="353">
        <f t="shared" ref="CH186" ca="1" si="734">AA186+BB186+CC186</f>
        <v>13</v>
      </c>
      <c r="CI186" s="354">
        <f t="shared" ref="CI186" ca="1" si="735">AB186+BC186+CD186</f>
        <v>4</v>
      </c>
      <c r="CJ186" s="355">
        <f ca="1">COUNTIF(INDIRECT("D234:CA235"),"*●*")</f>
        <v>0</v>
      </c>
      <c r="CK186" s="356">
        <f ca="1">COUNTIF(INDIRECT("D234:CA235"),"*㋷*")</f>
        <v>0</v>
      </c>
      <c r="CL186" s="75"/>
      <c r="CN186" s="160">
        <f t="shared" si="586"/>
        <v>45772</v>
      </c>
      <c r="CO186" s="162" t="str">
        <f t="shared" si="587"/>
        <v>金</v>
      </c>
      <c r="CP186" s="357"/>
      <c r="CQ186" s="358"/>
      <c r="CR186" s="359"/>
      <c r="CS186" s="358"/>
      <c r="CT186" s="359"/>
      <c r="CU186" s="358"/>
      <c r="CZ186" s="73">
        <v>4</v>
      </c>
      <c r="DA186" s="73">
        <v>4</v>
      </c>
      <c r="DB186" s="73">
        <v>25</v>
      </c>
      <c r="DC186" s="74">
        <f t="shared" si="563"/>
        <v>45772</v>
      </c>
      <c r="DD186" s="68" t="str">
        <f t="shared" si="603"/>
        <v>金</v>
      </c>
      <c r="DF186" s="155">
        <f t="shared" ref="DF186" si="736">$DC186</f>
        <v>45772</v>
      </c>
      <c r="DG186" s="156" t="e">
        <f ca="1">IF($CH186&gt;=設定!$E$12,"✕",IF(SS予約表!$CG186&gt;=設定!$E$12,"△","○"))</f>
        <v>#NAME?</v>
      </c>
    </row>
    <row r="187" spans="1:111" ht="29.25" customHeight="1" thickBot="1">
      <c r="A187" s="284"/>
      <c r="B187" s="285"/>
      <c r="C187" s="286" t="s">
        <v>28</v>
      </c>
      <c r="D187" s="362"/>
      <c r="E187" s="321"/>
      <c r="F187" s="320">
        <v>10</v>
      </c>
      <c r="G187" s="324" t="s">
        <v>111</v>
      </c>
      <c r="H187" s="360"/>
      <c r="I187" s="324"/>
      <c r="J187" s="320"/>
      <c r="K187" s="321"/>
      <c r="L187" s="360"/>
      <c r="M187" s="445"/>
      <c r="N187" s="320"/>
      <c r="O187" s="321"/>
      <c r="P187" s="476">
        <v>10</v>
      </c>
      <c r="Q187" s="324" t="s">
        <v>110</v>
      </c>
      <c r="R187" s="320"/>
      <c r="S187" s="321"/>
      <c r="T187" s="320">
        <v>10</v>
      </c>
      <c r="U187" s="324" t="s">
        <v>231</v>
      </c>
      <c r="V187" s="320">
        <v>10</v>
      </c>
      <c r="W187" s="324" t="s">
        <v>110</v>
      </c>
      <c r="X187" s="299"/>
      <c r="Y187" s="300"/>
      <c r="Z187" s="294"/>
      <c r="AA187" s="295"/>
      <c r="AB187" s="296"/>
      <c r="AC187" s="463"/>
      <c r="AD187" s="464"/>
      <c r="AE187" s="320"/>
      <c r="AF187" s="324"/>
      <c r="AG187" s="320"/>
      <c r="AH187" s="324"/>
      <c r="AI187" s="360"/>
      <c r="AJ187" s="324"/>
      <c r="AK187" s="320"/>
      <c r="AL187" s="470"/>
      <c r="AM187" s="320"/>
      <c r="AN187" s="470"/>
      <c r="AO187" s="360"/>
      <c r="AP187" s="324"/>
      <c r="AQ187" s="320"/>
      <c r="AR187" s="445"/>
      <c r="AS187" s="320"/>
      <c r="AT187" s="321"/>
      <c r="AU187" s="320">
        <v>10</v>
      </c>
      <c r="AV187" s="324" t="s">
        <v>178</v>
      </c>
      <c r="AW187" s="320"/>
      <c r="AX187" s="445"/>
      <c r="AY187" s="325"/>
      <c r="AZ187" s="326"/>
      <c r="BA187" s="294"/>
      <c r="BB187" s="295"/>
      <c r="BC187" s="296"/>
      <c r="BD187" s="284"/>
      <c r="BE187" s="298"/>
      <c r="BF187" s="305"/>
      <c r="BG187" s="302"/>
      <c r="BH187" s="301"/>
      <c r="BI187" s="302"/>
      <c r="BJ187" s="301"/>
      <c r="BK187" s="302"/>
      <c r="BL187" s="301"/>
      <c r="BM187" s="302"/>
      <c r="BN187" s="301"/>
      <c r="BO187" s="302"/>
      <c r="BP187" s="301"/>
      <c r="BQ187" s="302"/>
      <c r="BR187" s="301"/>
      <c r="BS187" s="302"/>
      <c r="BT187" s="301"/>
      <c r="BU187" s="302"/>
      <c r="BV187" s="301"/>
      <c r="BW187" s="302"/>
      <c r="BX187" s="301"/>
      <c r="BY187" s="302"/>
      <c r="BZ187" s="306"/>
      <c r="CA187" s="304"/>
      <c r="CB187" s="294"/>
      <c r="CC187" s="295"/>
      <c r="CD187" s="296"/>
      <c r="CE187" s="284"/>
      <c r="CF187" s="298"/>
      <c r="CG187" s="307"/>
      <c r="CH187" s="308"/>
      <c r="CI187" s="309"/>
      <c r="CJ187" s="310"/>
      <c r="CK187" s="311"/>
      <c r="CL187" s="79"/>
      <c r="CM187" s="80"/>
      <c r="CN187" s="161"/>
      <c r="CO187" s="163"/>
      <c r="CP187" s="320">
        <v>10</v>
      </c>
      <c r="CQ187" s="324" t="s">
        <v>215</v>
      </c>
      <c r="CR187" s="317"/>
      <c r="CS187" s="316"/>
      <c r="CT187" s="317"/>
      <c r="CU187" s="316"/>
      <c r="CZ187" s="73">
        <v>4</v>
      </c>
      <c r="DA187" s="73">
        <v>4</v>
      </c>
      <c r="DB187" s="73">
        <v>25</v>
      </c>
      <c r="DC187" s="74">
        <f t="shared" si="563"/>
        <v>45772</v>
      </c>
      <c r="DD187" s="68" t="str">
        <f t="shared" si="603"/>
        <v>金</v>
      </c>
      <c r="DF187" s="156"/>
      <c r="DG187" s="156"/>
    </row>
    <row r="188" spans="1:111" ht="28.5" customHeight="1">
      <c r="A188" s="491">
        <f t="shared" si="572"/>
        <v>45773</v>
      </c>
      <c r="B188" s="534" t="str">
        <f t="shared" si="573"/>
        <v>土</v>
      </c>
      <c r="C188" s="493" t="s">
        <v>27</v>
      </c>
      <c r="D188" s="556"/>
      <c r="E188" s="526"/>
      <c r="F188" s="497"/>
      <c r="G188" s="527"/>
      <c r="H188" s="529"/>
      <c r="I188" s="527"/>
      <c r="J188" s="497"/>
      <c r="K188" s="526"/>
      <c r="L188" s="529"/>
      <c r="M188" s="569"/>
      <c r="N188" s="497"/>
      <c r="O188" s="526"/>
      <c r="P188" s="570"/>
      <c r="Q188" s="527"/>
      <c r="R188" s="497"/>
      <c r="S188" s="526"/>
      <c r="T188" s="497"/>
      <c r="U188" s="527" t="s">
        <v>232</v>
      </c>
      <c r="V188" s="497"/>
      <c r="W188" s="527"/>
      <c r="X188" s="499"/>
      <c r="Y188" s="511"/>
      <c r="Z188" s="506">
        <f t="shared" ref="Z188" ca="1" si="737">UDayCou(1,ROW())</f>
        <v>10</v>
      </c>
      <c r="AA188" s="507">
        <f t="shared" ref="AA188" ca="1" si="738">UNightCou(1,ROW())</f>
        <v>10</v>
      </c>
      <c r="AB188" s="508">
        <f t="shared" ref="AB188" ca="1" si="739">UNewCou(1,ROW())</f>
        <v>2</v>
      </c>
      <c r="AC188" s="559">
        <f t="shared" si="577"/>
        <v>45773</v>
      </c>
      <c r="AD188" s="574" t="str">
        <f t="shared" si="578"/>
        <v>土</v>
      </c>
      <c r="AE188" s="497"/>
      <c r="AF188" s="527"/>
      <c r="AG188" s="497"/>
      <c r="AH188" s="527"/>
      <c r="AI188" s="529"/>
      <c r="AJ188" s="527"/>
      <c r="AK188" s="497"/>
      <c r="AL188" s="571"/>
      <c r="AM188" s="497"/>
      <c r="AN188" s="571"/>
      <c r="AO188" s="529"/>
      <c r="AP188" s="527"/>
      <c r="AQ188" s="497">
        <v>15</v>
      </c>
      <c r="AR188" s="575"/>
      <c r="AS188" s="497"/>
      <c r="AT188" s="526"/>
      <c r="AU188" s="497"/>
      <c r="AV188" s="527"/>
      <c r="AW188" s="497"/>
      <c r="AX188" s="569"/>
      <c r="AY188" s="512"/>
      <c r="AZ188" s="513"/>
      <c r="BA188" s="506">
        <f ca="1">UDayCou(2,ROW())</f>
        <v>8</v>
      </c>
      <c r="BB188" s="507">
        <f ca="1">UNightCou(2,ROW())</f>
        <v>7</v>
      </c>
      <c r="BC188" s="508">
        <f ca="1">UNewCou(2,ROW())</f>
        <v>2</v>
      </c>
      <c r="BD188" s="491">
        <f t="shared" si="579"/>
        <v>45773</v>
      </c>
      <c r="BE188" s="536" t="str">
        <f t="shared" si="580"/>
        <v>土</v>
      </c>
      <c r="BF188" s="514"/>
      <c r="BG188" s="515"/>
      <c r="BH188" s="494"/>
      <c r="BI188" s="515"/>
      <c r="BJ188" s="494"/>
      <c r="BK188" s="515"/>
      <c r="BL188" s="494"/>
      <c r="BM188" s="515"/>
      <c r="BN188" s="494"/>
      <c r="BO188" s="515"/>
      <c r="BP188" s="494"/>
      <c r="BQ188" s="515"/>
      <c r="BR188" s="494"/>
      <c r="BS188" s="515"/>
      <c r="BT188" s="494"/>
      <c r="BU188" s="515"/>
      <c r="BV188" s="494"/>
      <c r="BW188" s="515"/>
      <c r="BX188" s="494"/>
      <c r="BY188" s="515"/>
      <c r="BZ188" s="530"/>
      <c r="CA188" s="505"/>
      <c r="CB188" s="506">
        <f ca="1">UDayCou(3,ROW())</f>
        <v>0</v>
      </c>
      <c r="CC188" s="507">
        <f ca="1">UNightCou(3,ROW())</f>
        <v>0</v>
      </c>
      <c r="CD188" s="508">
        <f ca="1">UNewCou(3,ROW())</f>
        <v>0</v>
      </c>
      <c r="CE188" s="491">
        <f t="shared" si="581"/>
        <v>45773</v>
      </c>
      <c r="CF188" s="536" t="str">
        <f t="shared" si="582"/>
        <v>土</v>
      </c>
      <c r="CG188" s="516">
        <f t="shared" ref="CG188" ca="1" si="740">Z188+BA188+CB188</f>
        <v>18</v>
      </c>
      <c r="CH188" s="517">
        <f t="shared" ref="CH188" ca="1" si="741">AA188+BB188+CC188</f>
        <v>17</v>
      </c>
      <c r="CI188" s="518">
        <f t="shared" ref="CI188" ca="1" si="742">AB188+BC188+CD188</f>
        <v>4</v>
      </c>
      <c r="CJ188" s="519">
        <f ca="1">COUNTIF(INDIRECT("D236:CA237"),"*●*")</f>
        <v>0</v>
      </c>
      <c r="CK188" s="520">
        <f ca="1">COUNTIF(INDIRECT("D236:CA237"),"*㋷*")</f>
        <v>0</v>
      </c>
      <c r="CL188" s="125" t="s">
        <v>233</v>
      </c>
      <c r="CM188" s="126">
        <f ca="1">年</f>
        <v>2025</v>
      </c>
      <c r="CN188" s="164">
        <f t="shared" si="586"/>
        <v>45773</v>
      </c>
      <c r="CO188" s="169" t="str">
        <f t="shared" si="587"/>
        <v>土</v>
      </c>
      <c r="CP188" s="497">
        <v>15</v>
      </c>
      <c r="CQ188" s="501"/>
      <c r="CR188" s="523"/>
      <c r="CS188" s="522"/>
      <c r="CT188" s="523"/>
      <c r="CU188" s="522"/>
      <c r="CZ188" s="73">
        <v>4</v>
      </c>
      <c r="DA188" s="73">
        <v>4</v>
      </c>
      <c r="DB188" s="73">
        <v>26</v>
      </c>
      <c r="DC188" s="74">
        <f t="shared" si="563"/>
        <v>45773</v>
      </c>
      <c r="DD188" s="68" t="str">
        <f t="shared" si="603"/>
        <v>土</v>
      </c>
      <c r="DF188" s="155">
        <f t="shared" ref="DF188" si="743">$DC188</f>
        <v>45773</v>
      </c>
      <c r="DG188" s="156" t="e">
        <f ca="1">IF($CH188&gt;=設定!$E$12,"✕",IF(SS予約表!$CG188&gt;=設定!$E$12,"△","○"))</f>
        <v>#NAME?</v>
      </c>
    </row>
    <row r="189" spans="1:111" ht="29.25" customHeight="1">
      <c r="A189" s="284"/>
      <c r="B189" s="285"/>
      <c r="C189" s="286" t="s">
        <v>28</v>
      </c>
      <c r="D189" s="449">
        <v>10</v>
      </c>
      <c r="E189" s="384" t="s">
        <v>142</v>
      </c>
      <c r="F189" s="320"/>
      <c r="G189" s="324"/>
      <c r="H189" s="360"/>
      <c r="I189" s="324"/>
      <c r="J189" s="320">
        <v>10</v>
      </c>
      <c r="K189" s="324" t="s">
        <v>142</v>
      </c>
      <c r="L189" s="360"/>
      <c r="M189" s="445"/>
      <c r="N189" s="320">
        <v>10</v>
      </c>
      <c r="O189" s="324" t="s">
        <v>64</v>
      </c>
      <c r="P189" s="320"/>
      <c r="Q189" s="324"/>
      <c r="R189" s="320">
        <v>10</v>
      </c>
      <c r="S189" s="384" t="s">
        <v>84</v>
      </c>
      <c r="T189" s="320"/>
      <c r="U189" s="324"/>
      <c r="V189" s="467"/>
      <c r="W189" s="384"/>
      <c r="X189" s="454"/>
      <c r="Y189" s="423"/>
      <c r="Z189" s="294"/>
      <c r="AA189" s="295"/>
      <c r="AB189" s="296"/>
      <c r="AC189" s="463"/>
      <c r="AD189" s="464"/>
      <c r="AE189" s="320"/>
      <c r="AF189" s="324"/>
      <c r="AG189" s="320"/>
      <c r="AH189" s="324"/>
      <c r="AI189" s="383"/>
      <c r="AJ189" s="384"/>
      <c r="AK189" s="320"/>
      <c r="AL189" s="470"/>
      <c r="AM189" s="320"/>
      <c r="AN189" s="470"/>
      <c r="AO189" s="360"/>
      <c r="AP189" s="324"/>
      <c r="AQ189" s="299"/>
      <c r="AR189" s="300"/>
      <c r="AS189" s="320">
        <v>10</v>
      </c>
      <c r="AT189" s="324" t="s">
        <v>166</v>
      </c>
      <c r="AU189" s="320"/>
      <c r="AV189" s="324"/>
      <c r="AW189" s="320"/>
      <c r="AX189" s="445"/>
      <c r="AY189" s="325"/>
      <c r="AZ189" s="326"/>
      <c r="BA189" s="294"/>
      <c r="BB189" s="295"/>
      <c r="BC189" s="296"/>
      <c r="BD189" s="284"/>
      <c r="BE189" s="298"/>
      <c r="BF189" s="305"/>
      <c r="BG189" s="302"/>
      <c r="BH189" s="301"/>
      <c r="BI189" s="302"/>
      <c r="BJ189" s="301"/>
      <c r="BK189" s="302"/>
      <c r="BL189" s="301"/>
      <c r="BM189" s="302"/>
      <c r="BN189" s="301"/>
      <c r="BO189" s="302"/>
      <c r="BP189" s="301"/>
      <c r="BQ189" s="302"/>
      <c r="BR189" s="301"/>
      <c r="BS189" s="302"/>
      <c r="BT189" s="301"/>
      <c r="BU189" s="302"/>
      <c r="BV189" s="301"/>
      <c r="BW189" s="302"/>
      <c r="BX189" s="301"/>
      <c r="BY189" s="302"/>
      <c r="BZ189" s="306"/>
      <c r="CA189" s="304"/>
      <c r="CB189" s="294"/>
      <c r="CC189" s="295"/>
      <c r="CD189" s="296"/>
      <c r="CE189" s="284"/>
      <c r="CF189" s="298"/>
      <c r="CG189" s="307"/>
      <c r="CH189" s="308"/>
      <c r="CI189" s="309"/>
      <c r="CJ189" s="310"/>
      <c r="CK189" s="311"/>
      <c r="CL189" s="123" t="s">
        <v>30</v>
      </c>
      <c r="CM189" s="124" t="s">
        <v>31</v>
      </c>
      <c r="CN189" s="161"/>
      <c r="CO189" s="163"/>
      <c r="CP189" s="315"/>
      <c r="CQ189" s="316"/>
      <c r="CR189" s="317"/>
      <c r="CS189" s="316"/>
      <c r="CT189" s="317"/>
      <c r="CU189" s="316"/>
      <c r="CZ189" s="73">
        <v>4</v>
      </c>
      <c r="DA189" s="73">
        <v>4</v>
      </c>
      <c r="DB189" s="73">
        <v>26</v>
      </c>
      <c r="DC189" s="74">
        <f t="shared" si="563"/>
        <v>45773</v>
      </c>
      <c r="DD189" s="68" t="str">
        <f t="shared" si="603"/>
        <v>土</v>
      </c>
      <c r="DF189" s="156"/>
      <c r="DG189" s="156"/>
    </row>
    <row r="190" spans="1:111" ht="28.5" customHeight="1">
      <c r="A190" s="327">
        <f t="shared" si="572"/>
        <v>45774</v>
      </c>
      <c r="B190" s="328" t="str">
        <f t="shared" si="573"/>
        <v>日</v>
      </c>
      <c r="C190" s="329" t="s">
        <v>27</v>
      </c>
      <c r="D190" s="447" t="s">
        <v>39</v>
      </c>
      <c r="E190" s="390"/>
      <c r="F190" s="333"/>
      <c r="G190" s="377"/>
      <c r="H190" s="368"/>
      <c r="I190" s="377"/>
      <c r="J190" s="333"/>
      <c r="K190" s="377"/>
      <c r="L190" s="368"/>
      <c r="M190" s="472"/>
      <c r="N190" s="333"/>
      <c r="O190" s="377"/>
      <c r="P190" s="333"/>
      <c r="Q190" s="377"/>
      <c r="R190" s="333"/>
      <c r="S190" s="377"/>
      <c r="T190" s="333"/>
      <c r="U190" s="377"/>
      <c r="V190" s="468"/>
      <c r="W190" s="390"/>
      <c r="X190" s="455"/>
      <c r="Y190" s="426"/>
      <c r="Z190" s="342">
        <f t="shared" ref="Z190" ca="1" si="744">UDayCou(1,ROW())</f>
        <v>11</v>
      </c>
      <c r="AA190" s="343">
        <f t="shared" ref="AA190" ca="1" si="745">UNightCou(1,ROW())</f>
        <v>11</v>
      </c>
      <c r="AB190" s="344">
        <f t="shared" ref="AB190" ca="1" si="746">UNewCou(1,ROW())</f>
        <v>2</v>
      </c>
      <c r="AC190" s="461">
        <f t="shared" si="577"/>
        <v>45774</v>
      </c>
      <c r="AD190" s="466" t="str">
        <f t="shared" si="578"/>
        <v>日</v>
      </c>
      <c r="AE190" s="333"/>
      <c r="AF190" s="377"/>
      <c r="AG190" s="333"/>
      <c r="AH190" s="377"/>
      <c r="AI190" s="450">
        <v>15</v>
      </c>
      <c r="AJ190" s="448"/>
      <c r="AK190" s="333"/>
      <c r="AL190" s="474"/>
      <c r="AM190" s="333"/>
      <c r="AN190" s="474"/>
      <c r="AO190" s="368"/>
      <c r="AP190" s="377"/>
      <c r="AQ190" s="335"/>
      <c r="AR190" s="347"/>
      <c r="AS190" s="333"/>
      <c r="AT190" s="377"/>
      <c r="AU190" s="333"/>
      <c r="AV190" s="377"/>
      <c r="AW190" s="333"/>
      <c r="AX190" s="472"/>
      <c r="AY190" s="348"/>
      <c r="AZ190" s="349"/>
      <c r="BA190" s="342">
        <f ca="1">UDayCou(2,ROW())</f>
        <v>7</v>
      </c>
      <c r="BB190" s="343">
        <f ca="1">UNightCou(2,ROW())</f>
        <v>6</v>
      </c>
      <c r="BC190" s="344">
        <f ca="1">UNewCou(2,ROW())</f>
        <v>2</v>
      </c>
      <c r="BD190" s="327">
        <f t="shared" si="579"/>
        <v>45774</v>
      </c>
      <c r="BE190" s="346" t="str">
        <f t="shared" si="580"/>
        <v>日</v>
      </c>
      <c r="BF190" s="350"/>
      <c r="BG190" s="351"/>
      <c r="BH190" s="330"/>
      <c r="BI190" s="351"/>
      <c r="BJ190" s="330"/>
      <c r="BK190" s="351"/>
      <c r="BL190" s="330"/>
      <c r="BM190" s="351"/>
      <c r="BN190" s="330"/>
      <c r="BO190" s="351"/>
      <c r="BP190" s="330"/>
      <c r="BQ190" s="351"/>
      <c r="BR190" s="330"/>
      <c r="BS190" s="351"/>
      <c r="BT190" s="330"/>
      <c r="BU190" s="351"/>
      <c r="BV190" s="330"/>
      <c r="BW190" s="351"/>
      <c r="BX190" s="330"/>
      <c r="BY190" s="351"/>
      <c r="BZ190" s="389"/>
      <c r="CA190" s="341"/>
      <c r="CB190" s="342">
        <f ca="1">UDayCou(3,ROW())</f>
        <v>0</v>
      </c>
      <c r="CC190" s="343">
        <f ca="1">UNightCou(3,ROW())</f>
        <v>0</v>
      </c>
      <c r="CD190" s="344">
        <f ca="1">UNewCou(3,ROW())</f>
        <v>0</v>
      </c>
      <c r="CE190" s="327">
        <f t="shared" si="581"/>
        <v>45774</v>
      </c>
      <c r="CF190" s="346" t="str">
        <f t="shared" si="582"/>
        <v>日</v>
      </c>
      <c r="CG190" s="352">
        <f t="shared" ref="CG190" ca="1" si="747">Z190+BA190+CB190</f>
        <v>18</v>
      </c>
      <c r="CH190" s="353">
        <f t="shared" ref="CH190" ca="1" si="748">AA190+BB190+CC190</f>
        <v>17</v>
      </c>
      <c r="CI190" s="354">
        <f t="shared" ref="CI190" ca="1" si="749">AB190+BC190+CD190</f>
        <v>4</v>
      </c>
      <c r="CJ190" s="355">
        <f ca="1">COUNTIF(INDIRECT("D238:CA239"),"*●*")</f>
        <v>0</v>
      </c>
      <c r="CK190" s="356">
        <f ca="1">COUNTIF(INDIRECT("D238:CA239"),"*㋷*")</f>
        <v>0</v>
      </c>
      <c r="CL190" s="202">
        <v>30</v>
      </c>
      <c r="CM190" s="173">
        <f ca="1">IFERROR(CM196/CL196,0)</f>
        <v>0.78508771929824561</v>
      </c>
      <c r="CN190" s="160">
        <f t="shared" si="586"/>
        <v>45774</v>
      </c>
      <c r="CO190" s="168" t="str">
        <f t="shared" si="587"/>
        <v>日</v>
      </c>
      <c r="CP190" s="357"/>
      <c r="CQ190" s="358"/>
      <c r="CR190" s="359"/>
      <c r="CS190" s="358"/>
      <c r="CT190" s="359"/>
      <c r="CU190" s="358"/>
      <c r="CZ190" s="73">
        <v>4</v>
      </c>
      <c r="DA190" s="73">
        <v>4</v>
      </c>
      <c r="DB190" s="73">
        <v>27</v>
      </c>
      <c r="DC190" s="74">
        <f t="shared" si="563"/>
        <v>45774</v>
      </c>
      <c r="DD190" s="68" t="str">
        <f t="shared" si="603"/>
        <v>日</v>
      </c>
      <c r="DF190" s="155">
        <f t="shared" ref="DF190" si="750">$DC190</f>
        <v>45774</v>
      </c>
      <c r="DG190" s="156" t="e">
        <f ca="1">IF($CH190&gt;=設定!$E$12,"✕",IF(SS予約表!$CG190&gt;=設定!$E$12,"△","○"))</f>
        <v>#NAME?</v>
      </c>
    </row>
    <row r="191" spans="1:111" ht="29.25" customHeight="1">
      <c r="A191" s="284"/>
      <c r="B191" s="285"/>
      <c r="C191" s="286" t="s">
        <v>28</v>
      </c>
      <c r="D191" s="320" t="s">
        <v>39</v>
      </c>
      <c r="E191" s="324"/>
      <c r="F191" s="320"/>
      <c r="G191" s="324"/>
      <c r="H191" s="360"/>
      <c r="I191" s="324"/>
      <c r="J191" s="320"/>
      <c r="K191" s="324"/>
      <c r="L191" s="360"/>
      <c r="M191" s="445"/>
      <c r="N191" s="320"/>
      <c r="O191" s="324"/>
      <c r="P191" s="320"/>
      <c r="Q191" s="324"/>
      <c r="R191" s="320"/>
      <c r="S191" s="324"/>
      <c r="T191" s="320"/>
      <c r="U191" s="324"/>
      <c r="V191" s="320"/>
      <c r="W191" s="324"/>
      <c r="X191" s="320">
        <v>10</v>
      </c>
      <c r="Y191" s="324" t="s">
        <v>169</v>
      </c>
      <c r="Z191" s="294"/>
      <c r="AA191" s="295"/>
      <c r="AB191" s="296"/>
      <c r="AC191" s="463"/>
      <c r="AD191" s="464"/>
      <c r="AE191" s="320"/>
      <c r="AF191" s="324"/>
      <c r="AG191" s="320"/>
      <c r="AH191" s="324"/>
      <c r="AI191" s="320"/>
      <c r="AJ191" s="321"/>
      <c r="AK191" s="320"/>
      <c r="AL191" s="470"/>
      <c r="AM191" s="320"/>
      <c r="AN191" s="470"/>
      <c r="AO191" s="360"/>
      <c r="AP191" s="324"/>
      <c r="AQ191" s="299"/>
      <c r="AR191" s="300"/>
      <c r="AS191" s="320"/>
      <c r="AT191" s="324"/>
      <c r="AU191" s="320"/>
      <c r="AV191" s="324"/>
      <c r="AW191" s="320"/>
      <c r="AX191" s="445"/>
      <c r="AY191" s="325"/>
      <c r="AZ191" s="326"/>
      <c r="BA191" s="294"/>
      <c r="BB191" s="295"/>
      <c r="BC191" s="296"/>
      <c r="BD191" s="284"/>
      <c r="BE191" s="298"/>
      <c r="BF191" s="305"/>
      <c r="BG191" s="302"/>
      <c r="BH191" s="301"/>
      <c r="BI191" s="302"/>
      <c r="BJ191" s="301"/>
      <c r="BK191" s="302"/>
      <c r="BL191" s="301"/>
      <c r="BM191" s="302"/>
      <c r="BN191" s="301"/>
      <c r="BO191" s="302"/>
      <c r="BP191" s="301"/>
      <c r="BQ191" s="302"/>
      <c r="BR191" s="301"/>
      <c r="BS191" s="302"/>
      <c r="BT191" s="301"/>
      <c r="BU191" s="302"/>
      <c r="BV191" s="301"/>
      <c r="BW191" s="302"/>
      <c r="BX191" s="301"/>
      <c r="BY191" s="302"/>
      <c r="BZ191" s="306"/>
      <c r="CA191" s="304"/>
      <c r="CB191" s="294"/>
      <c r="CC191" s="295"/>
      <c r="CD191" s="296"/>
      <c r="CE191" s="284"/>
      <c r="CF191" s="298"/>
      <c r="CG191" s="307"/>
      <c r="CH191" s="308"/>
      <c r="CI191" s="309"/>
      <c r="CJ191" s="310"/>
      <c r="CK191" s="311"/>
      <c r="CL191" s="203"/>
      <c r="CM191" s="174"/>
      <c r="CN191" s="161"/>
      <c r="CO191" s="163"/>
      <c r="CP191" s="315"/>
      <c r="CQ191" s="316"/>
      <c r="CR191" s="317"/>
      <c r="CS191" s="316"/>
      <c r="CT191" s="317"/>
      <c r="CU191" s="316"/>
      <c r="CZ191" s="73">
        <v>4</v>
      </c>
      <c r="DA191" s="73">
        <v>4</v>
      </c>
      <c r="DB191" s="73">
        <v>27</v>
      </c>
      <c r="DC191" s="74">
        <f t="shared" si="563"/>
        <v>45774</v>
      </c>
      <c r="DD191" s="68" t="str">
        <f t="shared" si="603"/>
        <v>日</v>
      </c>
      <c r="DF191" s="156"/>
      <c r="DG191" s="156"/>
    </row>
    <row r="192" spans="1:111" ht="28.5" customHeight="1">
      <c r="A192" s="327">
        <f t="shared" si="572"/>
        <v>45775</v>
      </c>
      <c r="B192" s="365" t="str">
        <f t="shared" si="573"/>
        <v>月</v>
      </c>
      <c r="C192" s="329" t="s">
        <v>27</v>
      </c>
      <c r="D192" s="333">
        <v>15</v>
      </c>
      <c r="E192" s="337"/>
      <c r="F192" s="333"/>
      <c r="G192" s="377"/>
      <c r="H192" s="368"/>
      <c r="I192" s="377"/>
      <c r="J192" s="333">
        <v>15</v>
      </c>
      <c r="K192" s="337"/>
      <c r="L192" s="368"/>
      <c r="M192" s="472"/>
      <c r="N192" s="333">
        <v>15</v>
      </c>
      <c r="O192" s="337"/>
      <c r="P192" s="333"/>
      <c r="Q192" s="377"/>
      <c r="R192" s="333"/>
      <c r="S192" s="377"/>
      <c r="T192" s="333"/>
      <c r="U192" s="377"/>
      <c r="V192" s="333"/>
      <c r="W192" s="377"/>
      <c r="X192" s="333"/>
      <c r="Y192" s="377"/>
      <c r="Z192" s="342">
        <f t="shared" ref="Z192" ca="1" si="751">UDayCou(1,ROW())</f>
        <v>12</v>
      </c>
      <c r="AA192" s="343">
        <f t="shared" ref="AA192" ca="1" si="752">UNightCou(1,ROW())</f>
        <v>9</v>
      </c>
      <c r="AB192" s="344">
        <f t="shared" ref="AB192" ca="1" si="753">UNewCou(1,ROW())</f>
        <v>2</v>
      </c>
      <c r="AC192" s="461">
        <f t="shared" si="577"/>
        <v>45775</v>
      </c>
      <c r="AD192" s="462" t="str">
        <f t="shared" si="578"/>
        <v>月</v>
      </c>
      <c r="AE192" s="333">
        <v>15</v>
      </c>
      <c r="AF192" s="337"/>
      <c r="AG192" s="333">
        <v>15</v>
      </c>
      <c r="AH192" s="337"/>
      <c r="AI192" s="333"/>
      <c r="AJ192" s="381"/>
      <c r="AK192" s="333"/>
      <c r="AL192" s="474"/>
      <c r="AM192" s="333"/>
      <c r="AN192" s="474"/>
      <c r="AO192" s="368"/>
      <c r="AP192" s="377"/>
      <c r="AQ192" s="335"/>
      <c r="AR192" s="347"/>
      <c r="AS192" s="333"/>
      <c r="AT192" s="377"/>
      <c r="AU192" s="333"/>
      <c r="AV192" s="377"/>
      <c r="AW192" s="333"/>
      <c r="AX192" s="472"/>
      <c r="AY192" s="348"/>
      <c r="AZ192" s="349"/>
      <c r="BA192" s="342">
        <f ca="1">UDayCou(2,ROW())</f>
        <v>7</v>
      </c>
      <c r="BB192" s="343">
        <f ca="1">UNightCou(2,ROW())</f>
        <v>5</v>
      </c>
      <c r="BC192" s="344">
        <f ca="1">UNewCou(2,ROW())</f>
        <v>1</v>
      </c>
      <c r="BD192" s="327">
        <f t="shared" si="579"/>
        <v>45775</v>
      </c>
      <c r="BE192" s="371" t="str">
        <f t="shared" si="580"/>
        <v>月</v>
      </c>
      <c r="BF192" s="350"/>
      <c r="BG192" s="351"/>
      <c r="BH192" s="330"/>
      <c r="BI192" s="351"/>
      <c r="BJ192" s="330"/>
      <c r="BK192" s="351"/>
      <c r="BL192" s="330"/>
      <c r="BM192" s="351"/>
      <c r="BN192" s="330"/>
      <c r="BO192" s="351"/>
      <c r="BP192" s="330"/>
      <c r="BQ192" s="351"/>
      <c r="BR192" s="330"/>
      <c r="BS192" s="351"/>
      <c r="BT192" s="330"/>
      <c r="BU192" s="351"/>
      <c r="BV192" s="330"/>
      <c r="BW192" s="351"/>
      <c r="BX192" s="330"/>
      <c r="BY192" s="351"/>
      <c r="BZ192" s="389"/>
      <c r="CA192" s="341"/>
      <c r="CB192" s="342">
        <f ca="1">UDayCou(3,ROW())</f>
        <v>0</v>
      </c>
      <c r="CC192" s="343">
        <f ca="1">UNightCou(3,ROW())</f>
        <v>0</v>
      </c>
      <c r="CD192" s="344">
        <f ca="1">UNewCou(3,ROW())</f>
        <v>0</v>
      </c>
      <c r="CE192" s="327">
        <f t="shared" si="581"/>
        <v>45775</v>
      </c>
      <c r="CF192" s="371" t="str">
        <f t="shared" si="582"/>
        <v>月</v>
      </c>
      <c r="CG192" s="352">
        <f t="shared" ref="CG192" ca="1" si="754">Z192+BA192+CB192</f>
        <v>19</v>
      </c>
      <c r="CH192" s="353">
        <f t="shared" ref="CH192" ca="1" si="755">AA192+BB192+CC192</f>
        <v>14</v>
      </c>
      <c r="CI192" s="354">
        <f t="shared" ref="CI192" ca="1" si="756">AB192+BC192+CD192</f>
        <v>3</v>
      </c>
      <c r="CJ192" s="355">
        <f ca="1">COUNTIF(INDIRECT("D240:CA241"),"*●*")</f>
        <v>0</v>
      </c>
      <c r="CK192" s="356">
        <f ca="1">COUNTIF(INDIRECT("D240:CA241"),"*㋷*")</f>
        <v>0</v>
      </c>
      <c r="CL192" s="26" t="s">
        <v>32</v>
      </c>
      <c r="CM192" s="154" t="s">
        <v>33</v>
      </c>
      <c r="CN192" s="160">
        <f t="shared" si="586"/>
        <v>45775</v>
      </c>
      <c r="CO192" s="162" t="str">
        <f t="shared" si="587"/>
        <v>月</v>
      </c>
      <c r="CP192" s="357"/>
      <c r="CQ192" s="358"/>
      <c r="CR192" s="359"/>
      <c r="CS192" s="358"/>
      <c r="CT192" s="359"/>
      <c r="CU192" s="358"/>
      <c r="CZ192" s="73">
        <v>4</v>
      </c>
      <c r="DA192" s="73">
        <v>4</v>
      </c>
      <c r="DB192" s="73">
        <v>28</v>
      </c>
      <c r="DC192" s="74">
        <f t="shared" si="563"/>
        <v>45775</v>
      </c>
      <c r="DD192" s="68" t="str">
        <f t="shared" si="603"/>
        <v>月</v>
      </c>
      <c r="DF192" s="155">
        <f t="shared" ref="DF192" si="757">$DC192</f>
        <v>45775</v>
      </c>
      <c r="DG192" s="156" t="e">
        <f ca="1">IF($CH192&gt;=設定!$E$12,"✕",IF(SS予約表!$CG192&gt;=設定!$E$12,"△","○"))</f>
        <v>#NAME?</v>
      </c>
    </row>
    <row r="193" spans="1:112" ht="29.25" customHeight="1">
      <c r="A193" s="284"/>
      <c r="B193" s="285"/>
      <c r="C193" s="286" t="s">
        <v>28</v>
      </c>
      <c r="D193" s="289">
        <v>10</v>
      </c>
      <c r="E193" s="324" t="s">
        <v>127</v>
      </c>
      <c r="F193" s="320"/>
      <c r="G193" s="324"/>
      <c r="H193" s="360"/>
      <c r="I193" s="324"/>
      <c r="J193" s="320"/>
      <c r="K193" s="321"/>
      <c r="L193" s="360"/>
      <c r="M193" s="445"/>
      <c r="N193" s="320"/>
      <c r="O193" s="321"/>
      <c r="P193" s="320"/>
      <c r="Q193" s="324"/>
      <c r="R193" s="320"/>
      <c r="S193" s="324"/>
      <c r="T193" s="320"/>
      <c r="U193" s="324"/>
      <c r="V193" s="320"/>
      <c r="W193" s="324"/>
      <c r="X193" s="320"/>
      <c r="Y193" s="324"/>
      <c r="Z193" s="294"/>
      <c r="AA193" s="295"/>
      <c r="AB193" s="296"/>
      <c r="AC193" s="463"/>
      <c r="AD193" s="464"/>
      <c r="AE193" s="320">
        <v>10</v>
      </c>
      <c r="AF193" s="324" t="s">
        <v>145</v>
      </c>
      <c r="AG193" s="320"/>
      <c r="AH193" s="321"/>
      <c r="AI193" s="320"/>
      <c r="AJ193" s="321"/>
      <c r="AK193" s="320"/>
      <c r="AL193" s="470"/>
      <c r="AM193" s="320"/>
      <c r="AN193" s="470"/>
      <c r="AO193" s="360"/>
      <c r="AP193" s="324"/>
      <c r="AQ193" s="299"/>
      <c r="AR193" s="300"/>
      <c r="AS193" s="320"/>
      <c r="AT193" s="324"/>
      <c r="AU193" s="320"/>
      <c r="AV193" s="324"/>
      <c r="AW193" s="320"/>
      <c r="AX193" s="445"/>
      <c r="AY193" s="325"/>
      <c r="AZ193" s="326"/>
      <c r="BA193" s="294"/>
      <c r="BB193" s="295"/>
      <c r="BC193" s="296"/>
      <c r="BD193" s="284"/>
      <c r="BE193" s="298"/>
      <c r="BF193" s="305"/>
      <c r="BG193" s="302"/>
      <c r="BH193" s="301"/>
      <c r="BI193" s="302"/>
      <c r="BJ193" s="301"/>
      <c r="BK193" s="302"/>
      <c r="BL193" s="301"/>
      <c r="BM193" s="302"/>
      <c r="BN193" s="301"/>
      <c r="BO193" s="302"/>
      <c r="BP193" s="301"/>
      <c r="BQ193" s="302"/>
      <c r="BR193" s="301"/>
      <c r="BS193" s="302"/>
      <c r="BT193" s="301"/>
      <c r="BU193" s="302"/>
      <c r="BV193" s="301"/>
      <c r="BW193" s="302"/>
      <c r="BX193" s="301"/>
      <c r="BY193" s="302"/>
      <c r="BZ193" s="306"/>
      <c r="CA193" s="304"/>
      <c r="CB193" s="294"/>
      <c r="CC193" s="295"/>
      <c r="CD193" s="296"/>
      <c r="CE193" s="284"/>
      <c r="CF193" s="298"/>
      <c r="CG193" s="307"/>
      <c r="CH193" s="308"/>
      <c r="CI193" s="309"/>
      <c r="CJ193" s="310"/>
      <c r="CK193" s="311"/>
      <c r="CL193" s="175">
        <f ca="1">SUM(CG138:CG197)</f>
        <v>456</v>
      </c>
      <c r="CM193" s="177">
        <f ca="1">SUM(CI138:CI197)</f>
        <v>98</v>
      </c>
      <c r="CN193" s="161"/>
      <c r="CO193" s="163"/>
      <c r="CP193" s="315"/>
      <c r="CQ193" s="316"/>
      <c r="CR193" s="317"/>
      <c r="CS193" s="316"/>
      <c r="CT193" s="317"/>
      <c r="CU193" s="316"/>
      <c r="CZ193" s="73">
        <v>4</v>
      </c>
      <c r="DA193" s="73">
        <v>4</v>
      </c>
      <c r="DB193" s="73">
        <v>28</v>
      </c>
      <c r="DC193" s="74">
        <f t="shared" si="563"/>
        <v>45775</v>
      </c>
      <c r="DD193" s="68" t="str">
        <f t="shared" si="603"/>
        <v>月</v>
      </c>
      <c r="DF193" s="156"/>
      <c r="DG193" s="156"/>
    </row>
    <row r="194" spans="1:112" ht="28.5" customHeight="1">
      <c r="A194" s="327">
        <f t="shared" si="572"/>
        <v>45776</v>
      </c>
      <c r="B194" s="365" t="str">
        <f t="shared" si="573"/>
        <v>火</v>
      </c>
      <c r="C194" s="329" t="s">
        <v>27</v>
      </c>
      <c r="D194" s="431"/>
      <c r="E194" s="377"/>
      <c r="F194" s="333"/>
      <c r="G194" s="377"/>
      <c r="H194" s="368"/>
      <c r="I194" s="377"/>
      <c r="J194" s="333"/>
      <c r="K194" s="381"/>
      <c r="L194" s="388">
        <v>15</v>
      </c>
      <c r="M194" s="480"/>
      <c r="N194" s="333"/>
      <c r="O194" s="381"/>
      <c r="P194" s="333">
        <v>15</v>
      </c>
      <c r="Q194" s="337"/>
      <c r="R194" s="333"/>
      <c r="S194" s="377"/>
      <c r="T194" s="333"/>
      <c r="U194" s="377"/>
      <c r="V194" s="333">
        <v>15</v>
      </c>
      <c r="W194" s="337"/>
      <c r="X194" s="333"/>
      <c r="Y194" s="377"/>
      <c r="Z194" s="342">
        <f t="shared" ref="Z194" ca="1" si="758">UDayCou(1,ROW())</f>
        <v>9</v>
      </c>
      <c r="AA194" s="343">
        <f t="shared" ref="AA194" ca="1" si="759">UNightCou(1,ROW())</f>
        <v>6</v>
      </c>
      <c r="AB194" s="344">
        <f t="shared" ref="AB194" ca="1" si="760">UNewCou(1,ROW())</f>
        <v>2</v>
      </c>
      <c r="AC194" s="461">
        <f t="shared" si="577"/>
        <v>45776</v>
      </c>
      <c r="AD194" s="462" t="str">
        <f t="shared" si="578"/>
        <v>火</v>
      </c>
      <c r="AE194" s="333"/>
      <c r="AF194" s="377"/>
      <c r="AG194" s="333"/>
      <c r="AH194" s="381"/>
      <c r="AI194" s="333"/>
      <c r="AJ194" s="381"/>
      <c r="AK194" s="333"/>
      <c r="AL194" s="474"/>
      <c r="AM194" s="333"/>
      <c r="AN194" s="474"/>
      <c r="AO194" s="368"/>
      <c r="AP194" s="377"/>
      <c r="AQ194" s="335"/>
      <c r="AR194" s="347"/>
      <c r="AS194" s="333"/>
      <c r="AT194" s="377"/>
      <c r="AU194" s="333"/>
      <c r="AV194" s="377"/>
      <c r="AW194" s="333"/>
      <c r="AX194" s="472"/>
      <c r="AY194" s="348"/>
      <c r="AZ194" s="349"/>
      <c r="BA194" s="342">
        <f ca="1">UDayCou(2,ROW())</f>
        <v>5</v>
      </c>
      <c r="BB194" s="343">
        <f ca="1">UNightCou(2,ROW())</f>
        <v>5</v>
      </c>
      <c r="BC194" s="344">
        <f ca="1">UNewCou(2,ROW())</f>
        <v>1</v>
      </c>
      <c r="BD194" s="327">
        <f t="shared" si="579"/>
        <v>45776</v>
      </c>
      <c r="BE194" s="371" t="str">
        <f t="shared" si="580"/>
        <v>火</v>
      </c>
      <c r="BF194" s="350"/>
      <c r="BG194" s="351"/>
      <c r="BH194" s="330"/>
      <c r="BI194" s="351"/>
      <c r="BJ194" s="330"/>
      <c r="BK194" s="351"/>
      <c r="BL194" s="330"/>
      <c r="BM194" s="351"/>
      <c r="BN194" s="330"/>
      <c r="BO194" s="351"/>
      <c r="BP194" s="330"/>
      <c r="BQ194" s="351"/>
      <c r="BR194" s="330"/>
      <c r="BS194" s="351"/>
      <c r="BT194" s="330"/>
      <c r="BU194" s="351"/>
      <c r="BV194" s="330"/>
      <c r="BW194" s="351"/>
      <c r="BX194" s="330"/>
      <c r="BY194" s="351"/>
      <c r="BZ194" s="389"/>
      <c r="CA194" s="341"/>
      <c r="CB194" s="342">
        <f ca="1">UDayCou(3,ROW())</f>
        <v>0</v>
      </c>
      <c r="CC194" s="343">
        <f ca="1">UNightCou(3,ROW())</f>
        <v>0</v>
      </c>
      <c r="CD194" s="344">
        <f ca="1">UNewCou(3,ROW())</f>
        <v>0</v>
      </c>
      <c r="CE194" s="327">
        <f t="shared" si="581"/>
        <v>45776</v>
      </c>
      <c r="CF194" s="371" t="str">
        <f t="shared" si="582"/>
        <v>火</v>
      </c>
      <c r="CG194" s="352">
        <f t="shared" ref="CG194" ca="1" si="761">Z194+BA194+CB194</f>
        <v>14</v>
      </c>
      <c r="CH194" s="353">
        <f t="shared" ref="CH194" ca="1" si="762">AA194+BB194+CC194</f>
        <v>11</v>
      </c>
      <c r="CI194" s="354">
        <f t="shared" ref="CI194" ca="1" si="763">AB194+BC194+CD194</f>
        <v>3</v>
      </c>
      <c r="CJ194" s="355">
        <f ca="1">COUNTIF(INDIRECT("D242:CA243"),"*●*")</f>
        <v>0</v>
      </c>
      <c r="CK194" s="356">
        <f ca="1">COUNTIF(INDIRECT("D242:CA243"),"*㋷*")</f>
        <v>0</v>
      </c>
      <c r="CL194" s="176"/>
      <c r="CM194" s="178"/>
      <c r="CN194" s="160">
        <f t="shared" si="586"/>
        <v>45776</v>
      </c>
      <c r="CO194" s="162" t="str">
        <f t="shared" si="587"/>
        <v>火</v>
      </c>
      <c r="CP194" s="357"/>
      <c r="CQ194" s="358"/>
      <c r="CR194" s="359"/>
      <c r="CS194" s="358"/>
      <c r="CT194" s="359"/>
      <c r="CU194" s="358"/>
      <c r="CZ194" s="73">
        <v>4</v>
      </c>
      <c r="DA194" s="73">
        <v>4</v>
      </c>
      <c r="DB194" s="73">
        <v>29</v>
      </c>
      <c r="DC194" s="74">
        <f t="shared" si="563"/>
        <v>45776</v>
      </c>
      <c r="DD194" s="68" t="str">
        <f t="shared" si="603"/>
        <v>火</v>
      </c>
      <c r="DF194" s="155">
        <f t="shared" ref="DF194" si="764">$DC194</f>
        <v>45776</v>
      </c>
      <c r="DG194" s="156" t="e">
        <f ca="1">IF($CH194&gt;=設定!$E$12,"✕",IF(SS予約表!$CG194&gt;=設定!$E$12,"△","○"))</f>
        <v>#NAME?</v>
      </c>
    </row>
    <row r="195" spans="1:112" ht="29.25" customHeight="1">
      <c r="A195" s="284"/>
      <c r="B195" s="285"/>
      <c r="C195" s="286" t="s">
        <v>28</v>
      </c>
      <c r="D195" s="289"/>
      <c r="E195" s="324"/>
      <c r="F195" s="320"/>
      <c r="G195" s="324"/>
      <c r="H195" s="360"/>
      <c r="I195" s="324"/>
      <c r="J195" s="476"/>
      <c r="K195" s="321"/>
      <c r="L195" s="449"/>
      <c r="M195" s="443"/>
      <c r="N195" s="320"/>
      <c r="O195" s="321"/>
      <c r="P195" s="320"/>
      <c r="Q195" s="321"/>
      <c r="R195" s="320"/>
      <c r="S195" s="324"/>
      <c r="T195" s="320"/>
      <c r="U195" s="324"/>
      <c r="V195" s="467"/>
      <c r="W195" s="443"/>
      <c r="X195" s="320"/>
      <c r="Y195" s="324"/>
      <c r="Z195" s="294"/>
      <c r="AA195" s="295"/>
      <c r="AB195" s="296"/>
      <c r="AC195" s="463"/>
      <c r="AD195" s="464"/>
      <c r="AE195" s="320"/>
      <c r="AF195" s="324"/>
      <c r="AG195" s="320"/>
      <c r="AH195" s="321"/>
      <c r="AI195" s="320"/>
      <c r="AJ195" s="321"/>
      <c r="AK195" s="320"/>
      <c r="AL195" s="321"/>
      <c r="AM195" s="320"/>
      <c r="AN195" s="470"/>
      <c r="AO195" s="360"/>
      <c r="AP195" s="324"/>
      <c r="AQ195" s="320"/>
      <c r="AR195" s="321"/>
      <c r="AS195" s="320"/>
      <c r="AT195" s="324"/>
      <c r="AU195" s="320"/>
      <c r="AV195" s="324"/>
      <c r="AW195" s="299"/>
      <c r="AX195" s="322"/>
      <c r="AY195" s="325"/>
      <c r="AZ195" s="326"/>
      <c r="BA195" s="294"/>
      <c r="BB195" s="295"/>
      <c r="BC195" s="296"/>
      <c r="BD195" s="284"/>
      <c r="BE195" s="298"/>
      <c r="BF195" s="305"/>
      <c r="BG195" s="302"/>
      <c r="BH195" s="301"/>
      <c r="BI195" s="302"/>
      <c r="BJ195" s="301"/>
      <c r="BK195" s="302"/>
      <c r="BL195" s="301"/>
      <c r="BM195" s="302"/>
      <c r="BN195" s="301"/>
      <c r="BO195" s="302"/>
      <c r="BP195" s="301"/>
      <c r="BQ195" s="302"/>
      <c r="BR195" s="301"/>
      <c r="BS195" s="302"/>
      <c r="BT195" s="301"/>
      <c r="BU195" s="302"/>
      <c r="BV195" s="301"/>
      <c r="BW195" s="302"/>
      <c r="BX195" s="301"/>
      <c r="BY195" s="302"/>
      <c r="BZ195" s="306"/>
      <c r="CA195" s="304"/>
      <c r="CB195" s="294"/>
      <c r="CC195" s="295"/>
      <c r="CD195" s="296"/>
      <c r="CE195" s="284"/>
      <c r="CF195" s="298"/>
      <c r="CG195" s="307"/>
      <c r="CH195" s="308"/>
      <c r="CI195" s="309"/>
      <c r="CJ195" s="310"/>
      <c r="CK195" s="311"/>
      <c r="CL195" s="26" t="s">
        <v>34</v>
      </c>
      <c r="CM195" s="154" t="s">
        <v>35</v>
      </c>
      <c r="CN195" s="161"/>
      <c r="CO195" s="163"/>
      <c r="CP195" s="315"/>
      <c r="CQ195" s="316"/>
      <c r="CR195" s="317"/>
      <c r="CS195" s="316"/>
      <c r="CT195" s="317"/>
      <c r="CU195" s="316"/>
      <c r="CZ195" s="73">
        <v>4</v>
      </c>
      <c r="DA195" s="73">
        <v>4</v>
      </c>
      <c r="DB195" s="73">
        <v>29</v>
      </c>
      <c r="DC195" s="74">
        <f t="shared" si="563"/>
        <v>45776</v>
      </c>
      <c r="DD195" s="68" t="str">
        <f t="shared" si="603"/>
        <v>火</v>
      </c>
      <c r="DF195" s="156"/>
      <c r="DG195" s="156"/>
    </row>
    <row r="196" spans="1:112" ht="28.5" customHeight="1">
      <c r="A196" s="327">
        <f t="shared" si="572"/>
        <v>45777</v>
      </c>
      <c r="B196" s="365" t="str">
        <f t="shared" si="573"/>
        <v>水</v>
      </c>
      <c r="C196" s="329" t="s">
        <v>27</v>
      </c>
      <c r="D196" s="431"/>
      <c r="E196" s="377"/>
      <c r="F196" s="333">
        <v>15</v>
      </c>
      <c r="G196" s="337"/>
      <c r="H196" s="368"/>
      <c r="I196" s="377"/>
      <c r="J196" s="473"/>
      <c r="K196" s="381"/>
      <c r="L196" s="447"/>
      <c r="M196" s="444"/>
      <c r="N196" s="333"/>
      <c r="O196" s="381"/>
      <c r="P196" s="333"/>
      <c r="Q196" s="381"/>
      <c r="R196" s="333"/>
      <c r="S196" s="377"/>
      <c r="T196" s="333"/>
      <c r="U196" s="377"/>
      <c r="V196" s="468"/>
      <c r="W196" s="444"/>
      <c r="X196" s="333"/>
      <c r="Y196" s="377"/>
      <c r="Z196" s="342">
        <f t="shared" ref="Z196" ca="1" si="765">UDayCou(1,ROW())</f>
        <v>8</v>
      </c>
      <c r="AA196" s="343">
        <f t="shared" ref="AA196" ca="1" si="766">UNightCou(1,ROW())</f>
        <v>7</v>
      </c>
      <c r="AB196" s="344">
        <f t="shared" ref="AB196" ca="1" si="767">UNewCou(1,ROW())</f>
        <v>1</v>
      </c>
      <c r="AC196" s="461">
        <f t="shared" si="577"/>
        <v>45777</v>
      </c>
      <c r="AD196" s="462" t="str">
        <f t="shared" si="578"/>
        <v>水</v>
      </c>
      <c r="AE196" s="333"/>
      <c r="AF196" s="377"/>
      <c r="AG196" s="333"/>
      <c r="AH196" s="381"/>
      <c r="AI196" s="333"/>
      <c r="AJ196" s="381"/>
      <c r="AK196" s="333"/>
      <c r="AL196" s="381"/>
      <c r="AM196" s="333"/>
      <c r="AN196" s="474"/>
      <c r="AO196" s="388">
        <v>15</v>
      </c>
      <c r="AP196" s="337" t="s">
        <v>234</v>
      </c>
      <c r="AQ196" s="333"/>
      <c r="AR196" s="381"/>
      <c r="AS196" s="333"/>
      <c r="AT196" s="377"/>
      <c r="AU196" s="333"/>
      <c r="AV196" s="377"/>
      <c r="AW196" s="335">
        <v>15</v>
      </c>
      <c r="AX196" s="367"/>
      <c r="AY196" s="348"/>
      <c r="AZ196" s="349"/>
      <c r="BA196" s="342">
        <f ca="1">UDayCou(2,ROW())</f>
        <v>6</v>
      </c>
      <c r="BB196" s="343">
        <f ca="1">UNightCou(2,ROW())</f>
        <v>4</v>
      </c>
      <c r="BC196" s="344">
        <f ca="1">UNewCou(2,ROW())</f>
        <v>1</v>
      </c>
      <c r="BD196" s="327">
        <f t="shared" si="579"/>
        <v>45777</v>
      </c>
      <c r="BE196" s="371" t="str">
        <f t="shared" si="580"/>
        <v>水</v>
      </c>
      <c r="BF196" s="350"/>
      <c r="BG196" s="351"/>
      <c r="BH196" s="330"/>
      <c r="BI196" s="351"/>
      <c r="BJ196" s="330"/>
      <c r="BK196" s="351"/>
      <c r="BL196" s="330"/>
      <c r="BM196" s="351"/>
      <c r="BN196" s="330"/>
      <c r="BO196" s="351"/>
      <c r="BP196" s="330"/>
      <c r="BQ196" s="351"/>
      <c r="BR196" s="330"/>
      <c r="BS196" s="351"/>
      <c r="BT196" s="330"/>
      <c r="BU196" s="351"/>
      <c r="BV196" s="330"/>
      <c r="BW196" s="351"/>
      <c r="BX196" s="330"/>
      <c r="BY196" s="351"/>
      <c r="BZ196" s="389"/>
      <c r="CA196" s="341"/>
      <c r="CB196" s="342">
        <f ca="1">UDayCou(3,ROW())</f>
        <v>0</v>
      </c>
      <c r="CC196" s="343">
        <f ca="1">UNightCou(3,ROW())</f>
        <v>0</v>
      </c>
      <c r="CD196" s="344">
        <f ca="1">UNewCou(3,ROW())</f>
        <v>0</v>
      </c>
      <c r="CE196" s="327">
        <f t="shared" si="581"/>
        <v>45777</v>
      </c>
      <c r="CF196" s="371" t="str">
        <f t="shared" si="582"/>
        <v>水</v>
      </c>
      <c r="CG196" s="352">
        <f t="shared" ref="CG196" ca="1" si="768">Z196+BA196+CB196</f>
        <v>14</v>
      </c>
      <c r="CH196" s="353">
        <f t="shared" ref="CH196" ca="1" si="769">AA196+BB196+CC196</f>
        <v>11</v>
      </c>
      <c r="CI196" s="354">
        <f t="shared" ref="CI196" ca="1" si="770">AB196+BC196+CD196</f>
        <v>2</v>
      </c>
      <c r="CJ196" s="355">
        <f ca="1">COUNTIF(INDIRECT("D244:CA245"),"*●*")</f>
        <v>0</v>
      </c>
      <c r="CK196" s="356">
        <f ca="1">COUNTIF(INDIRECT("D244:CA245"),"*㋷*")</f>
        <v>0</v>
      </c>
      <c r="CL196" s="179">
        <f ca="1">CL193/CL190</f>
        <v>15.2</v>
      </c>
      <c r="CM196" s="181">
        <f ca="1">(CL193-CM193)/CL190</f>
        <v>11.933333333333334</v>
      </c>
      <c r="CN196" s="160">
        <f t="shared" si="586"/>
        <v>45777</v>
      </c>
      <c r="CO196" s="162" t="str">
        <f t="shared" si="587"/>
        <v>水</v>
      </c>
      <c r="CP196" s="357"/>
      <c r="CQ196" s="358"/>
      <c r="CR196" s="359"/>
      <c r="CS196" s="358"/>
      <c r="CT196" s="359"/>
      <c r="CU196" s="358"/>
      <c r="CZ196" s="73">
        <v>4</v>
      </c>
      <c r="DA196" s="73">
        <v>4</v>
      </c>
      <c r="DB196" s="73">
        <v>30</v>
      </c>
      <c r="DC196" s="74">
        <f t="shared" si="563"/>
        <v>45777</v>
      </c>
      <c r="DD196" s="68" t="str">
        <f t="shared" si="603"/>
        <v>水</v>
      </c>
      <c r="DF196" s="155">
        <f t="shared" ref="DF196" si="771">$DC196</f>
        <v>45777</v>
      </c>
      <c r="DG196" s="156" t="e">
        <f ca="1">IF($CH196&gt;=設定!$E$12,"✕",IF(SS予約表!$CG196&gt;=設定!$E$12,"△","○"))</f>
        <v>#NAME?</v>
      </c>
    </row>
    <row r="197" spans="1:112" ht="29.25" customHeight="1" thickBot="1">
      <c r="A197" s="284"/>
      <c r="B197" s="285"/>
      <c r="C197" s="286" t="s">
        <v>28</v>
      </c>
      <c r="D197" s="289"/>
      <c r="E197" s="324"/>
      <c r="F197" s="320">
        <v>10</v>
      </c>
      <c r="G197" s="324" t="s">
        <v>50</v>
      </c>
      <c r="H197" s="360"/>
      <c r="I197" s="324"/>
      <c r="J197" s="476"/>
      <c r="K197" s="321"/>
      <c r="L197" s="449">
        <v>10</v>
      </c>
      <c r="M197" s="384" t="s">
        <v>235</v>
      </c>
      <c r="N197" s="320"/>
      <c r="O197" s="321"/>
      <c r="P197" s="320"/>
      <c r="Q197" s="321"/>
      <c r="R197" s="320"/>
      <c r="S197" s="324"/>
      <c r="T197" s="320"/>
      <c r="U197" s="324"/>
      <c r="V197" s="320"/>
      <c r="W197" s="321"/>
      <c r="X197" s="320"/>
      <c r="Y197" s="324"/>
      <c r="Z197" s="294"/>
      <c r="AA197" s="295"/>
      <c r="AB197" s="296"/>
      <c r="AC197" s="463"/>
      <c r="AD197" s="464"/>
      <c r="AE197" s="320"/>
      <c r="AF197" s="324"/>
      <c r="AG197" s="320"/>
      <c r="AH197" s="321"/>
      <c r="AI197" s="320"/>
      <c r="AJ197" s="321"/>
      <c r="AK197" s="320"/>
      <c r="AL197" s="321"/>
      <c r="AM197" s="320">
        <v>10</v>
      </c>
      <c r="AN197" s="324" t="s">
        <v>103</v>
      </c>
      <c r="AO197" s="320"/>
      <c r="AP197" s="321"/>
      <c r="AQ197" s="320"/>
      <c r="AR197" s="321"/>
      <c r="AS197" s="320"/>
      <c r="AT197" s="324"/>
      <c r="AU197" s="320"/>
      <c r="AV197" s="324"/>
      <c r="AW197" s="320"/>
      <c r="AX197" s="321"/>
      <c r="AY197" s="325"/>
      <c r="AZ197" s="326"/>
      <c r="BA197" s="294"/>
      <c r="BB197" s="295"/>
      <c r="BC197" s="296"/>
      <c r="BD197" s="284"/>
      <c r="BE197" s="298"/>
      <c r="BF197" s="305"/>
      <c r="BG197" s="302"/>
      <c r="BH197" s="301"/>
      <c r="BI197" s="302"/>
      <c r="BJ197" s="301"/>
      <c r="BK197" s="302"/>
      <c r="BL197" s="301"/>
      <c r="BM197" s="302"/>
      <c r="BN197" s="301"/>
      <c r="BO197" s="302"/>
      <c r="BP197" s="301"/>
      <c r="BQ197" s="302"/>
      <c r="BR197" s="301"/>
      <c r="BS197" s="302"/>
      <c r="BT197" s="301"/>
      <c r="BU197" s="302"/>
      <c r="BV197" s="301"/>
      <c r="BW197" s="302"/>
      <c r="BX197" s="301"/>
      <c r="BY197" s="302"/>
      <c r="BZ197" s="306"/>
      <c r="CA197" s="304"/>
      <c r="CB197" s="294"/>
      <c r="CC197" s="295"/>
      <c r="CD197" s="296"/>
      <c r="CE197" s="284"/>
      <c r="CF197" s="298"/>
      <c r="CG197" s="307"/>
      <c r="CH197" s="308"/>
      <c r="CI197" s="309"/>
      <c r="CJ197" s="310"/>
      <c r="CK197" s="311"/>
      <c r="CL197" s="180"/>
      <c r="CM197" s="182"/>
      <c r="CN197" s="161"/>
      <c r="CO197" s="163"/>
      <c r="CP197" s="315"/>
      <c r="CQ197" s="316"/>
      <c r="CR197" s="317"/>
      <c r="CS197" s="316"/>
      <c r="CT197" s="317"/>
      <c r="CU197" s="316"/>
      <c r="CZ197" s="73">
        <v>4</v>
      </c>
      <c r="DA197" s="73">
        <v>4</v>
      </c>
      <c r="DB197" s="73">
        <v>30</v>
      </c>
      <c r="DC197" s="74">
        <f t="shared" si="563"/>
        <v>45777</v>
      </c>
      <c r="DD197" s="68" t="str">
        <f t="shared" si="603"/>
        <v>水</v>
      </c>
      <c r="DF197" s="156"/>
      <c r="DG197" s="156"/>
    </row>
    <row r="198" spans="1:112" ht="28.5" customHeight="1">
      <c r="A198" s="491">
        <f t="shared" si="572"/>
        <v>45778</v>
      </c>
      <c r="B198" s="524" t="str">
        <f t="shared" si="573"/>
        <v>木</v>
      </c>
      <c r="C198" s="493" t="s">
        <v>27</v>
      </c>
      <c r="D198" s="550" t="s">
        <v>67</v>
      </c>
      <c r="E198" s="527" t="s">
        <v>236</v>
      </c>
      <c r="F198" s="497" t="s">
        <v>67</v>
      </c>
      <c r="G198" s="527" t="s">
        <v>237</v>
      </c>
      <c r="H198" s="529" t="s">
        <v>67</v>
      </c>
      <c r="I198" s="527" t="s">
        <v>203</v>
      </c>
      <c r="J198" s="570"/>
      <c r="K198" s="526"/>
      <c r="L198" s="557">
        <v>15</v>
      </c>
      <c r="M198" s="562" t="s">
        <v>238</v>
      </c>
      <c r="N198" s="497"/>
      <c r="O198" s="526"/>
      <c r="P198" s="497"/>
      <c r="Q198" s="526"/>
      <c r="R198" s="497" t="s">
        <v>67</v>
      </c>
      <c r="S198" s="527" t="s">
        <v>209</v>
      </c>
      <c r="T198" s="497" t="s">
        <v>67</v>
      </c>
      <c r="U198" s="527" t="s">
        <v>239</v>
      </c>
      <c r="V198" s="497"/>
      <c r="W198" s="526"/>
      <c r="X198" s="497" t="s">
        <v>67</v>
      </c>
      <c r="Y198" s="527" t="s">
        <v>240</v>
      </c>
      <c r="Z198" s="506">
        <f t="shared" ref="Z198" ca="1" si="772">UDayCou(1,ROW())</f>
        <v>7</v>
      </c>
      <c r="AA198" s="507">
        <f t="shared" ref="AA198" ca="1" si="773">UNightCou(1,ROW())</f>
        <v>6</v>
      </c>
      <c r="AB198" s="508">
        <f t="shared" ref="AB198" ca="1" si="774">UNewCou(1,ROW())</f>
        <v>1</v>
      </c>
      <c r="AC198" s="559">
        <f t="shared" si="577"/>
        <v>45778</v>
      </c>
      <c r="AD198" s="560" t="str">
        <f t="shared" si="578"/>
        <v>木</v>
      </c>
      <c r="AE198" s="497" t="s">
        <v>67</v>
      </c>
      <c r="AF198" s="527" t="s">
        <v>207</v>
      </c>
      <c r="AG198" s="497"/>
      <c r="AH198" s="526"/>
      <c r="AI198" s="497"/>
      <c r="AJ198" s="526" t="s">
        <v>241</v>
      </c>
      <c r="AK198" s="497"/>
      <c r="AL198" s="526"/>
      <c r="AM198" s="497" t="s">
        <v>67</v>
      </c>
      <c r="AN198" s="527" t="s">
        <v>242</v>
      </c>
      <c r="AO198" s="497"/>
      <c r="AP198" s="526"/>
      <c r="AQ198" s="497"/>
      <c r="AR198" s="526"/>
      <c r="AS198" s="497" t="s">
        <v>67</v>
      </c>
      <c r="AT198" s="527" t="s">
        <v>243</v>
      </c>
      <c r="AU198" s="497" t="s">
        <v>67</v>
      </c>
      <c r="AV198" s="527" t="s">
        <v>80</v>
      </c>
      <c r="AW198" s="497"/>
      <c r="AX198" s="526"/>
      <c r="AY198" s="512"/>
      <c r="AZ198" s="513"/>
      <c r="BA198" s="506">
        <f ca="1">UDayCou(2,ROW())</f>
        <v>6</v>
      </c>
      <c r="BB198" s="507">
        <f ca="1">UNightCou(2,ROW())</f>
        <v>6</v>
      </c>
      <c r="BC198" s="508">
        <f ca="1">UNewCou(2,ROW())</f>
        <v>0</v>
      </c>
      <c r="BD198" s="491">
        <f t="shared" si="579"/>
        <v>45778</v>
      </c>
      <c r="BE198" s="531" t="str">
        <f t="shared" si="580"/>
        <v>木</v>
      </c>
      <c r="BF198" s="514"/>
      <c r="BG198" s="515"/>
      <c r="BH198" s="494"/>
      <c r="BI198" s="515"/>
      <c r="BJ198" s="494"/>
      <c r="BK198" s="515"/>
      <c r="BL198" s="494"/>
      <c r="BM198" s="515"/>
      <c r="BN198" s="494"/>
      <c r="BO198" s="515"/>
      <c r="BP198" s="494"/>
      <c r="BQ198" s="515"/>
      <c r="BR198" s="494"/>
      <c r="BS198" s="515"/>
      <c r="BT198" s="494"/>
      <c r="BU198" s="515"/>
      <c r="BV198" s="494"/>
      <c r="BW198" s="515"/>
      <c r="BX198" s="494"/>
      <c r="BY198" s="515"/>
      <c r="BZ198" s="530"/>
      <c r="CA198" s="505"/>
      <c r="CB198" s="506">
        <f ca="1">UDayCou(3,ROW())</f>
        <v>0</v>
      </c>
      <c r="CC198" s="507">
        <f ca="1">UNightCou(3,ROW())</f>
        <v>0</v>
      </c>
      <c r="CD198" s="508">
        <f ca="1">UNewCou(3,ROW())</f>
        <v>0</v>
      </c>
      <c r="CE198" s="491">
        <f t="shared" si="581"/>
        <v>45778</v>
      </c>
      <c r="CF198" s="531" t="str">
        <f t="shared" si="582"/>
        <v>木</v>
      </c>
      <c r="CG198" s="516">
        <f t="shared" ref="CG198" ca="1" si="775">Z198+BA198+CB198</f>
        <v>13</v>
      </c>
      <c r="CH198" s="517">
        <f t="shared" ref="CH198" ca="1" si="776">AA198+BB198+CC198</f>
        <v>12</v>
      </c>
      <c r="CI198" s="518">
        <f t="shared" ref="CI198" ca="1" si="777">AB198+BC198+CD198</f>
        <v>1</v>
      </c>
      <c r="CJ198" s="519">
        <f ca="1">COUNTIF(INDIRECT("D246:CA247"),"*●*")</f>
        <v>0</v>
      </c>
      <c r="CK198" s="520">
        <f ca="1">COUNTIF(INDIRECT("D246:CA247"),"*㋷*")</f>
        <v>0</v>
      </c>
      <c r="CL198" s="76"/>
      <c r="CM198" s="77"/>
      <c r="CN198" s="164">
        <f t="shared" si="586"/>
        <v>45778</v>
      </c>
      <c r="CO198" s="165" t="str">
        <f t="shared" si="587"/>
        <v>木</v>
      </c>
      <c r="CP198" s="521"/>
      <c r="CQ198" s="522"/>
      <c r="CR198" s="523"/>
      <c r="CS198" s="522"/>
      <c r="CT198" s="523"/>
      <c r="CU198" s="522"/>
      <c r="CZ198" s="73">
        <v>5</v>
      </c>
      <c r="DA198" s="73">
        <v>5</v>
      </c>
      <c r="DB198" s="73">
        <v>1</v>
      </c>
      <c r="DC198" s="74">
        <f t="shared" si="563"/>
        <v>45778</v>
      </c>
      <c r="DD198" s="68" t="str">
        <f t="shared" si="603"/>
        <v>木</v>
      </c>
      <c r="DE198" s="74"/>
      <c r="DF198" s="155">
        <f t="shared" ref="DF198" si="778">$DC198</f>
        <v>45778</v>
      </c>
      <c r="DG198" s="156" t="e">
        <f ca="1">IF($CH198&gt;=設定!$E$12,"✕",IF(SS予約表!$CG198&gt;=設定!$E$12,"△","○"))</f>
        <v>#NAME?</v>
      </c>
      <c r="DH198" s="68" t="s">
        <v>36</v>
      </c>
    </row>
    <row r="199" spans="1:112" ht="29.25" customHeight="1">
      <c r="A199" s="284"/>
      <c r="B199" s="285"/>
      <c r="C199" s="286" t="s">
        <v>28</v>
      </c>
      <c r="D199" s="289"/>
      <c r="E199" s="324"/>
      <c r="F199" s="320"/>
      <c r="G199" s="324"/>
      <c r="H199" s="360"/>
      <c r="I199" s="324"/>
      <c r="J199" s="476"/>
      <c r="K199" s="321"/>
      <c r="L199" s="449"/>
      <c r="M199" s="443"/>
      <c r="N199" s="320"/>
      <c r="O199" s="321"/>
      <c r="P199" s="320"/>
      <c r="Q199" s="321"/>
      <c r="R199" s="320"/>
      <c r="S199" s="324"/>
      <c r="T199" s="320"/>
      <c r="U199" s="324"/>
      <c r="V199" s="320"/>
      <c r="W199" s="321"/>
      <c r="X199" s="320"/>
      <c r="Y199" s="324"/>
      <c r="Z199" s="294"/>
      <c r="AA199" s="295"/>
      <c r="AB199" s="296"/>
      <c r="AC199" s="463"/>
      <c r="AD199" s="464"/>
      <c r="AE199" s="320"/>
      <c r="AF199" s="324"/>
      <c r="AG199" s="320"/>
      <c r="AH199" s="321"/>
      <c r="AI199" s="320">
        <v>10</v>
      </c>
      <c r="AJ199" s="324" t="s">
        <v>160</v>
      </c>
      <c r="AK199" s="320"/>
      <c r="AL199" s="321"/>
      <c r="AM199" s="320"/>
      <c r="AN199" s="324"/>
      <c r="AO199" s="320"/>
      <c r="AP199" s="321"/>
      <c r="AQ199" s="320"/>
      <c r="AR199" s="321"/>
      <c r="AS199" s="320"/>
      <c r="AT199" s="324"/>
      <c r="AU199" s="320"/>
      <c r="AV199" s="324"/>
      <c r="AW199" s="320">
        <v>10</v>
      </c>
      <c r="AX199" s="324" t="s">
        <v>50</v>
      </c>
      <c r="AY199" s="325"/>
      <c r="AZ199" s="326"/>
      <c r="BA199" s="294"/>
      <c r="BB199" s="295"/>
      <c r="BC199" s="296"/>
      <c r="BD199" s="284"/>
      <c r="BE199" s="298"/>
      <c r="BF199" s="305"/>
      <c r="BG199" s="302"/>
      <c r="BH199" s="301"/>
      <c r="BI199" s="302"/>
      <c r="BJ199" s="301"/>
      <c r="BK199" s="302"/>
      <c r="BL199" s="301"/>
      <c r="BM199" s="302"/>
      <c r="BN199" s="301"/>
      <c r="BO199" s="302"/>
      <c r="BP199" s="301"/>
      <c r="BQ199" s="302"/>
      <c r="BR199" s="301"/>
      <c r="BS199" s="302"/>
      <c r="BT199" s="301"/>
      <c r="BU199" s="302"/>
      <c r="BV199" s="301"/>
      <c r="BW199" s="302"/>
      <c r="BX199" s="301"/>
      <c r="BY199" s="302"/>
      <c r="BZ199" s="306"/>
      <c r="CA199" s="304"/>
      <c r="CB199" s="294"/>
      <c r="CC199" s="295"/>
      <c r="CD199" s="296"/>
      <c r="CE199" s="284"/>
      <c r="CF199" s="298"/>
      <c r="CG199" s="307"/>
      <c r="CH199" s="308"/>
      <c r="CI199" s="309"/>
      <c r="CJ199" s="310"/>
      <c r="CK199" s="311"/>
      <c r="CL199" s="75"/>
      <c r="CN199" s="161"/>
      <c r="CO199" s="163"/>
      <c r="CP199" s="315"/>
      <c r="CQ199" s="316"/>
      <c r="CR199" s="317"/>
      <c r="CS199" s="316"/>
      <c r="CT199" s="317"/>
      <c r="CU199" s="316"/>
      <c r="CZ199" s="73">
        <v>5</v>
      </c>
      <c r="DA199" s="73">
        <v>5</v>
      </c>
      <c r="DB199" s="73">
        <v>1</v>
      </c>
      <c r="DC199" s="74">
        <f t="shared" si="563"/>
        <v>45778</v>
      </c>
      <c r="DD199" s="68" t="str">
        <f t="shared" si="603"/>
        <v>木</v>
      </c>
      <c r="DF199" s="156"/>
      <c r="DG199" s="156"/>
    </row>
    <row r="200" spans="1:112" ht="28.5" customHeight="1">
      <c r="A200" s="327">
        <f t="shared" si="572"/>
        <v>45779</v>
      </c>
      <c r="B200" s="365" t="str">
        <f t="shared" si="573"/>
        <v>金</v>
      </c>
      <c r="C200" s="329" t="s">
        <v>27</v>
      </c>
      <c r="D200" s="431"/>
      <c r="E200" s="377"/>
      <c r="F200" s="333">
        <v>15</v>
      </c>
      <c r="G200" s="337"/>
      <c r="H200" s="368"/>
      <c r="I200" s="377"/>
      <c r="J200" s="473"/>
      <c r="K200" s="381"/>
      <c r="L200" s="447"/>
      <c r="M200" s="444"/>
      <c r="N200" s="333"/>
      <c r="O200" s="381"/>
      <c r="P200" s="333"/>
      <c r="Q200" s="381"/>
      <c r="R200" s="333"/>
      <c r="S200" s="377"/>
      <c r="T200" s="333"/>
      <c r="U200" s="377"/>
      <c r="V200" s="333"/>
      <c r="W200" s="381" t="s">
        <v>91</v>
      </c>
      <c r="X200" s="333"/>
      <c r="Y200" s="377"/>
      <c r="Z200" s="342">
        <f t="shared" ref="Z200" ca="1" si="779">UDayCou(1,ROW())</f>
        <v>7</v>
      </c>
      <c r="AA200" s="343">
        <f t="shared" ref="AA200" ca="1" si="780">UNightCou(1,ROW())</f>
        <v>6</v>
      </c>
      <c r="AB200" s="344">
        <f t="shared" ref="AB200" ca="1" si="781">UNewCou(1,ROW())</f>
        <v>1</v>
      </c>
      <c r="AC200" s="461">
        <f t="shared" si="577"/>
        <v>45779</v>
      </c>
      <c r="AD200" s="462" t="str">
        <f t="shared" si="578"/>
        <v>金</v>
      </c>
      <c r="AE200" s="333"/>
      <c r="AF200" s="377"/>
      <c r="AG200" s="333"/>
      <c r="AH200" s="381"/>
      <c r="AI200" s="333"/>
      <c r="AJ200" s="377"/>
      <c r="AK200" s="333"/>
      <c r="AL200" s="381"/>
      <c r="AM200" s="333"/>
      <c r="AN200" s="377"/>
      <c r="AO200" s="333"/>
      <c r="AP200" s="381"/>
      <c r="AQ200" s="333"/>
      <c r="AR200" s="381"/>
      <c r="AS200" s="333"/>
      <c r="AT200" s="377"/>
      <c r="AU200" s="333"/>
      <c r="AV200" s="377"/>
      <c r="AW200" s="333"/>
      <c r="AX200" s="377"/>
      <c r="AY200" s="348"/>
      <c r="AZ200" s="349"/>
      <c r="BA200" s="342">
        <f ca="1">UDayCou(2,ROW())</f>
        <v>8</v>
      </c>
      <c r="BB200" s="343">
        <f ca="1">UNightCou(2,ROW())</f>
        <v>8</v>
      </c>
      <c r="BC200" s="344">
        <f ca="1">UNewCou(2,ROW())</f>
        <v>0</v>
      </c>
      <c r="BD200" s="327">
        <f t="shared" si="579"/>
        <v>45779</v>
      </c>
      <c r="BE200" s="371" t="str">
        <f t="shared" si="580"/>
        <v>金</v>
      </c>
      <c r="BF200" s="350"/>
      <c r="BG200" s="351"/>
      <c r="BH200" s="330"/>
      <c r="BI200" s="351"/>
      <c r="BJ200" s="330"/>
      <c r="BK200" s="351"/>
      <c r="BL200" s="330"/>
      <c r="BM200" s="351"/>
      <c r="BN200" s="330"/>
      <c r="BO200" s="351"/>
      <c r="BP200" s="330"/>
      <c r="BQ200" s="351"/>
      <c r="BR200" s="330"/>
      <c r="BS200" s="351"/>
      <c r="BT200" s="330"/>
      <c r="BU200" s="351"/>
      <c r="BV200" s="330"/>
      <c r="BW200" s="351"/>
      <c r="BX200" s="330"/>
      <c r="BY200" s="351"/>
      <c r="BZ200" s="389"/>
      <c r="CA200" s="341"/>
      <c r="CB200" s="342">
        <f ca="1">UDayCou(3,ROW())</f>
        <v>0</v>
      </c>
      <c r="CC200" s="343">
        <f ca="1">UNightCou(3,ROW())</f>
        <v>0</v>
      </c>
      <c r="CD200" s="344">
        <f ca="1">UNewCou(3,ROW())</f>
        <v>0</v>
      </c>
      <c r="CE200" s="327">
        <f t="shared" si="581"/>
        <v>45779</v>
      </c>
      <c r="CF200" s="371" t="str">
        <f t="shared" si="582"/>
        <v>金</v>
      </c>
      <c r="CG200" s="352">
        <f t="shared" ref="CG200" ca="1" si="782">Z200+BA200+CB200</f>
        <v>15</v>
      </c>
      <c r="CH200" s="353">
        <f t="shared" ref="CH200" ca="1" si="783">AA200+BB200+CC200</f>
        <v>14</v>
      </c>
      <c r="CI200" s="354">
        <f t="shared" ref="CI200" ca="1" si="784">AB200+BC200+CD200</f>
        <v>1</v>
      </c>
      <c r="CJ200" s="355">
        <f ca="1">COUNTIF(INDIRECT("D248:CA249"),"*●*")</f>
        <v>0</v>
      </c>
      <c r="CK200" s="356">
        <f ca="1">COUNTIF(INDIRECT("D248:CA249"),"*㋷*")</f>
        <v>0</v>
      </c>
      <c r="CL200" s="75"/>
      <c r="CN200" s="160">
        <f t="shared" si="586"/>
        <v>45779</v>
      </c>
      <c r="CO200" s="162" t="str">
        <f t="shared" si="587"/>
        <v>金</v>
      </c>
      <c r="CP200" s="357"/>
      <c r="CQ200" s="358"/>
      <c r="CR200" s="359"/>
      <c r="CS200" s="358"/>
      <c r="CT200" s="359"/>
      <c r="CU200" s="358"/>
      <c r="CZ200" s="73">
        <v>5</v>
      </c>
      <c r="DA200" s="73">
        <v>5</v>
      </c>
      <c r="DB200" s="73">
        <v>2</v>
      </c>
      <c r="DC200" s="74">
        <f t="shared" si="563"/>
        <v>45779</v>
      </c>
      <c r="DD200" s="68" t="str">
        <f t="shared" si="603"/>
        <v>金</v>
      </c>
      <c r="DE200" s="74"/>
      <c r="DF200" s="155">
        <f t="shared" ref="DF200" si="785">$DC200</f>
        <v>45779</v>
      </c>
      <c r="DG200" s="156" t="e">
        <f ca="1">IF($CH200&gt;=設定!$E$12,"✕",IF(SS予約表!$CG200&gt;=設定!$E$12,"△","○"))</f>
        <v>#NAME?</v>
      </c>
    </row>
    <row r="201" spans="1:112" ht="29.25" customHeight="1">
      <c r="A201" s="284"/>
      <c r="B201" s="285"/>
      <c r="C201" s="286" t="s">
        <v>28</v>
      </c>
      <c r="D201" s="289"/>
      <c r="E201" s="324"/>
      <c r="F201" s="320"/>
      <c r="G201" s="321"/>
      <c r="H201" s="360"/>
      <c r="I201" s="324"/>
      <c r="J201" s="476"/>
      <c r="K201" s="321"/>
      <c r="L201" s="449"/>
      <c r="M201" s="443"/>
      <c r="N201" s="476"/>
      <c r="O201" s="321"/>
      <c r="P201" s="320"/>
      <c r="Q201" s="321"/>
      <c r="R201" s="320"/>
      <c r="S201" s="324"/>
      <c r="T201" s="320"/>
      <c r="U201" s="324"/>
      <c r="V201" s="299">
        <v>10</v>
      </c>
      <c r="W201" s="322" t="s">
        <v>244</v>
      </c>
      <c r="X201" s="320"/>
      <c r="Y201" s="324"/>
      <c r="Z201" s="294"/>
      <c r="AA201" s="295"/>
      <c r="AB201" s="296"/>
      <c r="AC201" s="463"/>
      <c r="AD201" s="464"/>
      <c r="AE201" s="320"/>
      <c r="AF201" s="324"/>
      <c r="AG201" s="320">
        <v>10</v>
      </c>
      <c r="AH201" s="324" t="s">
        <v>111</v>
      </c>
      <c r="AI201" s="320"/>
      <c r="AJ201" s="324"/>
      <c r="AK201" s="320"/>
      <c r="AL201" s="321"/>
      <c r="AM201" s="320"/>
      <c r="AN201" s="324"/>
      <c r="AO201" s="320">
        <v>10</v>
      </c>
      <c r="AP201" s="324" t="s">
        <v>113</v>
      </c>
      <c r="AQ201" s="320"/>
      <c r="AR201" s="321"/>
      <c r="AS201" s="320"/>
      <c r="AT201" s="324"/>
      <c r="AU201" s="320"/>
      <c r="AV201" s="324"/>
      <c r="AW201" s="320"/>
      <c r="AX201" s="324"/>
      <c r="AY201" s="325"/>
      <c r="AZ201" s="326"/>
      <c r="BA201" s="294"/>
      <c r="BB201" s="295"/>
      <c r="BC201" s="296"/>
      <c r="BD201" s="284"/>
      <c r="BE201" s="298"/>
      <c r="BF201" s="305"/>
      <c r="BG201" s="302"/>
      <c r="BH201" s="301"/>
      <c r="BI201" s="302"/>
      <c r="BJ201" s="301"/>
      <c r="BK201" s="302"/>
      <c r="BL201" s="301"/>
      <c r="BM201" s="302"/>
      <c r="BN201" s="301"/>
      <c r="BO201" s="302"/>
      <c r="BP201" s="301"/>
      <c r="BQ201" s="302"/>
      <c r="BR201" s="301"/>
      <c r="BS201" s="302"/>
      <c r="BT201" s="301"/>
      <c r="BU201" s="302"/>
      <c r="BV201" s="301"/>
      <c r="BW201" s="302"/>
      <c r="BX201" s="301"/>
      <c r="BY201" s="302"/>
      <c r="BZ201" s="306"/>
      <c r="CA201" s="304"/>
      <c r="CB201" s="294"/>
      <c r="CC201" s="295"/>
      <c r="CD201" s="296"/>
      <c r="CE201" s="284"/>
      <c r="CF201" s="298"/>
      <c r="CG201" s="307"/>
      <c r="CH201" s="308"/>
      <c r="CI201" s="309"/>
      <c r="CJ201" s="310"/>
      <c r="CK201" s="311"/>
      <c r="CL201" s="75"/>
      <c r="CN201" s="161"/>
      <c r="CO201" s="163"/>
      <c r="CP201" s="476">
        <v>10</v>
      </c>
      <c r="CQ201" s="324" t="s">
        <v>215</v>
      </c>
      <c r="CR201" s="317"/>
      <c r="CS201" s="316"/>
      <c r="CT201" s="317"/>
      <c r="CU201" s="316"/>
      <c r="CZ201" s="73">
        <v>5</v>
      </c>
      <c r="DA201" s="73">
        <v>5</v>
      </c>
      <c r="DB201" s="73">
        <v>2</v>
      </c>
      <c r="DC201" s="74">
        <f t="shared" si="563"/>
        <v>45779</v>
      </c>
      <c r="DD201" s="68" t="str">
        <f t="shared" si="603"/>
        <v>金</v>
      </c>
      <c r="DF201" s="156"/>
      <c r="DG201" s="156"/>
    </row>
    <row r="202" spans="1:112" ht="28.5" customHeight="1">
      <c r="A202" s="327">
        <f t="shared" si="572"/>
        <v>45780</v>
      </c>
      <c r="B202" s="393" t="str">
        <f t="shared" si="573"/>
        <v>土</v>
      </c>
      <c r="C202" s="329" t="s">
        <v>27</v>
      </c>
      <c r="D202" s="431"/>
      <c r="E202" s="377"/>
      <c r="F202" s="333"/>
      <c r="G202" s="381"/>
      <c r="H202" s="368"/>
      <c r="I202" s="377"/>
      <c r="J202" s="473"/>
      <c r="K202" s="381"/>
      <c r="L202" s="447"/>
      <c r="M202" s="444"/>
      <c r="N202" s="473"/>
      <c r="O202" s="381"/>
      <c r="P202" s="333"/>
      <c r="Q202" s="381"/>
      <c r="R202" s="333"/>
      <c r="S202" s="377"/>
      <c r="T202" s="333"/>
      <c r="U202" s="377"/>
      <c r="V202" s="335"/>
      <c r="W202" s="409"/>
      <c r="X202" s="333"/>
      <c r="Y202" s="377"/>
      <c r="Z202" s="342">
        <f t="shared" ref="Z202" ca="1" si="786">UDayCou(1,ROW())</f>
        <v>9</v>
      </c>
      <c r="AA202" s="343">
        <f t="shared" ref="AA202" ca="1" si="787">UNightCou(1,ROW())</f>
        <v>9</v>
      </c>
      <c r="AB202" s="344">
        <f t="shared" ref="AB202" ca="1" si="788">UNewCou(1,ROW())</f>
        <v>1</v>
      </c>
      <c r="AC202" s="461">
        <f t="shared" si="577"/>
        <v>45780</v>
      </c>
      <c r="AD202" s="465" t="str">
        <f t="shared" si="578"/>
        <v>土</v>
      </c>
      <c r="AE202" s="333">
        <v>15</v>
      </c>
      <c r="AF202" s="337"/>
      <c r="AG202" s="333"/>
      <c r="AH202" s="377"/>
      <c r="AI202" s="333"/>
      <c r="AJ202" s="377"/>
      <c r="AK202" s="333"/>
      <c r="AL202" s="381"/>
      <c r="AM202" s="333"/>
      <c r="AN202" s="377"/>
      <c r="AO202" s="333"/>
      <c r="AP202" s="377"/>
      <c r="AQ202" s="333"/>
      <c r="AR202" s="381"/>
      <c r="AS202" s="333">
        <v>15</v>
      </c>
      <c r="AT202" s="377"/>
      <c r="AU202" s="333"/>
      <c r="AV202" s="377"/>
      <c r="AW202" s="333"/>
      <c r="AX202" s="377"/>
      <c r="AY202" s="348"/>
      <c r="AZ202" s="349"/>
      <c r="BA202" s="342">
        <f ca="1">UDayCou(2,ROW())</f>
        <v>9</v>
      </c>
      <c r="BB202" s="343">
        <f ca="1">UNightCou(2,ROW())</f>
        <v>8</v>
      </c>
      <c r="BC202" s="344">
        <f ca="1">UNewCou(2,ROW())</f>
        <v>0</v>
      </c>
      <c r="BD202" s="327">
        <f t="shared" si="579"/>
        <v>45780</v>
      </c>
      <c r="BE202" s="394" t="str">
        <f t="shared" si="580"/>
        <v>土</v>
      </c>
      <c r="BF202" s="350"/>
      <c r="BG202" s="351"/>
      <c r="BH202" s="330"/>
      <c r="BI202" s="351"/>
      <c r="BJ202" s="330"/>
      <c r="BK202" s="351"/>
      <c r="BL202" s="330"/>
      <c r="BM202" s="351"/>
      <c r="BN202" s="330"/>
      <c r="BO202" s="351"/>
      <c r="BP202" s="330"/>
      <c r="BQ202" s="351"/>
      <c r="BR202" s="330"/>
      <c r="BS202" s="351"/>
      <c r="BT202" s="330"/>
      <c r="BU202" s="351"/>
      <c r="BV202" s="330"/>
      <c r="BW202" s="351"/>
      <c r="BX202" s="330"/>
      <c r="BY202" s="351"/>
      <c r="BZ202" s="389"/>
      <c r="CA202" s="341"/>
      <c r="CB202" s="342">
        <f ca="1">UDayCou(3,ROW())</f>
        <v>0</v>
      </c>
      <c r="CC202" s="343">
        <f ca="1">UNightCou(3,ROW())</f>
        <v>0</v>
      </c>
      <c r="CD202" s="344">
        <f ca="1">UNewCou(3,ROW())</f>
        <v>0</v>
      </c>
      <c r="CE202" s="327">
        <f t="shared" si="581"/>
        <v>45780</v>
      </c>
      <c r="CF202" s="394" t="str">
        <f t="shared" si="582"/>
        <v>土</v>
      </c>
      <c r="CG202" s="352">
        <f t="shared" ref="CG202" ca="1" si="789">Z202+BA202+CB202</f>
        <v>18</v>
      </c>
      <c r="CH202" s="353">
        <f t="shared" ref="CH202" ca="1" si="790">AA202+BB202+CC202</f>
        <v>17</v>
      </c>
      <c r="CI202" s="354">
        <f t="shared" ref="CI202" ca="1" si="791">AB202+BC202+CD202</f>
        <v>1</v>
      </c>
      <c r="CJ202" s="355">
        <f ca="1">COUNTIF(INDIRECT("D250:CA251"),"*●*")</f>
        <v>0</v>
      </c>
      <c r="CK202" s="356">
        <f ca="1">COUNTIF(INDIRECT("D250:CA251"),"*㋷*")</f>
        <v>0</v>
      </c>
      <c r="CL202" s="75"/>
      <c r="CN202" s="160">
        <f t="shared" si="586"/>
        <v>45780</v>
      </c>
      <c r="CO202" s="167" t="str">
        <f t="shared" si="587"/>
        <v>土</v>
      </c>
      <c r="CP202" s="473"/>
      <c r="CQ202" s="377"/>
      <c r="CR202" s="359"/>
      <c r="CS202" s="358"/>
      <c r="CT202" s="359"/>
      <c r="CU202" s="358"/>
      <c r="CZ202" s="73">
        <v>5</v>
      </c>
      <c r="DA202" s="73">
        <v>5</v>
      </c>
      <c r="DB202" s="73">
        <v>3</v>
      </c>
      <c r="DC202" s="74">
        <f t="shared" si="563"/>
        <v>45780</v>
      </c>
      <c r="DD202" s="68" t="str">
        <f t="shared" si="603"/>
        <v>土</v>
      </c>
      <c r="DF202" s="155">
        <f t="shared" ref="DF202" si="792">$DC202</f>
        <v>45780</v>
      </c>
      <c r="DG202" s="156" t="e">
        <f ca="1">IF($CH202&gt;=設定!$E$12,"✕",IF(SS予約表!$CG202&gt;=設定!$E$12,"△","○"))</f>
        <v>#NAME?</v>
      </c>
    </row>
    <row r="203" spans="1:112" ht="29.25" customHeight="1">
      <c r="A203" s="284"/>
      <c r="B203" s="285"/>
      <c r="C203" s="286" t="s">
        <v>28</v>
      </c>
      <c r="D203" s="289"/>
      <c r="E203" s="324"/>
      <c r="F203" s="320"/>
      <c r="G203" s="321"/>
      <c r="H203" s="360"/>
      <c r="I203" s="324"/>
      <c r="J203" s="476">
        <v>10</v>
      </c>
      <c r="K203" s="324" t="s">
        <v>142</v>
      </c>
      <c r="L203" s="449">
        <v>10</v>
      </c>
      <c r="M203" s="384" t="s">
        <v>142</v>
      </c>
      <c r="N203" s="476"/>
      <c r="O203" s="321"/>
      <c r="P203" s="320">
        <v>10</v>
      </c>
      <c r="Q203" s="324" t="s">
        <v>245</v>
      </c>
      <c r="R203" s="320"/>
      <c r="S203" s="324"/>
      <c r="T203" s="320"/>
      <c r="U203" s="324"/>
      <c r="V203" s="299"/>
      <c r="W203" s="322"/>
      <c r="X203" s="320"/>
      <c r="Y203" s="324"/>
      <c r="Z203" s="294"/>
      <c r="AA203" s="295"/>
      <c r="AB203" s="296"/>
      <c r="AC203" s="463"/>
      <c r="AD203" s="464"/>
      <c r="AE203" s="320"/>
      <c r="AF203" s="321"/>
      <c r="AG203" s="320"/>
      <c r="AH203" s="324"/>
      <c r="AI203" s="320"/>
      <c r="AJ203" s="324"/>
      <c r="AK203" s="320"/>
      <c r="AL203" s="321"/>
      <c r="AM203" s="320"/>
      <c r="AN203" s="324"/>
      <c r="AO203" s="320"/>
      <c r="AP203" s="324"/>
      <c r="AQ203" s="320">
        <v>10</v>
      </c>
      <c r="AR203" s="324" t="s">
        <v>103</v>
      </c>
      <c r="AS203" s="449" t="s">
        <v>39</v>
      </c>
      <c r="AT203" s="384"/>
      <c r="AU203" s="320"/>
      <c r="AV203" s="324"/>
      <c r="AW203" s="320"/>
      <c r="AX203" s="324"/>
      <c r="AY203" s="325"/>
      <c r="AZ203" s="326"/>
      <c r="BA203" s="294"/>
      <c r="BB203" s="295"/>
      <c r="BC203" s="296"/>
      <c r="BD203" s="284"/>
      <c r="BE203" s="298"/>
      <c r="BF203" s="305"/>
      <c r="BG203" s="302"/>
      <c r="BH203" s="301"/>
      <c r="BI203" s="302"/>
      <c r="BJ203" s="301"/>
      <c r="BK203" s="302"/>
      <c r="BL203" s="301"/>
      <c r="BM203" s="302"/>
      <c r="BN203" s="301"/>
      <c r="BO203" s="302"/>
      <c r="BP203" s="301"/>
      <c r="BQ203" s="302"/>
      <c r="BR203" s="301"/>
      <c r="BS203" s="302"/>
      <c r="BT203" s="301"/>
      <c r="BU203" s="302"/>
      <c r="BV203" s="301"/>
      <c r="BW203" s="302"/>
      <c r="BX203" s="301"/>
      <c r="BY203" s="302"/>
      <c r="BZ203" s="306"/>
      <c r="CA203" s="304"/>
      <c r="CB203" s="294"/>
      <c r="CC203" s="295"/>
      <c r="CD203" s="296"/>
      <c r="CE203" s="284"/>
      <c r="CF203" s="298"/>
      <c r="CG203" s="307"/>
      <c r="CH203" s="308"/>
      <c r="CI203" s="309"/>
      <c r="CJ203" s="310"/>
      <c r="CK203" s="311"/>
      <c r="CL203" s="75"/>
      <c r="CN203" s="161"/>
      <c r="CO203" s="163"/>
      <c r="CP203" s="476"/>
      <c r="CQ203" s="324"/>
      <c r="CR203" s="317"/>
      <c r="CS203" s="316"/>
      <c r="CT203" s="317"/>
      <c r="CU203" s="316"/>
      <c r="CZ203" s="73">
        <v>5</v>
      </c>
      <c r="DA203" s="73">
        <v>5</v>
      </c>
      <c r="DB203" s="73">
        <v>3</v>
      </c>
      <c r="DC203" s="74">
        <f t="shared" si="563"/>
        <v>45780</v>
      </c>
      <c r="DD203" s="68" t="str">
        <f t="shared" si="603"/>
        <v>土</v>
      </c>
      <c r="DF203" s="156"/>
      <c r="DG203" s="156"/>
    </row>
    <row r="204" spans="1:112" ht="28.5" customHeight="1">
      <c r="A204" s="327">
        <f t="shared" si="572"/>
        <v>45781</v>
      </c>
      <c r="B204" s="328" t="str">
        <f t="shared" si="573"/>
        <v>日</v>
      </c>
      <c r="C204" s="329" t="s">
        <v>27</v>
      </c>
      <c r="D204" s="431"/>
      <c r="E204" s="377"/>
      <c r="F204" s="333"/>
      <c r="G204" s="381"/>
      <c r="H204" s="368"/>
      <c r="I204" s="377"/>
      <c r="J204" s="473"/>
      <c r="K204" s="377"/>
      <c r="L204" s="447" t="s">
        <v>39</v>
      </c>
      <c r="M204" s="390"/>
      <c r="N204" s="473"/>
      <c r="O204" s="381"/>
      <c r="P204" s="333"/>
      <c r="Q204" s="377"/>
      <c r="R204" s="333"/>
      <c r="S204" s="377"/>
      <c r="T204" s="333"/>
      <c r="U204" s="377"/>
      <c r="V204" s="335"/>
      <c r="W204" s="409"/>
      <c r="X204" s="333">
        <v>15</v>
      </c>
      <c r="Y204" s="337"/>
      <c r="Z204" s="342">
        <f t="shared" ref="Z204" ca="1" si="793">UDayCou(1,ROW())</f>
        <v>9</v>
      </c>
      <c r="AA204" s="343">
        <f t="shared" ref="AA204" ca="1" si="794">UNightCou(1,ROW())</f>
        <v>8</v>
      </c>
      <c r="AB204" s="344">
        <f t="shared" ref="AB204" ca="1" si="795">UNewCou(1,ROW())</f>
        <v>1</v>
      </c>
      <c r="AC204" s="461">
        <f t="shared" si="577"/>
        <v>45781</v>
      </c>
      <c r="AD204" s="466" t="str">
        <f t="shared" si="578"/>
        <v>日</v>
      </c>
      <c r="AE204" s="333"/>
      <c r="AF204" s="381"/>
      <c r="AG204" s="333"/>
      <c r="AH204" s="377"/>
      <c r="AI204" s="333"/>
      <c r="AJ204" s="377"/>
      <c r="AK204" s="333"/>
      <c r="AL204" s="381"/>
      <c r="AM204" s="333"/>
      <c r="AN204" s="377"/>
      <c r="AO204" s="333"/>
      <c r="AP204" s="377"/>
      <c r="AQ204" s="333"/>
      <c r="AR204" s="377"/>
      <c r="AS204" s="447" t="s">
        <v>39</v>
      </c>
      <c r="AT204" s="390"/>
      <c r="AU204" s="333"/>
      <c r="AV204" s="377"/>
      <c r="AW204" s="333"/>
      <c r="AX204" s="377"/>
      <c r="AY204" s="348"/>
      <c r="AZ204" s="349"/>
      <c r="BA204" s="342">
        <f ca="1">UDayCou(2,ROW())</f>
        <v>8</v>
      </c>
      <c r="BB204" s="343">
        <f ca="1">UNightCou(2,ROW())</f>
        <v>8</v>
      </c>
      <c r="BC204" s="344">
        <f ca="1">UNewCou(2,ROW())</f>
        <v>0</v>
      </c>
      <c r="BD204" s="327">
        <f t="shared" si="579"/>
        <v>45781</v>
      </c>
      <c r="BE204" s="346" t="str">
        <f t="shared" si="580"/>
        <v>日</v>
      </c>
      <c r="BF204" s="350"/>
      <c r="BG204" s="351"/>
      <c r="BH204" s="330"/>
      <c r="BI204" s="351"/>
      <c r="BJ204" s="330"/>
      <c r="BK204" s="351"/>
      <c r="BL204" s="330"/>
      <c r="BM204" s="351"/>
      <c r="BN204" s="330"/>
      <c r="BO204" s="351"/>
      <c r="BP204" s="330"/>
      <c r="BQ204" s="351"/>
      <c r="BR204" s="330"/>
      <c r="BS204" s="351"/>
      <c r="BT204" s="330"/>
      <c r="BU204" s="351"/>
      <c r="BV204" s="330"/>
      <c r="BW204" s="351"/>
      <c r="BX204" s="330"/>
      <c r="BY204" s="351"/>
      <c r="BZ204" s="389"/>
      <c r="CA204" s="341"/>
      <c r="CB204" s="342">
        <f ca="1">UDayCou(3,ROW())</f>
        <v>0</v>
      </c>
      <c r="CC204" s="343">
        <f ca="1">UNightCou(3,ROW())</f>
        <v>0</v>
      </c>
      <c r="CD204" s="344">
        <f ca="1">UNewCou(3,ROW())</f>
        <v>0</v>
      </c>
      <c r="CE204" s="327">
        <f t="shared" si="581"/>
        <v>45781</v>
      </c>
      <c r="CF204" s="346" t="str">
        <f t="shared" si="582"/>
        <v>日</v>
      </c>
      <c r="CG204" s="352">
        <f t="shared" ref="CG204" ca="1" si="796">Z204+BA204+CB204</f>
        <v>17</v>
      </c>
      <c r="CH204" s="353">
        <f t="shared" ref="CH204" ca="1" si="797">AA204+BB204+CC204</f>
        <v>16</v>
      </c>
      <c r="CI204" s="354">
        <f t="shared" ref="CI204" ca="1" si="798">AB204+BC204+CD204</f>
        <v>1</v>
      </c>
      <c r="CJ204" s="355">
        <f ca="1">COUNTIF(INDIRECT("D252:CA253"),"*●*")</f>
        <v>0</v>
      </c>
      <c r="CK204" s="356">
        <f ca="1">COUNTIF(INDIRECT("D252:CA253"),"*㋷*")</f>
        <v>0</v>
      </c>
      <c r="CL204" s="75"/>
      <c r="CN204" s="160">
        <f t="shared" si="586"/>
        <v>45781</v>
      </c>
      <c r="CO204" s="168" t="str">
        <f t="shared" si="587"/>
        <v>日</v>
      </c>
      <c r="CP204" s="473">
        <v>15</v>
      </c>
      <c r="CQ204" s="337"/>
      <c r="CR204" s="359"/>
      <c r="CS204" s="358"/>
      <c r="CT204" s="359"/>
      <c r="CU204" s="358"/>
      <c r="CZ204" s="73">
        <v>5</v>
      </c>
      <c r="DA204" s="73">
        <v>5</v>
      </c>
      <c r="DB204" s="73">
        <v>4</v>
      </c>
      <c r="DC204" s="74">
        <f t="shared" ref="DC204:DC267" si="799">DATE($A$2,$DA204,$DB204)</f>
        <v>45781</v>
      </c>
      <c r="DD204" s="68" t="str">
        <f t="shared" si="603"/>
        <v>日</v>
      </c>
      <c r="DF204" s="155">
        <f t="shared" ref="DF204" si="800">$DC204</f>
        <v>45781</v>
      </c>
      <c r="DG204" s="156" t="e">
        <f ca="1">IF($CH204&gt;=設定!$E$12,"✕",IF(SS予約表!$CG204&gt;=設定!$E$12,"△","○"))</f>
        <v>#NAME?</v>
      </c>
    </row>
    <row r="205" spans="1:112" ht="29.25" customHeight="1">
      <c r="A205" s="284"/>
      <c r="B205" s="285"/>
      <c r="C205" s="286" t="s">
        <v>28</v>
      </c>
      <c r="D205" s="289"/>
      <c r="E205" s="324"/>
      <c r="F205" s="320"/>
      <c r="G205" s="321"/>
      <c r="H205" s="360"/>
      <c r="I205" s="324"/>
      <c r="J205" s="476"/>
      <c r="K205" s="324"/>
      <c r="L205" s="449" t="s">
        <v>39</v>
      </c>
      <c r="M205" s="384"/>
      <c r="N205" s="476"/>
      <c r="O205" s="321"/>
      <c r="P205" s="320"/>
      <c r="Q205" s="324"/>
      <c r="R205" s="320"/>
      <c r="S205" s="324"/>
      <c r="T205" s="320"/>
      <c r="U205" s="324"/>
      <c r="V205" s="299"/>
      <c r="W205" s="322"/>
      <c r="X205" s="320"/>
      <c r="Y205" s="321"/>
      <c r="Z205" s="294"/>
      <c r="AA205" s="295"/>
      <c r="AB205" s="296"/>
      <c r="AC205" s="463"/>
      <c r="AD205" s="464"/>
      <c r="AE205" s="320"/>
      <c r="AF205" s="321"/>
      <c r="AG205" s="320"/>
      <c r="AH205" s="324"/>
      <c r="AI205" s="320"/>
      <c r="AJ205" s="324"/>
      <c r="AK205" s="320"/>
      <c r="AL205" s="321"/>
      <c r="AM205" s="320"/>
      <c r="AN205" s="324"/>
      <c r="AO205" s="320"/>
      <c r="AP205" s="324"/>
      <c r="AQ205" s="320"/>
      <c r="AR205" s="324"/>
      <c r="AS205" s="449" t="s">
        <v>39</v>
      </c>
      <c r="AT205" s="384"/>
      <c r="AU205" s="320"/>
      <c r="AV205" s="324"/>
      <c r="AW205" s="320"/>
      <c r="AX205" s="324"/>
      <c r="AY205" s="325"/>
      <c r="AZ205" s="326"/>
      <c r="BA205" s="294"/>
      <c r="BB205" s="295"/>
      <c r="BC205" s="296"/>
      <c r="BD205" s="284"/>
      <c r="BE205" s="298"/>
      <c r="BF205" s="305"/>
      <c r="BG205" s="302"/>
      <c r="BH205" s="301"/>
      <c r="BI205" s="302"/>
      <c r="BJ205" s="301"/>
      <c r="BK205" s="302"/>
      <c r="BL205" s="301"/>
      <c r="BM205" s="302"/>
      <c r="BN205" s="301"/>
      <c r="BO205" s="302"/>
      <c r="BP205" s="301"/>
      <c r="BQ205" s="302"/>
      <c r="BR205" s="301"/>
      <c r="BS205" s="302"/>
      <c r="BT205" s="301"/>
      <c r="BU205" s="302"/>
      <c r="BV205" s="301"/>
      <c r="BW205" s="302"/>
      <c r="BX205" s="301"/>
      <c r="BY205" s="302"/>
      <c r="BZ205" s="306"/>
      <c r="CA205" s="304"/>
      <c r="CB205" s="294"/>
      <c r="CC205" s="295"/>
      <c r="CD205" s="296"/>
      <c r="CE205" s="284"/>
      <c r="CF205" s="298"/>
      <c r="CG205" s="307"/>
      <c r="CH205" s="308"/>
      <c r="CI205" s="309"/>
      <c r="CJ205" s="310"/>
      <c r="CK205" s="311"/>
      <c r="CL205" s="75"/>
      <c r="CN205" s="161"/>
      <c r="CO205" s="163"/>
      <c r="CP205" s="315"/>
      <c r="CQ205" s="316"/>
      <c r="CR205" s="317"/>
      <c r="CS205" s="316"/>
      <c r="CT205" s="317"/>
      <c r="CU205" s="316"/>
      <c r="CZ205" s="73">
        <v>5</v>
      </c>
      <c r="DA205" s="73">
        <v>5</v>
      </c>
      <c r="DB205" s="73">
        <v>4</v>
      </c>
      <c r="DC205" s="74">
        <f t="shared" si="799"/>
        <v>45781</v>
      </c>
      <c r="DD205" s="68" t="str">
        <f t="shared" si="603"/>
        <v>日</v>
      </c>
      <c r="DF205" s="156"/>
      <c r="DG205" s="156"/>
    </row>
    <row r="206" spans="1:112" ht="28.5" customHeight="1">
      <c r="A206" s="327">
        <f t="shared" si="572"/>
        <v>45782</v>
      </c>
      <c r="B206" s="365" t="str">
        <f t="shared" si="573"/>
        <v>月</v>
      </c>
      <c r="C206" s="329" t="s">
        <v>27</v>
      </c>
      <c r="D206" s="431"/>
      <c r="E206" s="377"/>
      <c r="F206" s="333"/>
      <c r="G206" s="381"/>
      <c r="H206" s="368"/>
      <c r="I206" s="377"/>
      <c r="J206" s="473">
        <v>15</v>
      </c>
      <c r="K206" s="337"/>
      <c r="L206" s="447">
        <v>15</v>
      </c>
      <c r="M206" s="448"/>
      <c r="N206" s="473"/>
      <c r="O206" s="381"/>
      <c r="P206" s="333">
        <v>15</v>
      </c>
      <c r="Q206" s="337"/>
      <c r="R206" s="333"/>
      <c r="S206" s="377"/>
      <c r="T206" s="333"/>
      <c r="U206" s="377"/>
      <c r="V206" s="335"/>
      <c r="W206" s="409"/>
      <c r="X206" s="333"/>
      <c r="Y206" s="381"/>
      <c r="Z206" s="342">
        <f t="shared" ref="Z206" ca="1" si="801">UDayCou(1,ROW())</f>
        <v>9</v>
      </c>
      <c r="AA206" s="343">
        <f t="shared" ref="AA206" ca="1" si="802">UNightCou(1,ROW())</f>
        <v>6</v>
      </c>
      <c r="AB206" s="344">
        <f t="shared" ref="AB206" ca="1" si="803">UNewCou(1,ROW())</f>
        <v>1</v>
      </c>
      <c r="AC206" s="461">
        <f t="shared" si="577"/>
        <v>45782</v>
      </c>
      <c r="AD206" s="462" t="str">
        <f t="shared" si="578"/>
        <v>月</v>
      </c>
      <c r="AE206" s="333"/>
      <c r="AF206" s="381"/>
      <c r="AG206" s="333"/>
      <c r="AH206" s="377"/>
      <c r="AI206" s="333"/>
      <c r="AJ206" s="377"/>
      <c r="AK206" s="333"/>
      <c r="AL206" s="381"/>
      <c r="AM206" s="333"/>
      <c r="AN206" s="377"/>
      <c r="AO206" s="333"/>
      <c r="AP206" s="377"/>
      <c r="AQ206" s="333"/>
      <c r="AR206" s="377"/>
      <c r="AS206" s="447">
        <v>15</v>
      </c>
      <c r="AT206" s="448"/>
      <c r="AU206" s="333"/>
      <c r="AV206" s="377"/>
      <c r="AW206" s="333"/>
      <c r="AX206" s="377"/>
      <c r="AY206" s="348"/>
      <c r="AZ206" s="349"/>
      <c r="BA206" s="342">
        <f ca="1">UDayCou(2,ROW())</f>
        <v>8</v>
      </c>
      <c r="BB206" s="343">
        <f ca="1">UNightCou(2,ROW())</f>
        <v>7</v>
      </c>
      <c r="BC206" s="344">
        <f ca="1">UNewCou(2,ROW())</f>
        <v>0</v>
      </c>
      <c r="BD206" s="327">
        <f t="shared" si="579"/>
        <v>45782</v>
      </c>
      <c r="BE206" s="371" t="str">
        <f t="shared" si="580"/>
        <v>月</v>
      </c>
      <c r="BF206" s="350"/>
      <c r="BG206" s="351"/>
      <c r="BH206" s="330"/>
      <c r="BI206" s="351"/>
      <c r="BJ206" s="330"/>
      <c r="BK206" s="351"/>
      <c r="BL206" s="330"/>
      <c r="BM206" s="351"/>
      <c r="BN206" s="330"/>
      <c r="BO206" s="351"/>
      <c r="BP206" s="330"/>
      <c r="BQ206" s="351"/>
      <c r="BR206" s="330"/>
      <c r="BS206" s="351"/>
      <c r="BT206" s="330"/>
      <c r="BU206" s="351"/>
      <c r="BV206" s="330"/>
      <c r="BW206" s="351"/>
      <c r="BX206" s="330"/>
      <c r="BY206" s="351"/>
      <c r="BZ206" s="389"/>
      <c r="CA206" s="341"/>
      <c r="CB206" s="342">
        <f ca="1">UDayCou(3,ROW())</f>
        <v>0</v>
      </c>
      <c r="CC206" s="343">
        <f ca="1">UNightCou(3,ROW())</f>
        <v>0</v>
      </c>
      <c r="CD206" s="344">
        <f ca="1">UNewCou(3,ROW())</f>
        <v>0</v>
      </c>
      <c r="CE206" s="327">
        <f t="shared" si="581"/>
        <v>45782</v>
      </c>
      <c r="CF206" s="371" t="str">
        <f t="shared" si="582"/>
        <v>月</v>
      </c>
      <c r="CG206" s="352">
        <f t="shared" ref="CG206" ca="1" si="804">Z206+BA206+CB206</f>
        <v>17</v>
      </c>
      <c r="CH206" s="353">
        <f t="shared" ref="CH206" ca="1" si="805">AA206+BB206+CC206</f>
        <v>13</v>
      </c>
      <c r="CI206" s="354">
        <f t="shared" ref="CI206" ca="1" si="806">AB206+BC206+CD206</f>
        <v>1</v>
      </c>
      <c r="CJ206" s="355">
        <f ca="1">COUNTIF(INDIRECT("D254:CA255"),"*●*")</f>
        <v>0</v>
      </c>
      <c r="CK206" s="356">
        <f ca="1">COUNTIF(INDIRECT("D254:CA255"),"*㋷*")</f>
        <v>0</v>
      </c>
      <c r="CL206" s="75"/>
      <c r="CN206" s="160">
        <f t="shared" si="586"/>
        <v>45782</v>
      </c>
      <c r="CO206" s="162" t="str">
        <f t="shared" si="587"/>
        <v>月</v>
      </c>
      <c r="CP206" s="357"/>
      <c r="CQ206" s="358"/>
      <c r="CR206" s="359"/>
      <c r="CS206" s="358"/>
      <c r="CT206" s="359"/>
      <c r="CU206" s="358"/>
      <c r="CZ206" s="73">
        <v>5</v>
      </c>
      <c r="DA206" s="73">
        <v>5</v>
      </c>
      <c r="DB206" s="73">
        <v>5</v>
      </c>
      <c r="DC206" s="74">
        <f t="shared" si="799"/>
        <v>45782</v>
      </c>
      <c r="DD206" s="68" t="str">
        <f t="shared" si="603"/>
        <v>月</v>
      </c>
      <c r="DF206" s="155">
        <f t="shared" ref="DF206" si="807">$DC206</f>
        <v>45782</v>
      </c>
      <c r="DG206" s="156" t="e">
        <f ca="1">IF($CH206&gt;=設定!$E$12,"✕",IF(SS予約表!$CG206&gt;=設定!$E$12,"△","○"))</f>
        <v>#NAME?</v>
      </c>
    </row>
    <row r="207" spans="1:112" ht="29.25" customHeight="1" thickBot="1">
      <c r="A207" s="284"/>
      <c r="B207" s="285"/>
      <c r="C207" s="286" t="s">
        <v>28</v>
      </c>
      <c r="D207" s="289"/>
      <c r="E207" s="324"/>
      <c r="F207" s="320">
        <v>10</v>
      </c>
      <c r="G207" s="324" t="s">
        <v>97</v>
      </c>
      <c r="H207" s="360"/>
      <c r="I207" s="324"/>
      <c r="J207" s="476"/>
      <c r="K207" s="321"/>
      <c r="L207" s="449"/>
      <c r="M207" s="443"/>
      <c r="N207" s="476"/>
      <c r="O207" s="321"/>
      <c r="P207" s="320"/>
      <c r="Q207" s="321"/>
      <c r="R207" s="320"/>
      <c r="S207" s="324"/>
      <c r="T207" s="320"/>
      <c r="U207" s="324"/>
      <c r="V207" s="320"/>
      <c r="W207" s="324"/>
      <c r="X207" s="320"/>
      <c r="Y207" s="321"/>
      <c r="Z207" s="294"/>
      <c r="AA207" s="295"/>
      <c r="AB207" s="296"/>
      <c r="AC207" s="463"/>
      <c r="AD207" s="464"/>
      <c r="AE207" s="320"/>
      <c r="AF207" s="321"/>
      <c r="AG207" s="320"/>
      <c r="AH207" s="324"/>
      <c r="AI207" s="320"/>
      <c r="AJ207" s="324"/>
      <c r="AK207" s="299"/>
      <c r="AL207" s="300"/>
      <c r="AM207" s="320"/>
      <c r="AN207" s="324"/>
      <c r="AO207" s="320"/>
      <c r="AP207" s="324"/>
      <c r="AQ207" s="320"/>
      <c r="AR207" s="324"/>
      <c r="AS207" s="449"/>
      <c r="AT207" s="443"/>
      <c r="AU207" s="320"/>
      <c r="AV207" s="324"/>
      <c r="AW207" s="320"/>
      <c r="AX207" s="324"/>
      <c r="AY207" s="325"/>
      <c r="AZ207" s="326"/>
      <c r="BA207" s="294"/>
      <c r="BB207" s="295"/>
      <c r="BC207" s="296"/>
      <c r="BD207" s="284"/>
      <c r="BE207" s="298"/>
      <c r="BF207" s="305"/>
      <c r="BG207" s="302"/>
      <c r="BH207" s="301"/>
      <c r="BI207" s="302"/>
      <c r="BJ207" s="301"/>
      <c r="BK207" s="302"/>
      <c r="BL207" s="301"/>
      <c r="BM207" s="302"/>
      <c r="BN207" s="301"/>
      <c r="BO207" s="302"/>
      <c r="BP207" s="301"/>
      <c r="BQ207" s="302"/>
      <c r="BR207" s="301"/>
      <c r="BS207" s="302"/>
      <c r="BT207" s="301"/>
      <c r="BU207" s="302"/>
      <c r="BV207" s="301"/>
      <c r="BW207" s="302"/>
      <c r="BX207" s="301"/>
      <c r="BY207" s="302"/>
      <c r="BZ207" s="306"/>
      <c r="CA207" s="304"/>
      <c r="CB207" s="294"/>
      <c r="CC207" s="295"/>
      <c r="CD207" s="296"/>
      <c r="CE207" s="284"/>
      <c r="CF207" s="298"/>
      <c r="CG207" s="307"/>
      <c r="CH207" s="308"/>
      <c r="CI207" s="309"/>
      <c r="CJ207" s="310"/>
      <c r="CK207" s="311"/>
      <c r="CL207" s="75"/>
      <c r="CN207" s="161"/>
      <c r="CO207" s="163"/>
      <c r="CP207" s="315"/>
      <c r="CQ207" s="316"/>
      <c r="CR207" s="317"/>
      <c r="CS207" s="316"/>
      <c r="CT207" s="317"/>
      <c r="CU207" s="316"/>
      <c r="CZ207" s="73">
        <v>5</v>
      </c>
      <c r="DA207" s="73">
        <v>5</v>
      </c>
      <c r="DB207" s="73">
        <v>5</v>
      </c>
      <c r="DC207" s="74">
        <f t="shared" si="799"/>
        <v>45782</v>
      </c>
      <c r="DD207" s="68" t="str">
        <f t="shared" si="603"/>
        <v>月</v>
      </c>
      <c r="DF207" s="156"/>
      <c r="DG207" s="156"/>
    </row>
    <row r="208" spans="1:112" ht="28.5" customHeight="1">
      <c r="A208" s="491">
        <f t="shared" ref="A208:A270" si="808">$DC208</f>
        <v>45783</v>
      </c>
      <c r="B208" s="524" t="str">
        <f t="shared" ref="B208:B270" si="809">TEXT($A208,"aaa")</f>
        <v>火</v>
      </c>
      <c r="C208" s="493" t="s">
        <v>27</v>
      </c>
      <c r="D208" s="550"/>
      <c r="E208" s="527"/>
      <c r="F208" s="497"/>
      <c r="G208" s="527"/>
      <c r="H208" s="529"/>
      <c r="I208" s="527"/>
      <c r="J208" s="570"/>
      <c r="K208" s="526"/>
      <c r="L208" s="557"/>
      <c r="M208" s="555"/>
      <c r="N208" s="570"/>
      <c r="O208" s="526"/>
      <c r="P208" s="497"/>
      <c r="Q208" s="526"/>
      <c r="R208" s="497"/>
      <c r="S208" s="527"/>
      <c r="T208" s="497">
        <v>15</v>
      </c>
      <c r="U208" s="501" t="s">
        <v>168</v>
      </c>
      <c r="V208" s="497">
        <v>15</v>
      </c>
      <c r="W208" s="501" t="s">
        <v>91</v>
      </c>
      <c r="X208" s="497"/>
      <c r="Y208" s="526"/>
      <c r="Z208" s="506">
        <f t="shared" ref="Z208" ca="1" si="810">UDayCou(1,ROW())</f>
        <v>8</v>
      </c>
      <c r="AA208" s="507">
        <f t="shared" ref="AA208" ca="1" si="811">UNightCou(1,ROW())</f>
        <v>6</v>
      </c>
      <c r="AB208" s="508">
        <f t="shared" ref="AB208" ca="1" si="812">UNewCou(1,ROW())</f>
        <v>1</v>
      </c>
      <c r="AC208" s="559">
        <f t="shared" ref="AC208:AC270" si="813">$A208</f>
        <v>45783</v>
      </c>
      <c r="AD208" s="560" t="str">
        <f t="shared" ref="AD208:AD270" si="814">$B208</f>
        <v>火</v>
      </c>
      <c r="AE208" s="497"/>
      <c r="AF208" s="526"/>
      <c r="AG208" s="497"/>
      <c r="AH208" s="527"/>
      <c r="AI208" s="497"/>
      <c r="AJ208" s="527"/>
      <c r="AK208" s="499"/>
      <c r="AL208" s="511"/>
      <c r="AM208" s="497"/>
      <c r="AN208" s="527"/>
      <c r="AO208" s="497"/>
      <c r="AP208" s="527"/>
      <c r="AQ208" s="497">
        <v>15</v>
      </c>
      <c r="AR208" s="501"/>
      <c r="AS208" s="557"/>
      <c r="AT208" s="555"/>
      <c r="AU208" s="497"/>
      <c r="AV208" s="527"/>
      <c r="AW208" s="497"/>
      <c r="AX208" s="527"/>
      <c r="AY208" s="512"/>
      <c r="AZ208" s="513"/>
      <c r="BA208" s="506">
        <f ca="1">UDayCou(2,ROW())</f>
        <v>7</v>
      </c>
      <c r="BB208" s="507">
        <f ca="1">UNightCou(2,ROW())</f>
        <v>6</v>
      </c>
      <c r="BC208" s="508">
        <f ca="1">UNewCou(2,ROW())</f>
        <v>0</v>
      </c>
      <c r="BD208" s="491">
        <f t="shared" ref="BD208:BD270" si="815">$A208</f>
        <v>45783</v>
      </c>
      <c r="BE208" s="531" t="str">
        <f t="shared" ref="BE208:BE270" si="816">$B208</f>
        <v>火</v>
      </c>
      <c r="BF208" s="514"/>
      <c r="BG208" s="515"/>
      <c r="BH208" s="494"/>
      <c r="BI208" s="515"/>
      <c r="BJ208" s="494"/>
      <c r="BK208" s="515"/>
      <c r="BL208" s="494"/>
      <c r="BM208" s="515"/>
      <c r="BN208" s="494"/>
      <c r="BO208" s="515"/>
      <c r="BP208" s="494"/>
      <c r="BQ208" s="515"/>
      <c r="BR208" s="494"/>
      <c r="BS208" s="515"/>
      <c r="BT208" s="494"/>
      <c r="BU208" s="515"/>
      <c r="BV208" s="494"/>
      <c r="BW208" s="515"/>
      <c r="BX208" s="494"/>
      <c r="BY208" s="515"/>
      <c r="BZ208" s="530"/>
      <c r="CA208" s="505"/>
      <c r="CB208" s="506">
        <f ca="1">UDayCou(3,ROW())</f>
        <v>0</v>
      </c>
      <c r="CC208" s="507">
        <f ca="1">UNightCou(3,ROW())</f>
        <v>0</v>
      </c>
      <c r="CD208" s="508">
        <f ca="1">UNewCou(3,ROW())</f>
        <v>0</v>
      </c>
      <c r="CE208" s="491">
        <f t="shared" ref="CE208:CE270" si="817">$A208</f>
        <v>45783</v>
      </c>
      <c r="CF208" s="531" t="str">
        <f t="shared" ref="CF208:CF270" si="818">$B208</f>
        <v>火</v>
      </c>
      <c r="CG208" s="516">
        <f t="shared" ref="CG208" ca="1" si="819">Z208+BA208+CB208</f>
        <v>15</v>
      </c>
      <c r="CH208" s="517">
        <f t="shared" ref="CH208" ca="1" si="820">AA208+BB208+CC208</f>
        <v>12</v>
      </c>
      <c r="CI208" s="518">
        <f t="shared" ref="CI208" ca="1" si="821">AB208+BC208+CD208</f>
        <v>1</v>
      </c>
      <c r="CJ208" s="519">
        <f ca="1">COUNTIF(INDIRECT("D256:CA257"),"*●*")</f>
        <v>0</v>
      </c>
      <c r="CK208" s="520">
        <f ca="1">COUNTIF(INDIRECT("D256:CA257"),"*㋷*")</f>
        <v>0</v>
      </c>
      <c r="CL208" s="75"/>
      <c r="CN208" s="164">
        <f t="shared" ref="CN208:CN270" si="822">$A208</f>
        <v>45783</v>
      </c>
      <c r="CO208" s="165" t="str">
        <f t="shared" ref="CO208:CO270" si="823">$B208</f>
        <v>火</v>
      </c>
      <c r="CP208" s="521"/>
      <c r="CQ208" s="522"/>
      <c r="CR208" s="523"/>
      <c r="CS208" s="522"/>
      <c r="CT208" s="523"/>
      <c r="CU208" s="522"/>
      <c r="CZ208" s="73">
        <v>5</v>
      </c>
      <c r="DA208" s="73">
        <v>5</v>
      </c>
      <c r="DB208" s="73">
        <v>6</v>
      </c>
      <c r="DC208" s="74">
        <f t="shared" si="799"/>
        <v>45783</v>
      </c>
      <c r="DD208" s="68" t="str">
        <f t="shared" si="603"/>
        <v>火</v>
      </c>
      <c r="DF208" s="155">
        <f t="shared" ref="DF208" si="824">$DC208</f>
        <v>45783</v>
      </c>
      <c r="DG208" s="156" t="e">
        <f ca="1">IF($CH208&gt;=設定!$E$12,"✕",IF(SS予約表!$CG208&gt;=設定!$E$12,"△","○"))</f>
        <v>#NAME?</v>
      </c>
    </row>
    <row r="209" spans="1:111" ht="29.25" customHeight="1">
      <c r="A209" s="284"/>
      <c r="B209" s="285"/>
      <c r="C209" s="286" t="s">
        <v>28</v>
      </c>
      <c r="D209" s="289"/>
      <c r="E209" s="324"/>
      <c r="F209" s="320"/>
      <c r="G209" s="324"/>
      <c r="H209" s="360"/>
      <c r="I209" s="324"/>
      <c r="J209" s="476"/>
      <c r="K209" s="321"/>
      <c r="L209" s="449"/>
      <c r="M209" s="443"/>
      <c r="N209" s="320">
        <v>10</v>
      </c>
      <c r="O209" s="324" t="s">
        <v>50</v>
      </c>
      <c r="P209" s="320"/>
      <c r="Q209" s="321"/>
      <c r="R209" s="320"/>
      <c r="S209" s="324"/>
      <c r="T209" s="320"/>
      <c r="U209" s="321"/>
      <c r="V209" s="320">
        <v>10</v>
      </c>
      <c r="W209" s="324" t="s">
        <v>202</v>
      </c>
      <c r="X209" s="320"/>
      <c r="Y209" s="321"/>
      <c r="Z209" s="294"/>
      <c r="AA209" s="295"/>
      <c r="AB209" s="296"/>
      <c r="AC209" s="463"/>
      <c r="AD209" s="464"/>
      <c r="AE209" s="320"/>
      <c r="AF209" s="321"/>
      <c r="AG209" s="476"/>
      <c r="AH209" s="324"/>
      <c r="AI209" s="320"/>
      <c r="AJ209" s="324"/>
      <c r="AK209" s="299"/>
      <c r="AL209" s="300"/>
      <c r="AM209" s="320"/>
      <c r="AN209" s="324"/>
      <c r="AO209" s="320"/>
      <c r="AP209" s="324"/>
      <c r="AQ209" s="320"/>
      <c r="AR209" s="321"/>
      <c r="AS209" s="449"/>
      <c r="AT209" s="443"/>
      <c r="AU209" s="320"/>
      <c r="AV209" s="324"/>
      <c r="AW209" s="320"/>
      <c r="AX209" s="324"/>
      <c r="AY209" s="325"/>
      <c r="AZ209" s="326"/>
      <c r="BA209" s="294"/>
      <c r="BB209" s="295"/>
      <c r="BC209" s="296"/>
      <c r="BD209" s="284"/>
      <c r="BE209" s="298"/>
      <c r="BF209" s="305"/>
      <c r="BG209" s="302"/>
      <c r="BH209" s="301"/>
      <c r="BI209" s="302"/>
      <c r="BJ209" s="301"/>
      <c r="BK209" s="302"/>
      <c r="BL209" s="301"/>
      <c r="BM209" s="302"/>
      <c r="BN209" s="301"/>
      <c r="BO209" s="302"/>
      <c r="BP209" s="301"/>
      <c r="BQ209" s="302"/>
      <c r="BR209" s="301"/>
      <c r="BS209" s="302"/>
      <c r="BT209" s="301"/>
      <c r="BU209" s="302"/>
      <c r="BV209" s="301"/>
      <c r="BW209" s="302"/>
      <c r="BX209" s="301"/>
      <c r="BY209" s="302"/>
      <c r="BZ209" s="306"/>
      <c r="CA209" s="304"/>
      <c r="CB209" s="294"/>
      <c r="CC209" s="295"/>
      <c r="CD209" s="296"/>
      <c r="CE209" s="284"/>
      <c r="CF209" s="298"/>
      <c r="CG209" s="307"/>
      <c r="CH209" s="308"/>
      <c r="CI209" s="309"/>
      <c r="CJ209" s="310"/>
      <c r="CK209" s="311"/>
      <c r="CL209" s="75"/>
      <c r="CN209" s="161"/>
      <c r="CO209" s="163"/>
      <c r="CP209" s="315"/>
      <c r="CQ209" s="316"/>
      <c r="CR209" s="317"/>
      <c r="CS209" s="316"/>
      <c r="CT209" s="317"/>
      <c r="CU209" s="316"/>
      <c r="CZ209" s="73">
        <v>5</v>
      </c>
      <c r="DA209" s="73">
        <v>5</v>
      </c>
      <c r="DB209" s="73">
        <v>6</v>
      </c>
      <c r="DC209" s="74">
        <f t="shared" si="799"/>
        <v>45783</v>
      </c>
      <c r="DD209" s="68" t="str">
        <f t="shared" si="603"/>
        <v>火</v>
      </c>
      <c r="DF209" s="156"/>
      <c r="DG209" s="156"/>
    </row>
    <row r="210" spans="1:111" ht="28.5" customHeight="1">
      <c r="A210" s="327">
        <f t="shared" si="808"/>
        <v>45784</v>
      </c>
      <c r="B210" s="365" t="str">
        <f t="shared" si="809"/>
        <v>水</v>
      </c>
      <c r="C210" s="329" t="s">
        <v>27</v>
      </c>
      <c r="D210" s="431">
        <v>15</v>
      </c>
      <c r="E210" s="337"/>
      <c r="F210" s="333">
        <v>15</v>
      </c>
      <c r="G210" s="337"/>
      <c r="H210" s="368"/>
      <c r="I210" s="377"/>
      <c r="J210" s="473"/>
      <c r="K210" s="381"/>
      <c r="L210" s="447"/>
      <c r="M210" s="444"/>
      <c r="N210" s="333"/>
      <c r="O210" s="377"/>
      <c r="P210" s="333"/>
      <c r="Q210" s="381"/>
      <c r="R210" s="333"/>
      <c r="S210" s="377"/>
      <c r="T210" s="333"/>
      <c r="U210" s="381"/>
      <c r="V210" s="333"/>
      <c r="W210" s="377"/>
      <c r="X210" s="333"/>
      <c r="Y210" s="381"/>
      <c r="Z210" s="342">
        <f t="shared" ref="Z210" ca="1" si="825">UDayCou(1,ROW())</f>
        <v>8</v>
      </c>
      <c r="AA210" s="343">
        <f t="shared" ref="AA210" ca="1" si="826">UNightCou(1,ROW())</f>
        <v>6</v>
      </c>
      <c r="AB210" s="344">
        <f t="shared" ref="AB210" ca="1" si="827">UNewCou(1,ROW())</f>
        <v>1</v>
      </c>
      <c r="AC210" s="461">
        <f t="shared" si="813"/>
        <v>45784</v>
      </c>
      <c r="AD210" s="462" t="str">
        <f t="shared" si="814"/>
        <v>水</v>
      </c>
      <c r="AE210" s="333"/>
      <c r="AF210" s="381"/>
      <c r="AG210" s="473">
        <v>15</v>
      </c>
      <c r="AH210" s="337"/>
      <c r="AI210" s="333"/>
      <c r="AJ210" s="377"/>
      <c r="AK210" s="335"/>
      <c r="AL210" s="347"/>
      <c r="AM210" s="333">
        <v>15</v>
      </c>
      <c r="AN210" s="337"/>
      <c r="AO210" s="333">
        <v>15</v>
      </c>
      <c r="AP210" s="337"/>
      <c r="AQ210" s="333"/>
      <c r="AR210" s="381"/>
      <c r="AS210" s="447"/>
      <c r="AT210" s="444"/>
      <c r="AU210" s="333"/>
      <c r="AV210" s="377"/>
      <c r="AW210" s="333">
        <v>15</v>
      </c>
      <c r="AX210" s="337"/>
      <c r="AY210" s="348"/>
      <c r="AZ210" s="349"/>
      <c r="BA210" s="342">
        <f ca="1">UDayCou(2,ROW())</f>
        <v>6</v>
      </c>
      <c r="BB210" s="343">
        <f ca="1">UNightCou(2,ROW())</f>
        <v>2</v>
      </c>
      <c r="BC210" s="344">
        <f ca="1">UNewCou(2,ROW())</f>
        <v>0</v>
      </c>
      <c r="BD210" s="327">
        <f t="shared" si="815"/>
        <v>45784</v>
      </c>
      <c r="BE210" s="371" t="str">
        <f t="shared" si="816"/>
        <v>水</v>
      </c>
      <c r="BF210" s="350"/>
      <c r="BG210" s="351"/>
      <c r="BH210" s="330"/>
      <c r="BI210" s="351"/>
      <c r="BJ210" s="330"/>
      <c r="BK210" s="351"/>
      <c r="BL210" s="330"/>
      <c r="BM210" s="351"/>
      <c r="BN210" s="330"/>
      <c r="BO210" s="351"/>
      <c r="BP210" s="330"/>
      <c r="BQ210" s="351"/>
      <c r="BR210" s="330"/>
      <c r="BS210" s="351"/>
      <c r="BT210" s="330"/>
      <c r="BU210" s="351"/>
      <c r="BV210" s="330"/>
      <c r="BW210" s="351"/>
      <c r="BX210" s="330"/>
      <c r="BY210" s="351"/>
      <c r="BZ210" s="389"/>
      <c r="CA210" s="341"/>
      <c r="CB210" s="342">
        <f ca="1">UDayCou(3,ROW())</f>
        <v>0</v>
      </c>
      <c r="CC210" s="343">
        <f ca="1">UNightCou(3,ROW())</f>
        <v>0</v>
      </c>
      <c r="CD210" s="344">
        <f ca="1">UNewCou(3,ROW())</f>
        <v>0</v>
      </c>
      <c r="CE210" s="327">
        <f t="shared" si="817"/>
        <v>45784</v>
      </c>
      <c r="CF210" s="371" t="str">
        <f t="shared" si="818"/>
        <v>水</v>
      </c>
      <c r="CG210" s="352">
        <f t="shared" ref="CG210" ca="1" si="828">Z210+BA210+CB210</f>
        <v>14</v>
      </c>
      <c r="CH210" s="353">
        <f t="shared" ref="CH210" ca="1" si="829">AA210+BB210+CC210</f>
        <v>8</v>
      </c>
      <c r="CI210" s="354">
        <f t="shared" ref="CI210" ca="1" si="830">AB210+BC210+CD210</f>
        <v>1</v>
      </c>
      <c r="CJ210" s="355">
        <f ca="1">COUNTIF(INDIRECT("D258:CA259"),"*●*")</f>
        <v>0</v>
      </c>
      <c r="CK210" s="356">
        <f ca="1">COUNTIF(INDIRECT("D258:CA259"),"*㋷*")</f>
        <v>0</v>
      </c>
      <c r="CL210" s="75"/>
      <c r="CN210" s="160">
        <f t="shared" si="822"/>
        <v>45784</v>
      </c>
      <c r="CO210" s="162" t="str">
        <f t="shared" si="823"/>
        <v>水</v>
      </c>
      <c r="CP210" s="357"/>
      <c r="CQ210" s="358"/>
      <c r="CR210" s="359"/>
      <c r="CS210" s="358"/>
      <c r="CT210" s="359"/>
      <c r="CU210" s="358"/>
      <c r="CZ210" s="73">
        <v>5</v>
      </c>
      <c r="DA210" s="73">
        <v>5</v>
      </c>
      <c r="DB210" s="73">
        <v>7</v>
      </c>
      <c r="DC210" s="74">
        <f t="shared" si="799"/>
        <v>45784</v>
      </c>
      <c r="DD210" s="68" t="str">
        <f t="shared" si="603"/>
        <v>水</v>
      </c>
      <c r="DF210" s="155">
        <f t="shared" ref="DF210" si="831">$DC210</f>
        <v>45784</v>
      </c>
      <c r="DG210" s="156" t="e">
        <f ca="1">IF($CH210&gt;=設定!$E$12,"✕",IF(SS予約表!$CG210&gt;=設定!$E$12,"△","○"))</f>
        <v>#NAME?</v>
      </c>
    </row>
    <row r="211" spans="1:111" ht="29.25" customHeight="1">
      <c r="A211" s="284"/>
      <c r="B211" s="285"/>
      <c r="C211" s="286" t="s">
        <v>28</v>
      </c>
      <c r="D211" s="289">
        <v>10</v>
      </c>
      <c r="E211" s="324" t="s">
        <v>50</v>
      </c>
      <c r="F211" s="299"/>
      <c r="G211" s="300"/>
      <c r="H211" s="360"/>
      <c r="I211" s="324"/>
      <c r="J211" s="476"/>
      <c r="K211" s="321"/>
      <c r="L211" s="449">
        <v>10</v>
      </c>
      <c r="M211" s="384" t="s">
        <v>235</v>
      </c>
      <c r="N211" s="320"/>
      <c r="O211" s="324"/>
      <c r="P211" s="320"/>
      <c r="Q211" s="321"/>
      <c r="R211" s="320"/>
      <c r="S211" s="324"/>
      <c r="T211" s="320"/>
      <c r="U211" s="321"/>
      <c r="V211" s="320"/>
      <c r="W211" s="324"/>
      <c r="X211" s="320"/>
      <c r="Y211" s="321"/>
      <c r="Z211" s="294"/>
      <c r="AA211" s="295"/>
      <c r="AB211" s="296"/>
      <c r="AC211" s="463"/>
      <c r="AD211" s="464"/>
      <c r="AE211" s="320"/>
      <c r="AF211" s="321"/>
      <c r="AG211" s="476"/>
      <c r="AH211" s="321"/>
      <c r="AI211" s="320"/>
      <c r="AJ211" s="324"/>
      <c r="AK211" s="299"/>
      <c r="AL211" s="300"/>
      <c r="AM211" s="320"/>
      <c r="AN211" s="321"/>
      <c r="AO211" s="320"/>
      <c r="AP211" s="321"/>
      <c r="AQ211" s="320"/>
      <c r="AR211" s="321"/>
      <c r="AS211" s="449"/>
      <c r="AT211" s="443"/>
      <c r="AU211" s="320"/>
      <c r="AV211" s="324"/>
      <c r="AW211" s="320"/>
      <c r="AX211" s="321"/>
      <c r="AY211" s="325"/>
      <c r="AZ211" s="326"/>
      <c r="BA211" s="294"/>
      <c r="BB211" s="295"/>
      <c r="BC211" s="296"/>
      <c r="BD211" s="284"/>
      <c r="BE211" s="298"/>
      <c r="BF211" s="305"/>
      <c r="BG211" s="302"/>
      <c r="BH211" s="301"/>
      <c r="BI211" s="302"/>
      <c r="BJ211" s="301"/>
      <c r="BK211" s="302"/>
      <c r="BL211" s="301"/>
      <c r="BM211" s="302"/>
      <c r="BN211" s="301"/>
      <c r="BO211" s="302"/>
      <c r="BP211" s="301"/>
      <c r="BQ211" s="302"/>
      <c r="BR211" s="301"/>
      <c r="BS211" s="302"/>
      <c r="BT211" s="301"/>
      <c r="BU211" s="302"/>
      <c r="BV211" s="301"/>
      <c r="BW211" s="302"/>
      <c r="BX211" s="301"/>
      <c r="BY211" s="302"/>
      <c r="BZ211" s="306"/>
      <c r="CA211" s="304"/>
      <c r="CB211" s="294"/>
      <c r="CC211" s="295"/>
      <c r="CD211" s="296"/>
      <c r="CE211" s="284"/>
      <c r="CF211" s="298"/>
      <c r="CG211" s="307"/>
      <c r="CH211" s="308"/>
      <c r="CI211" s="309"/>
      <c r="CJ211" s="310"/>
      <c r="CK211" s="311"/>
      <c r="CL211" s="75"/>
      <c r="CN211" s="161"/>
      <c r="CO211" s="163"/>
      <c r="CP211" s="315"/>
      <c r="CQ211" s="316"/>
      <c r="CR211" s="317"/>
      <c r="CS211" s="316"/>
      <c r="CT211" s="317"/>
      <c r="CU211" s="316"/>
      <c r="CZ211" s="73">
        <v>5</v>
      </c>
      <c r="DA211" s="73">
        <v>5</v>
      </c>
      <c r="DB211" s="73">
        <v>7</v>
      </c>
      <c r="DC211" s="74">
        <f t="shared" si="799"/>
        <v>45784</v>
      </c>
      <c r="DD211" s="68" t="str">
        <f t="shared" si="603"/>
        <v>水</v>
      </c>
      <c r="DF211" s="156"/>
      <c r="DG211" s="156"/>
    </row>
    <row r="212" spans="1:111" ht="28.5" customHeight="1">
      <c r="A212" s="327">
        <f t="shared" si="808"/>
        <v>45785</v>
      </c>
      <c r="B212" s="365" t="str">
        <f t="shared" si="809"/>
        <v>木</v>
      </c>
      <c r="C212" s="329" t="s">
        <v>27</v>
      </c>
      <c r="D212" s="431"/>
      <c r="E212" s="377"/>
      <c r="F212" s="335"/>
      <c r="G212" s="347"/>
      <c r="H212" s="368"/>
      <c r="I212" s="377"/>
      <c r="J212" s="473"/>
      <c r="K212" s="381"/>
      <c r="L212" s="447">
        <v>15</v>
      </c>
      <c r="M212" s="448"/>
      <c r="N212" s="333"/>
      <c r="O212" s="377"/>
      <c r="P212" s="333"/>
      <c r="Q212" s="381"/>
      <c r="R212" s="333"/>
      <c r="S212" s="377"/>
      <c r="T212" s="333"/>
      <c r="U212" s="381"/>
      <c r="V212" s="333"/>
      <c r="W212" s="377"/>
      <c r="X212" s="333"/>
      <c r="Y212" s="381"/>
      <c r="Z212" s="342">
        <f t="shared" ref="Z212" ca="1" si="832">UDayCou(1,ROW())</f>
        <v>6</v>
      </c>
      <c r="AA212" s="343">
        <f t="shared" ref="AA212" ca="1" si="833">UNightCou(1,ROW())</f>
        <v>5</v>
      </c>
      <c r="AB212" s="344">
        <f t="shared" ref="AB212" ca="1" si="834">UNewCou(1,ROW())</f>
        <v>1</v>
      </c>
      <c r="AC212" s="461">
        <f t="shared" si="813"/>
        <v>45785</v>
      </c>
      <c r="AD212" s="462" t="str">
        <f t="shared" si="814"/>
        <v>木</v>
      </c>
      <c r="AE212" s="333"/>
      <c r="AF212" s="381"/>
      <c r="AG212" s="473"/>
      <c r="AH212" s="381"/>
      <c r="AI212" s="333">
        <v>15</v>
      </c>
      <c r="AJ212" s="337"/>
      <c r="AK212" s="335"/>
      <c r="AL212" s="347"/>
      <c r="AM212" s="333"/>
      <c r="AN212" s="381"/>
      <c r="AO212" s="333"/>
      <c r="AP212" s="381"/>
      <c r="AQ212" s="333"/>
      <c r="AR212" s="381"/>
      <c r="AS212" s="447"/>
      <c r="AT212" s="444"/>
      <c r="AU212" s="333"/>
      <c r="AV212" s="377"/>
      <c r="AW212" s="333"/>
      <c r="AX212" s="381"/>
      <c r="AY212" s="348"/>
      <c r="AZ212" s="349"/>
      <c r="BA212" s="342">
        <f ca="1">UDayCou(2,ROW())</f>
        <v>2</v>
      </c>
      <c r="BB212" s="343">
        <f ca="1">UNightCou(2,ROW())</f>
        <v>1</v>
      </c>
      <c r="BC212" s="344">
        <f ca="1">UNewCou(2,ROW())</f>
        <v>0</v>
      </c>
      <c r="BD212" s="327">
        <f t="shared" si="815"/>
        <v>45785</v>
      </c>
      <c r="BE212" s="371" t="str">
        <f t="shared" si="816"/>
        <v>木</v>
      </c>
      <c r="BF212" s="350"/>
      <c r="BG212" s="351"/>
      <c r="BH212" s="330"/>
      <c r="BI212" s="351"/>
      <c r="BJ212" s="330"/>
      <c r="BK212" s="351"/>
      <c r="BL212" s="330"/>
      <c r="BM212" s="351"/>
      <c r="BN212" s="330"/>
      <c r="BO212" s="351"/>
      <c r="BP212" s="330"/>
      <c r="BQ212" s="351"/>
      <c r="BR212" s="330"/>
      <c r="BS212" s="351"/>
      <c r="BT212" s="330"/>
      <c r="BU212" s="351"/>
      <c r="BV212" s="330"/>
      <c r="BW212" s="351"/>
      <c r="BX212" s="330"/>
      <c r="BY212" s="351"/>
      <c r="BZ212" s="389"/>
      <c r="CA212" s="341"/>
      <c r="CB212" s="342">
        <f ca="1">UDayCou(3,ROW())</f>
        <v>0</v>
      </c>
      <c r="CC212" s="343">
        <f ca="1">UNightCou(3,ROW())</f>
        <v>0</v>
      </c>
      <c r="CD212" s="344">
        <f ca="1">UNewCou(3,ROW())</f>
        <v>0</v>
      </c>
      <c r="CE212" s="327">
        <f t="shared" si="817"/>
        <v>45785</v>
      </c>
      <c r="CF212" s="371" t="str">
        <f t="shared" si="818"/>
        <v>木</v>
      </c>
      <c r="CG212" s="352">
        <f t="shared" ref="CG212" ca="1" si="835">Z212+BA212+CB212</f>
        <v>8</v>
      </c>
      <c r="CH212" s="353">
        <f t="shared" ref="CH212" ca="1" si="836">AA212+BB212+CC212</f>
        <v>6</v>
      </c>
      <c r="CI212" s="354">
        <f t="shared" ref="CI212" ca="1" si="837">AB212+BC212+CD212</f>
        <v>1</v>
      </c>
      <c r="CJ212" s="355">
        <f ca="1">COUNTIF(INDIRECT("D260:CA261"),"*●*")</f>
        <v>0</v>
      </c>
      <c r="CK212" s="356">
        <f ca="1">COUNTIF(INDIRECT("D260:CA261"),"*㋷*")</f>
        <v>0</v>
      </c>
      <c r="CL212" s="75"/>
      <c r="CN212" s="160">
        <f t="shared" si="822"/>
        <v>45785</v>
      </c>
      <c r="CO212" s="162" t="str">
        <f t="shared" si="823"/>
        <v>木</v>
      </c>
      <c r="CP212" s="357"/>
      <c r="CQ212" s="358"/>
      <c r="CR212" s="359"/>
      <c r="CS212" s="358"/>
      <c r="CT212" s="359"/>
      <c r="CU212" s="358"/>
      <c r="CZ212" s="73">
        <v>5</v>
      </c>
      <c r="DA212" s="73">
        <v>5</v>
      </c>
      <c r="DB212" s="73">
        <v>8</v>
      </c>
      <c r="DC212" s="74">
        <f t="shared" si="799"/>
        <v>45785</v>
      </c>
      <c r="DD212" s="68" t="str">
        <f t="shared" si="603"/>
        <v>木</v>
      </c>
      <c r="DF212" s="155">
        <f t="shared" ref="DF212" si="838">$DC212</f>
        <v>45785</v>
      </c>
      <c r="DG212" s="156" t="e">
        <f ca="1">IF($CH212&gt;=設定!$E$12,"✕",IF(SS予約表!$CG212&gt;=設定!$E$12,"△","○"))</f>
        <v>#NAME?</v>
      </c>
    </row>
    <row r="213" spans="1:111" ht="29.25" customHeight="1">
      <c r="A213" s="284"/>
      <c r="B213" s="285"/>
      <c r="C213" s="286" t="s">
        <v>28</v>
      </c>
      <c r="D213" s="289"/>
      <c r="E213" s="324"/>
      <c r="F213" s="299"/>
      <c r="G213" s="300"/>
      <c r="H213" s="360"/>
      <c r="I213" s="324"/>
      <c r="J213" s="476"/>
      <c r="K213" s="321"/>
      <c r="L213" s="449"/>
      <c r="M213" s="443"/>
      <c r="N213" s="320"/>
      <c r="O213" s="324"/>
      <c r="P213" s="320"/>
      <c r="Q213" s="321"/>
      <c r="R213" s="320"/>
      <c r="S213" s="324"/>
      <c r="T213" s="320"/>
      <c r="U213" s="321"/>
      <c r="V213" s="320"/>
      <c r="W213" s="324"/>
      <c r="X213" s="320"/>
      <c r="Y213" s="321"/>
      <c r="Z213" s="294"/>
      <c r="AA213" s="295"/>
      <c r="AB213" s="296"/>
      <c r="AC213" s="463"/>
      <c r="AD213" s="464"/>
      <c r="AE213" s="320"/>
      <c r="AF213" s="321"/>
      <c r="AG213" s="476"/>
      <c r="AH213" s="321"/>
      <c r="AI213" s="320"/>
      <c r="AJ213" s="321"/>
      <c r="AK213" s="320"/>
      <c r="AL213" s="321"/>
      <c r="AM213" s="320"/>
      <c r="AN213" s="321"/>
      <c r="AO213" s="320"/>
      <c r="AP213" s="321"/>
      <c r="AQ213" s="320"/>
      <c r="AR213" s="321"/>
      <c r="AS213" s="449"/>
      <c r="AT213" s="443"/>
      <c r="AU213" s="320"/>
      <c r="AV213" s="324"/>
      <c r="AW213" s="320"/>
      <c r="AX213" s="321"/>
      <c r="AY213" s="325"/>
      <c r="AZ213" s="326"/>
      <c r="BA213" s="294"/>
      <c r="BB213" s="295"/>
      <c r="BC213" s="296"/>
      <c r="BD213" s="284"/>
      <c r="BE213" s="298"/>
      <c r="BF213" s="305"/>
      <c r="BG213" s="302"/>
      <c r="BH213" s="301"/>
      <c r="BI213" s="302"/>
      <c r="BJ213" s="301"/>
      <c r="BK213" s="302"/>
      <c r="BL213" s="301"/>
      <c r="BM213" s="302"/>
      <c r="BN213" s="301"/>
      <c r="BO213" s="302"/>
      <c r="BP213" s="301"/>
      <c r="BQ213" s="302"/>
      <c r="BR213" s="301"/>
      <c r="BS213" s="302"/>
      <c r="BT213" s="301"/>
      <c r="BU213" s="302"/>
      <c r="BV213" s="301"/>
      <c r="BW213" s="302"/>
      <c r="BX213" s="301"/>
      <c r="BY213" s="302"/>
      <c r="BZ213" s="306"/>
      <c r="CA213" s="304"/>
      <c r="CB213" s="294"/>
      <c r="CC213" s="295"/>
      <c r="CD213" s="296"/>
      <c r="CE213" s="284"/>
      <c r="CF213" s="298"/>
      <c r="CG213" s="307"/>
      <c r="CH213" s="308"/>
      <c r="CI213" s="309"/>
      <c r="CJ213" s="310"/>
      <c r="CK213" s="311"/>
      <c r="CL213" s="75"/>
      <c r="CN213" s="161"/>
      <c r="CO213" s="163"/>
      <c r="CP213" s="315"/>
      <c r="CQ213" s="316"/>
      <c r="CR213" s="317"/>
      <c r="CS213" s="316"/>
      <c r="CT213" s="317"/>
      <c r="CU213" s="316"/>
      <c r="CZ213" s="73">
        <v>5</v>
      </c>
      <c r="DA213" s="73">
        <v>5</v>
      </c>
      <c r="DB213" s="73">
        <v>8</v>
      </c>
      <c r="DC213" s="74">
        <f t="shared" si="799"/>
        <v>45785</v>
      </c>
      <c r="DD213" s="68" t="str">
        <f t="shared" ref="DD213:DD276" si="839">TEXT($DC213,"aaa")</f>
        <v>木</v>
      </c>
      <c r="DF213" s="156"/>
      <c r="DG213" s="156"/>
    </row>
    <row r="214" spans="1:111" ht="28.5" customHeight="1">
      <c r="A214" s="327">
        <f t="shared" si="808"/>
        <v>45786</v>
      </c>
      <c r="B214" s="365" t="str">
        <f t="shared" si="809"/>
        <v>金</v>
      </c>
      <c r="C214" s="329" t="s">
        <v>27</v>
      </c>
      <c r="D214" s="431">
        <v>15</v>
      </c>
      <c r="E214" s="337"/>
      <c r="F214" s="335"/>
      <c r="G214" s="347"/>
      <c r="H214" s="368"/>
      <c r="I214" s="377"/>
      <c r="J214" s="473"/>
      <c r="K214" s="381"/>
      <c r="L214" s="447"/>
      <c r="M214" s="444"/>
      <c r="N214" s="333"/>
      <c r="O214" s="377"/>
      <c r="P214" s="333"/>
      <c r="Q214" s="381"/>
      <c r="R214" s="333"/>
      <c r="S214" s="377"/>
      <c r="T214" s="333"/>
      <c r="U214" s="381"/>
      <c r="V214" s="333"/>
      <c r="W214" s="377"/>
      <c r="X214" s="333"/>
      <c r="Y214" s="381"/>
      <c r="Z214" s="342">
        <f t="shared" ref="Z214" ca="1" si="840">UDayCou(1,ROW())</f>
        <v>8</v>
      </c>
      <c r="AA214" s="343">
        <f t="shared" ref="AA214" ca="1" si="841">UNightCou(1,ROW())</f>
        <v>7</v>
      </c>
      <c r="AB214" s="344">
        <f t="shared" ref="AB214" ca="1" si="842">UNewCou(1,ROW())</f>
        <v>1</v>
      </c>
      <c r="AC214" s="461">
        <f t="shared" si="813"/>
        <v>45786</v>
      </c>
      <c r="AD214" s="462" t="str">
        <f t="shared" si="814"/>
        <v>金</v>
      </c>
      <c r="AE214" s="333"/>
      <c r="AF214" s="381"/>
      <c r="AG214" s="473"/>
      <c r="AH214" s="381"/>
      <c r="AI214" s="333"/>
      <c r="AJ214" s="381"/>
      <c r="AK214" s="333"/>
      <c r="AL214" s="381"/>
      <c r="AM214" s="333"/>
      <c r="AN214" s="381"/>
      <c r="AO214" s="333"/>
      <c r="AP214" s="381"/>
      <c r="AQ214" s="333"/>
      <c r="AR214" s="381"/>
      <c r="AS214" s="447"/>
      <c r="AT214" s="444"/>
      <c r="AU214" s="333"/>
      <c r="AV214" s="377"/>
      <c r="AW214" s="333"/>
      <c r="AX214" s="381"/>
      <c r="AY214" s="348"/>
      <c r="AZ214" s="349"/>
      <c r="BA214" s="342">
        <f ca="1">UDayCou(2,ROW())</f>
        <v>1</v>
      </c>
      <c r="BB214" s="343">
        <f ca="1">UNightCou(2,ROW())</f>
        <v>1</v>
      </c>
      <c r="BC214" s="344">
        <f ca="1">UNewCou(2,ROW())</f>
        <v>0</v>
      </c>
      <c r="BD214" s="327">
        <f t="shared" si="815"/>
        <v>45786</v>
      </c>
      <c r="BE214" s="371" t="str">
        <f t="shared" si="816"/>
        <v>金</v>
      </c>
      <c r="BF214" s="350"/>
      <c r="BG214" s="351"/>
      <c r="BH214" s="330"/>
      <c r="BI214" s="351"/>
      <c r="BJ214" s="330"/>
      <c r="BK214" s="351"/>
      <c r="BL214" s="330"/>
      <c r="BM214" s="351"/>
      <c r="BN214" s="330"/>
      <c r="BO214" s="351"/>
      <c r="BP214" s="330"/>
      <c r="BQ214" s="351"/>
      <c r="BR214" s="330"/>
      <c r="BS214" s="351"/>
      <c r="BT214" s="330"/>
      <c r="BU214" s="351"/>
      <c r="BV214" s="330"/>
      <c r="BW214" s="351"/>
      <c r="BX214" s="330"/>
      <c r="BY214" s="351"/>
      <c r="BZ214" s="389"/>
      <c r="CA214" s="341"/>
      <c r="CB214" s="342">
        <f ca="1">UDayCou(3,ROW())</f>
        <v>0</v>
      </c>
      <c r="CC214" s="343">
        <f ca="1">UNightCou(3,ROW())</f>
        <v>0</v>
      </c>
      <c r="CD214" s="344">
        <f ca="1">UNewCou(3,ROW())</f>
        <v>0</v>
      </c>
      <c r="CE214" s="327">
        <f t="shared" si="817"/>
        <v>45786</v>
      </c>
      <c r="CF214" s="371" t="str">
        <f t="shared" si="818"/>
        <v>金</v>
      </c>
      <c r="CG214" s="352">
        <f t="shared" ref="CG214" ca="1" si="843">Z214+BA214+CB214</f>
        <v>9</v>
      </c>
      <c r="CH214" s="353">
        <f t="shared" ref="CH214" ca="1" si="844">AA214+BB214+CC214</f>
        <v>8</v>
      </c>
      <c r="CI214" s="354">
        <f t="shared" ref="CI214" ca="1" si="845">AB214+BC214+CD214</f>
        <v>1</v>
      </c>
      <c r="CJ214" s="355">
        <f ca="1">COUNTIF(INDIRECT("D262:CA263"),"*●*")</f>
        <v>0</v>
      </c>
      <c r="CK214" s="356">
        <f ca="1">COUNTIF(INDIRECT("D262:CA263"),"*㋷*")</f>
        <v>0</v>
      </c>
      <c r="CL214" s="75"/>
      <c r="CN214" s="160">
        <f t="shared" si="822"/>
        <v>45786</v>
      </c>
      <c r="CO214" s="162" t="str">
        <f t="shared" si="823"/>
        <v>金</v>
      </c>
      <c r="CP214" s="357"/>
      <c r="CQ214" s="358"/>
      <c r="CR214" s="359"/>
      <c r="CS214" s="358"/>
      <c r="CT214" s="359"/>
      <c r="CU214" s="358"/>
      <c r="CZ214" s="73">
        <v>5</v>
      </c>
      <c r="DA214" s="73">
        <v>5</v>
      </c>
      <c r="DB214" s="73">
        <v>9</v>
      </c>
      <c r="DC214" s="74">
        <f t="shared" si="799"/>
        <v>45786</v>
      </c>
      <c r="DD214" s="68" t="str">
        <f t="shared" si="839"/>
        <v>金</v>
      </c>
      <c r="DF214" s="155">
        <f t="shared" ref="DF214" si="846">$DC214</f>
        <v>45786</v>
      </c>
      <c r="DG214" s="156" t="e">
        <f ca="1">IF($CH214&gt;=設定!$E$12,"✕",IF(SS予約表!$CG214&gt;=設定!$E$12,"△","○"))</f>
        <v>#NAME?</v>
      </c>
    </row>
    <row r="215" spans="1:111" ht="29.25" customHeight="1">
      <c r="A215" s="284"/>
      <c r="B215" s="285"/>
      <c r="C215" s="286" t="s">
        <v>28</v>
      </c>
      <c r="D215" s="289">
        <v>10</v>
      </c>
      <c r="E215" s="324" t="s">
        <v>111</v>
      </c>
      <c r="F215" s="299"/>
      <c r="G215" s="300"/>
      <c r="H215" s="360"/>
      <c r="I215" s="324"/>
      <c r="J215" s="476"/>
      <c r="K215" s="321"/>
      <c r="L215" s="449"/>
      <c r="M215" s="443"/>
      <c r="N215" s="320"/>
      <c r="O215" s="324"/>
      <c r="P215" s="320">
        <v>10</v>
      </c>
      <c r="Q215" s="324" t="s">
        <v>110</v>
      </c>
      <c r="R215" s="320"/>
      <c r="S215" s="324"/>
      <c r="T215" s="320">
        <v>10</v>
      </c>
      <c r="U215" s="324" t="s">
        <v>110</v>
      </c>
      <c r="V215" s="320"/>
      <c r="W215" s="324"/>
      <c r="X215" s="320"/>
      <c r="Y215" s="321"/>
      <c r="Z215" s="294"/>
      <c r="AA215" s="295"/>
      <c r="AB215" s="296"/>
      <c r="AC215" s="463"/>
      <c r="AD215" s="464"/>
      <c r="AE215" s="320"/>
      <c r="AF215" s="321"/>
      <c r="AG215" s="476"/>
      <c r="AH215" s="321"/>
      <c r="AI215" s="320"/>
      <c r="AJ215" s="321"/>
      <c r="AK215" s="320"/>
      <c r="AL215" s="321"/>
      <c r="AM215" s="320"/>
      <c r="AN215" s="321"/>
      <c r="AO215" s="320"/>
      <c r="AP215" s="321"/>
      <c r="AQ215" s="320"/>
      <c r="AR215" s="321"/>
      <c r="AS215" s="449"/>
      <c r="AT215" s="443"/>
      <c r="AU215" s="320"/>
      <c r="AV215" s="324"/>
      <c r="AW215" s="320"/>
      <c r="AX215" s="321"/>
      <c r="AY215" s="325"/>
      <c r="AZ215" s="326"/>
      <c r="BA215" s="294"/>
      <c r="BB215" s="295"/>
      <c r="BC215" s="296"/>
      <c r="BD215" s="284"/>
      <c r="BE215" s="298"/>
      <c r="BF215" s="305"/>
      <c r="BG215" s="302"/>
      <c r="BH215" s="301"/>
      <c r="BI215" s="302"/>
      <c r="BJ215" s="301"/>
      <c r="BK215" s="302"/>
      <c r="BL215" s="301"/>
      <c r="BM215" s="302"/>
      <c r="BN215" s="301"/>
      <c r="BO215" s="302"/>
      <c r="BP215" s="301"/>
      <c r="BQ215" s="302"/>
      <c r="BR215" s="301"/>
      <c r="BS215" s="302"/>
      <c r="BT215" s="301"/>
      <c r="BU215" s="302"/>
      <c r="BV215" s="301"/>
      <c r="BW215" s="302"/>
      <c r="BX215" s="301"/>
      <c r="BY215" s="302"/>
      <c r="BZ215" s="306"/>
      <c r="CA215" s="304"/>
      <c r="CB215" s="294"/>
      <c r="CC215" s="295"/>
      <c r="CD215" s="296"/>
      <c r="CE215" s="284"/>
      <c r="CF215" s="298"/>
      <c r="CG215" s="307"/>
      <c r="CH215" s="308"/>
      <c r="CI215" s="309"/>
      <c r="CJ215" s="310"/>
      <c r="CK215" s="311"/>
      <c r="CL215" s="75"/>
      <c r="CN215" s="161"/>
      <c r="CO215" s="163"/>
      <c r="CP215" s="449">
        <v>10</v>
      </c>
      <c r="CQ215" s="384" t="s">
        <v>215</v>
      </c>
      <c r="CR215" s="317"/>
      <c r="CS215" s="316"/>
      <c r="CT215" s="317"/>
      <c r="CU215" s="316"/>
      <c r="CZ215" s="73">
        <v>5</v>
      </c>
      <c r="DA215" s="73">
        <v>5</v>
      </c>
      <c r="DB215" s="73">
        <v>9</v>
      </c>
      <c r="DC215" s="74">
        <f t="shared" si="799"/>
        <v>45786</v>
      </c>
      <c r="DD215" s="68" t="str">
        <f t="shared" si="839"/>
        <v>金</v>
      </c>
      <c r="DF215" s="156"/>
      <c r="DG215" s="156"/>
    </row>
    <row r="216" spans="1:111" ht="28.5" customHeight="1">
      <c r="A216" s="327">
        <f t="shared" si="808"/>
        <v>45787</v>
      </c>
      <c r="B216" s="393" t="str">
        <f t="shared" si="809"/>
        <v>土</v>
      </c>
      <c r="C216" s="329" t="s">
        <v>27</v>
      </c>
      <c r="D216" s="431"/>
      <c r="E216" s="377"/>
      <c r="F216" s="335"/>
      <c r="G216" s="347"/>
      <c r="H216" s="368"/>
      <c r="I216" s="377"/>
      <c r="J216" s="473"/>
      <c r="K216" s="381"/>
      <c r="L216" s="447"/>
      <c r="M216" s="444"/>
      <c r="N216" s="333">
        <v>15</v>
      </c>
      <c r="O216" s="337"/>
      <c r="P216" s="333"/>
      <c r="Q216" s="377"/>
      <c r="R216" s="333"/>
      <c r="S216" s="377"/>
      <c r="T216" s="333"/>
      <c r="U216" s="377"/>
      <c r="V216" s="333"/>
      <c r="W216" s="377"/>
      <c r="X216" s="333"/>
      <c r="Y216" s="381"/>
      <c r="Z216" s="342">
        <f t="shared" ref="Z216" ca="1" si="847">UDayCou(1,ROW())</f>
        <v>10</v>
      </c>
      <c r="AA216" s="343">
        <f t="shared" ref="AA216" ca="1" si="848">UNightCou(1,ROW())</f>
        <v>9</v>
      </c>
      <c r="AB216" s="344">
        <f t="shared" ref="AB216" ca="1" si="849">UNewCou(1,ROW())</f>
        <v>1</v>
      </c>
      <c r="AC216" s="461">
        <f t="shared" si="813"/>
        <v>45787</v>
      </c>
      <c r="AD216" s="465" t="str">
        <f t="shared" si="814"/>
        <v>土</v>
      </c>
      <c r="AE216" s="333"/>
      <c r="AF216" s="381"/>
      <c r="AG216" s="473"/>
      <c r="AH216" s="381"/>
      <c r="AI216" s="333"/>
      <c r="AJ216" s="381"/>
      <c r="AK216" s="333"/>
      <c r="AL216" s="381"/>
      <c r="AM216" s="333"/>
      <c r="AN216" s="381"/>
      <c r="AO216" s="333"/>
      <c r="AP216" s="381"/>
      <c r="AQ216" s="333"/>
      <c r="AR216" s="381"/>
      <c r="AS216" s="447"/>
      <c r="AT216" s="444"/>
      <c r="AU216" s="333"/>
      <c r="AV216" s="377"/>
      <c r="AW216" s="333"/>
      <c r="AX216" s="381"/>
      <c r="AY216" s="348"/>
      <c r="AZ216" s="349"/>
      <c r="BA216" s="342">
        <f ca="1">UDayCou(2,ROW())</f>
        <v>1</v>
      </c>
      <c r="BB216" s="343">
        <f ca="1">UNightCou(2,ROW())</f>
        <v>1</v>
      </c>
      <c r="BC216" s="344">
        <f ca="1">UNewCou(2,ROW())</f>
        <v>0</v>
      </c>
      <c r="BD216" s="327">
        <f t="shared" si="815"/>
        <v>45787</v>
      </c>
      <c r="BE216" s="394" t="str">
        <f t="shared" si="816"/>
        <v>土</v>
      </c>
      <c r="BF216" s="350"/>
      <c r="BG216" s="351"/>
      <c r="BH216" s="330"/>
      <c r="BI216" s="351"/>
      <c r="BJ216" s="330"/>
      <c r="BK216" s="351"/>
      <c r="BL216" s="330"/>
      <c r="BM216" s="351"/>
      <c r="BN216" s="330"/>
      <c r="BO216" s="351"/>
      <c r="BP216" s="330"/>
      <c r="BQ216" s="351"/>
      <c r="BR216" s="330"/>
      <c r="BS216" s="351"/>
      <c r="BT216" s="330"/>
      <c r="BU216" s="351"/>
      <c r="BV216" s="330"/>
      <c r="BW216" s="351"/>
      <c r="BX216" s="330"/>
      <c r="BY216" s="351"/>
      <c r="BZ216" s="389"/>
      <c r="CA216" s="341"/>
      <c r="CB216" s="342">
        <f ca="1">UDayCou(3,ROW())</f>
        <v>0</v>
      </c>
      <c r="CC216" s="343">
        <f ca="1">UNightCou(3,ROW())</f>
        <v>0</v>
      </c>
      <c r="CD216" s="344">
        <f ca="1">UNewCou(3,ROW())</f>
        <v>0</v>
      </c>
      <c r="CE216" s="327">
        <f t="shared" si="817"/>
        <v>45787</v>
      </c>
      <c r="CF216" s="394" t="str">
        <f t="shared" si="818"/>
        <v>土</v>
      </c>
      <c r="CG216" s="352">
        <f t="shared" ref="CG216" ca="1" si="850">Z216+BA216+CB216</f>
        <v>11</v>
      </c>
      <c r="CH216" s="353">
        <f t="shared" ref="CH216" ca="1" si="851">AA216+BB216+CC216</f>
        <v>10</v>
      </c>
      <c r="CI216" s="354">
        <f t="shared" ref="CI216" ca="1" si="852">AB216+BC216+CD216</f>
        <v>1</v>
      </c>
      <c r="CJ216" s="355">
        <f ca="1">COUNTIF(INDIRECT("D264:CA265"),"*●*")</f>
        <v>0</v>
      </c>
      <c r="CK216" s="356">
        <f ca="1">COUNTIF(INDIRECT("D264:CA265"),"*㋷*")</f>
        <v>0</v>
      </c>
      <c r="CL216" s="75"/>
      <c r="CN216" s="160">
        <f t="shared" si="822"/>
        <v>45787</v>
      </c>
      <c r="CO216" s="167" t="str">
        <f t="shared" si="823"/>
        <v>土</v>
      </c>
      <c r="CP216" s="447" t="s">
        <v>39</v>
      </c>
      <c r="CQ216" s="390"/>
      <c r="CR216" s="359"/>
      <c r="CS216" s="358"/>
      <c r="CT216" s="359"/>
      <c r="CU216" s="358"/>
      <c r="CZ216" s="73">
        <v>5</v>
      </c>
      <c r="DA216" s="73">
        <v>5</v>
      </c>
      <c r="DB216" s="73">
        <v>10</v>
      </c>
      <c r="DC216" s="74">
        <f t="shared" si="799"/>
        <v>45787</v>
      </c>
      <c r="DD216" s="68" t="str">
        <f t="shared" si="839"/>
        <v>土</v>
      </c>
      <c r="DF216" s="155">
        <f t="shared" ref="DF216" si="853">$DC216</f>
        <v>45787</v>
      </c>
      <c r="DG216" s="156" t="e">
        <f ca="1">IF($CH216&gt;=設定!$E$12,"✕",IF(SS予約表!$CG216&gt;=設定!$E$12,"△","○"))</f>
        <v>#NAME?</v>
      </c>
    </row>
    <row r="217" spans="1:111" ht="29.25" customHeight="1" thickBot="1">
      <c r="A217" s="284"/>
      <c r="B217" s="285"/>
      <c r="C217" s="286" t="s">
        <v>28</v>
      </c>
      <c r="D217" s="289"/>
      <c r="E217" s="324"/>
      <c r="F217" s="320">
        <v>10</v>
      </c>
      <c r="G217" s="324" t="s">
        <v>142</v>
      </c>
      <c r="H217" s="360"/>
      <c r="I217" s="324"/>
      <c r="J217" s="476">
        <v>10</v>
      </c>
      <c r="K217" s="324" t="s">
        <v>142</v>
      </c>
      <c r="L217" s="449"/>
      <c r="M217" s="443"/>
      <c r="N217" s="476">
        <v>10</v>
      </c>
      <c r="O217" s="324" t="s">
        <v>224</v>
      </c>
      <c r="P217" s="320"/>
      <c r="Q217" s="324"/>
      <c r="R217" s="320"/>
      <c r="S217" s="324"/>
      <c r="T217" s="320"/>
      <c r="U217" s="324"/>
      <c r="V217" s="320"/>
      <c r="W217" s="324"/>
      <c r="X217" s="467"/>
      <c r="Y217" s="443"/>
      <c r="Z217" s="294"/>
      <c r="AA217" s="295"/>
      <c r="AB217" s="296"/>
      <c r="AC217" s="463"/>
      <c r="AD217" s="464"/>
      <c r="AE217" s="320"/>
      <c r="AF217" s="321"/>
      <c r="AG217" s="476"/>
      <c r="AH217" s="321"/>
      <c r="AI217" s="320"/>
      <c r="AJ217" s="321"/>
      <c r="AK217" s="459"/>
      <c r="AL217" s="321"/>
      <c r="AM217" s="459"/>
      <c r="AN217" s="321"/>
      <c r="AO217" s="320"/>
      <c r="AP217" s="321"/>
      <c r="AQ217" s="320"/>
      <c r="AR217" s="321"/>
      <c r="AS217" s="449"/>
      <c r="AT217" s="443"/>
      <c r="AU217" s="320"/>
      <c r="AV217" s="324"/>
      <c r="AW217" s="320"/>
      <c r="AX217" s="321"/>
      <c r="AY217" s="325"/>
      <c r="AZ217" s="326"/>
      <c r="BA217" s="294"/>
      <c r="BB217" s="295"/>
      <c r="BC217" s="296"/>
      <c r="BD217" s="284"/>
      <c r="BE217" s="298"/>
      <c r="BF217" s="305"/>
      <c r="BG217" s="302"/>
      <c r="BH217" s="301"/>
      <c r="BI217" s="302"/>
      <c r="BJ217" s="301"/>
      <c r="BK217" s="302"/>
      <c r="BL217" s="301"/>
      <c r="BM217" s="302"/>
      <c r="BN217" s="301"/>
      <c r="BO217" s="302"/>
      <c r="BP217" s="301"/>
      <c r="BQ217" s="302"/>
      <c r="BR217" s="301"/>
      <c r="BS217" s="302"/>
      <c r="BT217" s="301"/>
      <c r="BU217" s="302"/>
      <c r="BV217" s="301"/>
      <c r="BW217" s="302"/>
      <c r="BX217" s="301"/>
      <c r="BY217" s="302"/>
      <c r="BZ217" s="306"/>
      <c r="CA217" s="304"/>
      <c r="CB217" s="294"/>
      <c r="CC217" s="295"/>
      <c r="CD217" s="296"/>
      <c r="CE217" s="284"/>
      <c r="CF217" s="298"/>
      <c r="CG217" s="307"/>
      <c r="CH217" s="308"/>
      <c r="CI217" s="309"/>
      <c r="CJ217" s="310"/>
      <c r="CK217" s="311"/>
      <c r="CL217" s="75"/>
      <c r="CN217" s="161"/>
      <c r="CO217" s="163"/>
      <c r="CP217" s="449" t="s">
        <v>39</v>
      </c>
      <c r="CQ217" s="384"/>
      <c r="CR217" s="317"/>
      <c r="CS217" s="316"/>
      <c r="CT217" s="317"/>
      <c r="CU217" s="316"/>
      <c r="CZ217" s="73">
        <v>5</v>
      </c>
      <c r="DA217" s="73">
        <v>5</v>
      </c>
      <c r="DB217" s="73">
        <v>10</v>
      </c>
      <c r="DC217" s="74">
        <f t="shared" si="799"/>
        <v>45787</v>
      </c>
      <c r="DD217" s="68" t="str">
        <f t="shared" si="839"/>
        <v>土</v>
      </c>
      <c r="DF217" s="156"/>
      <c r="DG217" s="156"/>
    </row>
    <row r="218" spans="1:111" ht="28.5" customHeight="1">
      <c r="A218" s="491">
        <f t="shared" si="808"/>
        <v>45788</v>
      </c>
      <c r="B218" s="492" t="str">
        <f t="shared" si="809"/>
        <v>日</v>
      </c>
      <c r="C218" s="493" t="s">
        <v>27</v>
      </c>
      <c r="D218" s="550"/>
      <c r="E218" s="527"/>
      <c r="F218" s="497"/>
      <c r="G218" s="527"/>
      <c r="H218" s="529"/>
      <c r="I218" s="527"/>
      <c r="J218" s="570"/>
      <c r="K218" s="527"/>
      <c r="L218" s="557"/>
      <c r="M218" s="555"/>
      <c r="N218" s="570"/>
      <c r="O218" s="527"/>
      <c r="P218" s="497"/>
      <c r="Q218" s="527"/>
      <c r="R218" s="497"/>
      <c r="S218" s="527"/>
      <c r="T218" s="497"/>
      <c r="U218" s="527"/>
      <c r="V218" s="497"/>
      <c r="W218" s="527"/>
      <c r="X218" s="564"/>
      <c r="Y218" s="555"/>
      <c r="Z218" s="506">
        <f t="shared" ref="Z218" ca="1" si="854">UDayCou(1,ROW())</f>
        <v>9</v>
      </c>
      <c r="AA218" s="507">
        <f t="shared" ref="AA218" ca="1" si="855">UNightCou(1,ROW())</f>
        <v>9</v>
      </c>
      <c r="AB218" s="508">
        <f t="shared" ref="AB218" ca="1" si="856">UNewCou(1,ROW())</f>
        <v>1</v>
      </c>
      <c r="AC218" s="559">
        <f t="shared" si="813"/>
        <v>45788</v>
      </c>
      <c r="AD218" s="572" t="str">
        <f t="shared" si="814"/>
        <v>日</v>
      </c>
      <c r="AE218" s="497"/>
      <c r="AF218" s="526"/>
      <c r="AG218" s="570"/>
      <c r="AH218" s="526"/>
      <c r="AI218" s="497"/>
      <c r="AJ218" s="526"/>
      <c r="AK218" s="558"/>
      <c r="AL218" s="526"/>
      <c r="AM218" s="558"/>
      <c r="AN218" s="526"/>
      <c r="AO218" s="497"/>
      <c r="AP218" s="526"/>
      <c r="AQ218" s="497"/>
      <c r="AR218" s="526"/>
      <c r="AS218" s="557"/>
      <c r="AT218" s="555"/>
      <c r="AU218" s="497"/>
      <c r="AV218" s="527"/>
      <c r="AW218" s="497"/>
      <c r="AX218" s="526"/>
      <c r="AY218" s="512"/>
      <c r="AZ218" s="513"/>
      <c r="BA218" s="506">
        <f ca="1">UDayCou(2,ROW())</f>
        <v>1</v>
      </c>
      <c r="BB218" s="507">
        <f ca="1">UNightCou(2,ROW())</f>
        <v>1</v>
      </c>
      <c r="BC218" s="508">
        <f ca="1">UNewCou(2,ROW())</f>
        <v>0</v>
      </c>
      <c r="BD218" s="491">
        <f t="shared" si="815"/>
        <v>45788</v>
      </c>
      <c r="BE218" s="510" t="str">
        <f t="shared" si="816"/>
        <v>日</v>
      </c>
      <c r="BF218" s="514"/>
      <c r="BG218" s="515"/>
      <c r="BH218" s="494"/>
      <c r="BI218" s="515"/>
      <c r="BJ218" s="494"/>
      <c r="BK218" s="515"/>
      <c r="BL218" s="494"/>
      <c r="BM218" s="515"/>
      <c r="BN218" s="494"/>
      <c r="BO218" s="515"/>
      <c r="BP218" s="494"/>
      <c r="BQ218" s="515"/>
      <c r="BR218" s="494"/>
      <c r="BS218" s="515"/>
      <c r="BT218" s="494"/>
      <c r="BU218" s="515"/>
      <c r="BV218" s="494"/>
      <c r="BW218" s="515"/>
      <c r="BX218" s="494"/>
      <c r="BY218" s="515"/>
      <c r="BZ218" s="530"/>
      <c r="CA218" s="505"/>
      <c r="CB218" s="506">
        <f ca="1">UDayCou(3,ROW())</f>
        <v>0</v>
      </c>
      <c r="CC218" s="507">
        <f ca="1">UNightCou(3,ROW())</f>
        <v>0</v>
      </c>
      <c r="CD218" s="508">
        <f ca="1">UNewCou(3,ROW())</f>
        <v>0</v>
      </c>
      <c r="CE218" s="491">
        <f t="shared" si="817"/>
        <v>45788</v>
      </c>
      <c r="CF218" s="510" t="str">
        <f t="shared" si="818"/>
        <v>日</v>
      </c>
      <c r="CG218" s="516">
        <f t="shared" ref="CG218" ca="1" si="857">Z218+BA218+CB218</f>
        <v>10</v>
      </c>
      <c r="CH218" s="517">
        <f t="shared" ref="CH218" ca="1" si="858">AA218+BB218+CC218</f>
        <v>10</v>
      </c>
      <c r="CI218" s="518">
        <f t="shared" ref="CI218" ca="1" si="859">AB218+BC218+CD218</f>
        <v>1</v>
      </c>
      <c r="CJ218" s="519">
        <f ca="1">COUNTIF(INDIRECT("D266:CA267"),"*●*")</f>
        <v>0</v>
      </c>
      <c r="CK218" s="520">
        <f ca="1">COUNTIF(INDIRECT("D266:CA267"),"*㋷*")</f>
        <v>0</v>
      </c>
      <c r="CL218" s="75"/>
      <c r="CN218" s="164">
        <f t="shared" si="822"/>
        <v>45788</v>
      </c>
      <c r="CO218" s="166" t="str">
        <f t="shared" si="823"/>
        <v>日</v>
      </c>
      <c r="CP218" s="557">
        <v>15</v>
      </c>
      <c r="CQ218" s="562"/>
      <c r="CR218" s="523"/>
      <c r="CS218" s="522"/>
      <c r="CT218" s="523"/>
      <c r="CU218" s="522"/>
      <c r="CZ218" s="73">
        <v>5</v>
      </c>
      <c r="DA218" s="73">
        <v>5</v>
      </c>
      <c r="DB218" s="73">
        <v>11</v>
      </c>
      <c r="DC218" s="74">
        <f t="shared" si="799"/>
        <v>45788</v>
      </c>
      <c r="DD218" s="68" t="str">
        <f t="shared" si="839"/>
        <v>日</v>
      </c>
      <c r="DF218" s="155">
        <f t="shared" ref="DF218" si="860">$DC218</f>
        <v>45788</v>
      </c>
      <c r="DG218" s="156" t="e">
        <f ca="1">IF($CH218&gt;=設定!$E$12,"✕",IF(SS予約表!$CG218&gt;=設定!$E$12,"△","○"))</f>
        <v>#NAME?</v>
      </c>
    </row>
    <row r="219" spans="1:111" ht="29.25" customHeight="1">
      <c r="A219" s="284"/>
      <c r="B219" s="285"/>
      <c r="C219" s="286" t="s">
        <v>28</v>
      </c>
      <c r="D219" s="289"/>
      <c r="E219" s="324"/>
      <c r="F219" s="320"/>
      <c r="G219" s="324"/>
      <c r="H219" s="360"/>
      <c r="I219" s="324"/>
      <c r="J219" s="476"/>
      <c r="K219" s="324"/>
      <c r="L219" s="449"/>
      <c r="M219" s="443"/>
      <c r="N219" s="467"/>
      <c r="O219" s="384"/>
      <c r="P219" s="320"/>
      <c r="Q219" s="324"/>
      <c r="R219" s="320"/>
      <c r="S219" s="324"/>
      <c r="T219" s="320"/>
      <c r="U219" s="324"/>
      <c r="V219" s="320"/>
      <c r="W219" s="324"/>
      <c r="X219" s="467"/>
      <c r="Y219" s="443"/>
      <c r="Z219" s="294"/>
      <c r="AA219" s="295"/>
      <c r="AB219" s="296"/>
      <c r="AC219" s="463"/>
      <c r="AD219" s="464"/>
      <c r="AE219" s="320"/>
      <c r="AF219" s="321"/>
      <c r="AG219" s="320"/>
      <c r="AH219" s="321"/>
      <c r="AI219" s="320"/>
      <c r="AJ219" s="321"/>
      <c r="AK219" s="459"/>
      <c r="AL219" s="321"/>
      <c r="AM219" s="320"/>
      <c r="AN219" s="321"/>
      <c r="AO219" s="320"/>
      <c r="AP219" s="321"/>
      <c r="AQ219" s="320"/>
      <c r="AR219" s="321"/>
      <c r="AS219" s="449"/>
      <c r="AT219" s="443"/>
      <c r="AU219" s="320"/>
      <c r="AV219" s="324"/>
      <c r="AW219" s="320"/>
      <c r="AX219" s="321"/>
      <c r="AY219" s="325"/>
      <c r="AZ219" s="326"/>
      <c r="BA219" s="294"/>
      <c r="BB219" s="295"/>
      <c r="BC219" s="296"/>
      <c r="BD219" s="284"/>
      <c r="BE219" s="298"/>
      <c r="BF219" s="305"/>
      <c r="BG219" s="302"/>
      <c r="BH219" s="301"/>
      <c r="BI219" s="302"/>
      <c r="BJ219" s="301"/>
      <c r="BK219" s="302"/>
      <c r="BL219" s="301"/>
      <c r="BM219" s="302"/>
      <c r="BN219" s="301"/>
      <c r="BO219" s="302"/>
      <c r="BP219" s="301"/>
      <c r="BQ219" s="302"/>
      <c r="BR219" s="301"/>
      <c r="BS219" s="302"/>
      <c r="BT219" s="301"/>
      <c r="BU219" s="302"/>
      <c r="BV219" s="301"/>
      <c r="BW219" s="302"/>
      <c r="BX219" s="301"/>
      <c r="BY219" s="302"/>
      <c r="BZ219" s="306"/>
      <c r="CA219" s="304"/>
      <c r="CB219" s="294"/>
      <c r="CC219" s="295"/>
      <c r="CD219" s="296"/>
      <c r="CE219" s="284"/>
      <c r="CF219" s="298"/>
      <c r="CG219" s="307"/>
      <c r="CH219" s="308"/>
      <c r="CI219" s="309"/>
      <c r="CJ219" s="310"/>
      <c r="CK219" s="311"/>
      <c r="CL219" s="75"/>
      <c r="CN219" s="161"/>
      <c r="CO219" s="163"/>
      <c r="CP219" s="315"/>
      <c r="CQ219" s="316"/>
      <c r="CR219" s="317"/>
      <c r="CS219" s="316"/>
      <c r="CT219" s="317"/>
      <c r="CU219" s="316"/>
      <c r="CZ219" s="73">
        <v>5</v>
      </c>
      <c r="DA219" s="73">
        <v>5</v>
      </c>
      <c r="DB219" s="73">
        <v>11</v>
      </c>
      <c r="DC219" s="74">
        <f t="shared" si="799"/>
        <v>45788</v>
      </c>
      <c r="DD219" s="68" t="str">
        <f t="shared" si="839"/>
        <v>日</v>
      </c>
      <c r="DF219" s="156"/>
      <c r="DG219" s="156"/>
    </row>
    <row r="220" spans="1:111" ht="28.5" customHeight="1">
      <c r="A220" s="327">
        <f t="shared" si="808"/>
        <v>45789</v>
      </c>
      <c r="B220" s="365" t="str">
        <f t="shared" si="809"/>
        <v>月</v>
      </c>
      <c r="C220" s="329" t="s">
        <v>27</v>
      </c>
      <c r="D220" s="431">
        <v>15</v>
      </c>
      <c r="E220" s="337"/>
      <c r="F220" s="333">
        <v>15</v>
      </c>
      <c r="G220" s="337"/>
      <c r="H220" s="368"/>
      <c r="I220" s="377"/>
      <c r="J220" s="473">
        <v>15</v>
      </c>
      <c r="K220" s="337"/>
      <c r="L220" s="447"/>
      <c r="M220" s="444"/>
      <c r="N220" s="468"/>
      <c r="O220" s="390"/>
      <c r="P220" s="333"/>
      <c r="Q220" s="377"/>
      <c r="R220" s="333"/>
      <c r="S220" s="377"/>
      <c r="T220" s="333"/>
      <c r="U220" s="377"/>
      <c r="V220" s="333"/>
      <c r="W220" s="377"/>
      <c r="X220" s="468"/>
      <c r="Y220" s="444"/>
      <c r="Z220" s="342">
        <f t="shared" ref="Z220" ca="1" si="861">UDayCou(1,ROW())</f>
        <v>9</v>
      </c>
      <c r="AA220" s="343">
        <f t="shared" ref="AA220" ca="1" si="862">UNightCou(1,ROW())</f>
        <v>6</v>
      </c>
      <c r="AB220" s="344">
        <f t="shared" ref="AB220" ca="1" si="863">UNewCou(1,ROW())</f>
        <v>1</v>
      </c>
      <c r="AC220" s="461">
        <f t="shared" si="813"/>
        <v>45789</v>
      </c>
      <c r="AD220" s="462" t="str">
        <f t="shared" si="814"/>
        <v>月</v>
      </c>
      <c r="AE220" s="333"/>
      <c r="AF220" s="381"/>
      <c r="AG220" s="333"/>
      <c r="AH220" s="381"/>
      <c r="AI220" s="333"/>
      <c r="AJ220" s="381"/>
      <c r="AK220" s="460"/>
      <c r="AL220" s="381"/>
      <c r="AM220" s="333"/>
      <c r="AN220" s="381"/>
      <c r="AO220" s="333"/>
      <c r="AP220" s="381"/>
      <c r="AQ220" s="333"/>
      <c r="AR220" s="381"/>
      <c r="AS220" s="447"/>
      <c r="AT220" s="444"/>
      <c r="AU220" s="333"/>
      <c r="AV220" s="377"/>
      <c r="AW220" s="333"/>
      <c r="AX220" s="381"/>
      <c r="AY220" s="348"/>
      <c r="AZ220" s="349"/>
      <c r="BA220" s="342">
        <f ca="1">UDayCou(2,ROW())</f>
        <v>2</v>
      </c>
      <c r="BB220" s="343">
        <f ca="1">UNightCou(2,ROW())</f>
        <v>2</v>
      </c>
      <c r="BC220" s="344">
        <f ca="1">UNewCou(2,ROW())</f>
        <v>0</v>
      </c>
      <c r="BD220" s="327">
        <f t="shared" si="815"/>
        <v>45789</v>
      </c>
      <c r="BE220" s="371" t="str">
        <f t="shared" si="816"/>
        <v>月</v>
      </c>
      <c r="BF220" s="350"/>
      <c r="BG220" s="351"/>
      <c r="BH220" s="330"/>
      <c r="BI220" s="351"/>
      <c r="BJ220" s="330"/>
      <c r="BK220" s="351"/>
      <c r="BL220" s="330"/>
      <c r="BM220" s="351"/>
      <c r="BN220" s="330"/>
      <c r="BO220" s="351"/>
      <c r="BP220" s="330"/>
      <c r="BQ220" s="351"/>
      <c r="BR220" s="330"/>
      <c r="BS220" s="351"/>
      <c r="BT220" s="330"/>
      <c r="BU220" s="351"/>
      <c r="BV220" s="330"/>
      <c r="BW220" s="351"/>
      <c r="BX220" s="330"/>
      <c r="BY220" s="351"/>
      <c r="BZ220" s="389"/>
      <c r="CA220" s="341"/>
      <c r="CB220" s="342">
        <f ca="1">UDayCou(3,ROW())</f>
        <v>0</v>
      </c>
      <c r="CC220" s="343">
        <f ca="1">UNightCou(3,ROW())</f>
        <v>0</v>
      </c>
      <c r="CD220" s="344">
        <f ca="1">UNewCou(3,ROW())</f>
        <v>0</v>
      </c>
      <c r="CE220" s="327">
        <f t="shared" si="817"/>
        <v>45789</v>
      </c>
      <c r="CF220" s="371" t="str">
        <f t="shared" si="818"/>
        <v>月</v>
      </c>
      <c r="CG220" s="352">
        <f t="shared" ref="CG220" ca="1" si="864">Z220+BA220+CB220</f>
        <v>11</v>
      </c>
      <c r="CH220" s="353">
        <f t="shared" ref="CH220" ca="1" si="865">AA220+BB220+CC220</f>
        <v>8</v>
      </c>
      <c r="CI220" s="354">
        <f t="shared" ref="CI220" ca="1" si="866">AB220+BC220+CD220</f>
        <v>1</v>
      </c>
      <c r="CJ220" s="355">
        <f ca="1">COUNTIF(INDIRECT("D268:CA269"),"*●*")</f>
        <v>0</v>
      </c>
      <c r="CK220" s="356">
        <f ca="1">COUNTIF(INDIRECT("D268:CA269"),"*㋷*")</f>
        <v>0</v>
      </c>
      <c r="CL220" s="75"/>
      <c r="CN220" s="160">
        <f t="shared" si="822"/>
        <v>45789</v>
      </c>
      <c r="CO220" s="162" t="str">
        <f t="shared" si="823"/>
        <v>月</v>
      </c>
      <c r="CP220" s="357"/>
      <c r="CQ220" s="358"/>
      <c r="CR220" s="359"/>
      <c r="CS220" s="358"/>
      <c r="CT220" s="359"/>
      <c r="CU220" s="358"/>
      <c r="CZ220" s="73">
        <v>5</v>
      </c>
      <c r="DA220" s="73">
        <v>5</v>
      </c>
      <c r="DB220" s="73">
        <v>12</v>
      </c>
      <c r="DC220" s="74">
        <f t="shared" si="799"/>
        <v>45789</v>
      </c>
      <c r="DD220" s="68" t="str">
        <f t="shared" si="839"/>
        <v>月</v>
      </c>
      <c r="DF220" s="155">
        <f t="shared" ref="DF220" si="867">$DC220</f>
        <v>45789</v>
      </c>
      <c r="DG220" s="156" t="e">
        <f ca="1">IF($CH220&gt;=設定!$E$12,"✕",IF(SS予約表!$CG220&gt;=設定!$E$12,"△","○"))</f>
        <v>#NAME?</v>
      </c>
    </row>
    <row r="221" spans="1:111" ht="29.25" customHeight="1">
      <c r="A221" s="284"/>
      <c r="B221" s="285"/>
      <c r="C221" s="286" t="s">
        <v>28</v>
      </c>
      <c r="D221" s="289"/>
      <c r="E221" s="321"/>
      <c r="F221" s="299"/>
      <c r="G221" s="300"/>
      <c r="H221" s="360"/>
      <c r="I221" s="324"/>
      <c r="J221" s="476"/>
      <c r="K221" s="321"/>
      <c r="L221" s="449"/>
      <c r="M221" s="443"/>
      <c r="N221" s="467"/>
      <c r="O221" s="384"/>
      <c r="P221" s="320"/>
      <c r="Q221" s="324"/>
      <c r="R221" s="320"/>
      <c r="S221" s="324"/>
      <c r="T221" s="320"/>
      <c r="U221" s="324"/>
      <c r="V221" s="299"/>
      <c r="W221" s="322"/>
      <c r="X221" s="467"/>
      <c r="Y221" s="443"/>
      <c r="Z221" s="294"/>
      <c r="AA221" s="295"/>
      <c r="AB221" s="296"/>
      <c r="AC221" s="463"/>
      <c r="AD221" s="464"/>
      <c r="AE221" s="320">
        <v>10</v>
      </c>
      <c r="AF221" s="324" t="s">
        <v>145</v>
      </c>
      <c r="AG221" s="320"/>
      <c r="AH221" s="321"/>
      <c r="AI221" s="320"/>
      <c r="AJ221" s="321"/>
      <c r="AK221" s="411"/>
      <c r="AL221" s="300"/>
      <c r="AM221" s="320"/>
      <c r="AN221" s="321"/>
      <c r="AO221" s="320"/>
      <c r="AP221" s="321"/>
      <c r="AQ221" s="320"/>
      <c r="AR221" s="321"/>
      <c r="AS221" s="422"/>
      <c r="AT221" s="423"/>
      <c r="AU221" s="320"/>
      <c r="AV221" s="324"/>
      <c r="AW221" s="320"/>
      <c r="AX221" s="321"/>
      <c r="AY221" s="325"/>
      <c r="AZ221" s="326"/>
      <c r="BA221" s="294"/>
      <c r="BB221" s="295"/>
      <c r="BC221" s="296"/>
      <c r="BD221" s="284"/>
      <c r="BE221" s="298"/>
      <c r="BF221" s="305"/>
      <c r="BG221" s="302"/>
      <c r="BH221" s="301"/>
      <c r="BI221" s="302"/>
      <c r="BJ221" s="301"/>
      <c r="BK221" s="302"/>
      <c r="BL221" s="301"/>
      <c r="BM221" s="302"/>
      <c r="BN221" s="301"/>
      <c r="BO221" s="302"/>
      <c r="BP221" s="301"/>
      <c r="BQ221" s="302"/>
      <c r="BR221" s="301"/>
      <c r="BS221" s="302"/>
      <c r="BT221" s="301"/>
      <c r="BU221" s="302"/>
      <c r="BV221" s="301"/>
      <c r="BW221" s="302"/>
      <c r="BX221" s="301"/>
      <c r="BY221" s="302"/>
      <c r="BZ221" s="306"/>
      <c r="CA221" s="304"/>
      <c r="CB221" s="294"/>
      <c r="CC221" s="295"/>
      <c r="CD221" s="296"/>
      <c r="CE221" s="284"/>
      <c r="CF221" s="298"/>
      <c r="CG221" s="307"/>
      <c r="CH221" s="308"/>
      <c r="CI221" s="309"/>
      <c r="CJ221" s="310"/>
      <c r="CK221" s="311"/>
      <c r="CL221" s="75"/>
      <c r="CN221" s="161"/>
      <c r="CO221" s="163"/>
      <c r="CP221" s="315"/>
      <c r="CQ221" s="316"/>
      <c r="CR221" s="317"/>
      <c r="CS221" s="316"/>
      <c r="CT221" s="317"/>
      <c r="CU221" s="316"/>
      <c r="CZ221" s="73">
        <v>5</v>
      </c>
      <c r="DA221" s="73">
        <v>5</v>
      </c>
      <c r="DB221" s="73">
        <v>12</v>
      </c>
      <c r="DC221" s="74">
        <f t="shared" si="799"/>
        <v>45789</v>
      </c>
      <c r="DD221" s="68" t="str">
        <f t="shared" si="839"/>
        <v>月</v>
      </c>
      <c r="DF221" s="156"/>
      <c r="DG221" s="156"/>
    </row>
    <row r="222" spans="1:111" ht="28.5" customHeight="1">
      <c r="A222" s="327">
        <f t="shared" si="808"/>
        <v>45790</v>
      </c>
      <c r="B222" s="365" t="str">
        <f t="shared" si="809"/>
        <v>火</v>
      </c>
      <c r="C222" s="329" t="s">
        <v>27</v>
      </c>
      <c r="D222" s="431"/>
      <c r="E222" s="432"/>
      <c r="F222" s="335"/>
      <c r="G222" s="347"/>
      <c r="H222" s="482"/>
      <c r="I222" s="439"/>
      <c r="J222" s="405"/>
      <c r="K222" s="432"/>
      <c r="L222" s="425"/>
      <c r="M222" s="426"/>
      <c r="N222" s="483">
        <v>15</v>
      </c>
      <c r="O222" s="484"/>
      <c r="P222" s="431">
        <v>15</v>
      </c>
      <c r="Q222" s="453"/>
      <c r="R222" s="431"/>
      <c r="S222" s="439"/>
      <c r="T222" s="431">
        <v>15</v>
      </c>
      <c r="U222" s="453"/>
      <c r="V222" s="335"/>
      <c r="W222" s="409"/>
      <c r="X222" s="483"/>
      <c r="Y222" s="485"/>
      <c r="Z222" s="342">
        <f t="shared" ref="Z222" ca="1" si="868">UDayCou(1,ROW())</f>
        <v>8</v>
      </c>
      <c r="AA222" s="343">
        <f t="shared" ref="AA222" ca="1" si="869">UNightCou(1,ROW())</f>
        <v>5</v>
      </c>
      <c r="AB222" s="344">
        <f t="shared" ref="AB222" ca="1" si="870">UNewCou(1,ROW())</f>
        <v>1</v>
      </c>
      <c r="AC222" s="345">
        <f t="shared" si="813"/>
        <v>45790</v>
      </c>
      <c r="AD222" s="371" t="str">
        <f t="shared" si="814"/>
        <v>火</v>
      </c>
      <c r="AE222" s="431"/>
      <c r="AF222" s="439"/>
      <c r="AG222" s="431"/>
      <c r="AH222" s="432"/>
      <c r="AI222" s="431"/>
      <c r="AJ222" s="432"/>
      <c r="AK222" s="440"/>
      <c r="AL222" s="347"/>
      <c r="AM222" s="431"/>
      <c r="AN222" s="432"/>
      <c r="AO222" s="431"/>
      <c r="AP222" s="432"/>
      <c r="AQ222" s="431"/>
      <c r="AR222" s="432"/>
      <c r="AS222" s="425"/>
      <c r="AT222" s="426"/>
      <c r="AU222" s="431"/>
      <c r="AV222" s="439"/>
      <c r="AW222" s="431"/>
      <c r="AX222" s="432"/>
      <c r="AY222" s="340"/>
      <c r="AZ222" s="341"/>
      <c r="BA222" s="342">
        <f ca="1">UDayCou(2,ROW())</f>
        <v>3</v>
      </c>
      <c r="BB222" s="343">
        <f ca="1">UNightCou(2,ROW())</f>
        <v>3</v>
      </c>
      <c r="BC222" s="344">
        <f ca="1">UNewCou(2,ROW())</f>
        <v>0</v>
      </c>
      <c r="BD222" s="327">
        <f t="shared" si="815"/>
        <v>45790</v>
      </c>
      <c r="BE222" s="371" t="str">
        <f t="shared" si="816"/>
        <v>火</v>
      </c>
      <c r="BF222" s="350"/>
      <c r="BG222" s="351"/>
      <c r="BH222" s="330"/>
      <c r="BI222" s="351"/>
      <c r="BJ222" s="330"/>
      <c r="BK222" s="351"/>
      <c r="BL222" s="330"/>
      <c r="BM222" s="351"/>
      <c r="BN222" s="330"/>
      <c r="BO222" s="351"/>
      <c r="BP222" s="330"/>
      <c r="BQ222" s="351"/>
      <c r="BR222" s="330"/>
      <c r="BS222" s="351"/>
      <c r="BT222" s="330"/>
      <c r="BU222" s="351"/>
      <c r="BV222" s="330"/>
      <c r="BW222" s="351"/>
      <c r="BX222" s="330"/>
      <c r="BY222" s="351"/>
      <c r="BZ222" s="389"/>
      <c r="CA222" s="341"/>
      <c r="CB222" s="342">
        <f ca="1">UDayCou(3,ROW())</f>
        <v>0</v>
      </c>
      <c r="CC222" s="343">
        <f ca="1">UNightCou(3,ROW())</f>
        <v>0</v>
      </c>
      <c r="CD222" s="344">
        <f ca="1">UNewCou(3,ROW())</f>
        <v>0</v>
      </c>
      <c r="CE222" s="327">
        <f t="shared" si="817"/>
        <v>45790</v>
      </c>
      <c r="CF222" s="371" t="str">
        <f t="shared" si="818"/>
        <v>火</v>
      </c>
      <c r="CG222" s="352">
        <f t="shared" ref="CG222" ca="1" si="871">Z222+BA222+CB222</f>
        <v>11</v>
      </c>
      <c r="CH222" s="353">
        <f t="shared" ref="CH222" ca="1" si="872">AA222+BB222+CC222</f>
        <v>8</v>
      </c>
      <c r="CI222" s="354">
        <f t="shared" ref="CI222" ca="1" si="873">AB222+BC222+CD222</f>
        <v>1</v>
      </c>
      <c r="CJ222" s="355">
        <f ca="1">COUNTIF(INDIRECT("D270:CA271"),"*●*")</f>
        <v>0</v>
      </c>
      <c r="CK222" s="356">
        <f ca="1">COUNTIF(INDIRECT("D270:CA271"),"*㋷*")</f>
        <v>0</v>
      </c>
      <c r="CL222" s="75"/>
      <c r="CN222" s="160">
        <f t="shared" si="822"/>
        <v>45790</v>
      </c>
      <c r="CO222" s="162" t="str">
        <f t="shared" si="823"/>
        <v>火</v>
      </c>
      <c r="CP222" s="357"/>
      <c r="CQ222" s="358"/>
      <c r="CR222" s="359"/>
      <c r="CS222" s="358"/>
      <c r="CT222" s="359"/>
      <c r="CU222" s="358"/>
      <c r="CZ222" s="73">
        <v>5</v>
      </c>
      <c r="DA222" s="73">
        <v>5</v>
      </c>
      <c r="DB222" s="73">
        <v>13</v>
      </c>
      <c r="DC222" s="74">
        <f t="shared" si="799"/>
        <v>45790</v>
      </c>
      <c r="DD222" s="68" t="str">
        <f t="shared" si="839"/>
        <v>火</v>
      </c>
      <c r="DF222" s="155">
        <f t="shared" ref="DF222" si="874">$DC222</f>
        <v>45790</v>
      </c>
      <c r="DG222" s="156" t="e">
        <f ca="1">IF($CH222&gt;=設定!$E$12,"✕",IF(SS予約表!$CG222&gt;=設定!$E$12,"△","○"))</f>
        <v>#NAME?</v>
      </c>
    </row>
    <row r="223" spans="1:111" ht="29.25" customHeight="1">
      <c r="A223" s="284"/>
      <c r="B223" s="285"/>
      <c r="C223" s="286" t="s">
        <v>28</v>
      </c>
      <c r="D223" s="289"/>
      <c r="E223" s="291"/>
      <c r="F223" s="289">
        <v>10</v>
      </c>
      <c r="G223" s="288" t="s">
        <v>50</v>
      </c>
      <c r="H223" s="290"/>
      <c r="I223" s="288"/>
      <c r="J223" s="287"/>
      <c r="K223" s="291"/>
      <c r="L223" s="422">
        <v>10</v>
      </c>
      <c r="M223" s="364" t="s">
        <v>132</v>
      </c>
      <c r="N223" s="289"/>
      <c r="O223" s="291"/>
      <c r="P223" s="289"/>
      <c r="Q223" s="291"/>
      <c r="R223" s="289"/>
      <c r="S223" s="288"/>
      <c r="T223" s="289"/>
      <c r="U223" s="291"/>
      <c r="V223" s="299"/>
      <c r="W223" s="322"/>
      <c r="X223" s="289"/>
      <c r="Y223" s="291"/>
      <c r="Z223" s="294"/>
      <c r="AA223" s="295"/>
      <c r="AB223" s="296"/>
      <c r="AC223" s="297"/>
      <c r="AD223" s="298"/>
      <c r="AE223" s="289"/>
      <c r="AF223" s="288"/>
      <c r="AG223" s="299"/>
      <c r="AH223" s="486"/>
      <c r="AI223" s="289"/>
      <c r="AJ223" s="291"/>
      <c r="AK223" s="299"/>
      <c r="AL223" s="300"/>
      <c r="AM223" s="289"/>
      <c r="AN223" s="291"/>
      <c r="AO223" s="289"/>
      <c r="AP223" s="291"/>
      <c r="AQ223" s="289">
        <v>10</v>
      </c>
      <c r="AR223" s="288" t="s">
        <v>98</v>
      </c>
      <c r="AS223" s="422"/>
      <c r="AT223" s="423"/>
      <c r="AU223" s="289"/>
      <c r="AV223" s="288"/>
      <c r="AW223" s="289"/>
      <c r="AX223" s="291"/>
      <c r="AY223" s="303"/>
      <c r="AZ223" s="304"/>
      <c r="BA223" s="294"/>
      <c r="BB223" s="295"/>
      <c r="BC223" s="296"/>
      <c r="BD223" s="284"/>
      <c r="BE223" s="298"/>
      <c r="BF223" s="305"/>
      <c r="BG223" s="302"/>
      <c r="BH223" s="301"/>
      <c r="BI223" s="302"/>
      <c r="BJ223" s="301"/>
      <c r="BK223" s="302"/>
      <c r="BL223" s="301"/>
      <c r="BM223" s="302"/>
      <c r="BN223" s="301"/>
      <c r="BO223" s="302"/>
      <c r="BP223" s="301"/>
      <c r="BQ223" s="302"/>
      <c r="BR223" s="301"/>
      <c r="BS223" s="302"/>
      <c r="BT223" s="301"/>
      <c r="BU223" s="302"/>
      <c r="BV223" s="301"/>
      <c r="BW223" s="302"/>
      <c r="BX223" s="301"/>
      <c r="BY223" s="302"/>
      <c r="BZ223" s="306"/>
      <c r="CA223" s="304"/>
      <c r="CB223" s="294"/>
      <c r="CC223" s="295"/>
      <c r="CD223" s="296"/>
      <c r="CE223" s="284"/>
      <c r="CF223" s="298"/>
      <c r="CG223" s="307"/>
      <c r="CH223" s="308"/>
      <c r="CI223" s="309"/>
      <c r="CJ223" s="310"/>
      <c r="CK223" s="311"/>
      <c r="CL223" s="75"/>
      <c r="CN223" s="161"/>
      <c r="CO223" s="163"/>
      <c r="CP223" s="315"/>
      <c r="CQ223" s="316"/>
      <c r="CR223" s="317"/>
      <c r="CS223" s="316"/>
      <c r="CT223" s="317"/>
      <c r="CU223" s="316"/>
      <c r="CZ223" s="73">
        <v>5</v>
      </c>
      <c r="DA223" s="73">
        <v>5</v>
      </c>
      <c r="DB223" s="73">
        <v>13</v>
      </c>
      <c r="DC223" s="74">
        <f t="shared" si="799"/>
        <v>45790</v>
      </c>
      <c r="DD223" s="68" t="str">
        <f t="shared" si="839"/>
        <v>火</v>
      </c>
      <c r="DF223" s="156"/>
      <c r="DG223" s="156"/>
    </row>
    <row r="224" spans="1:111" ht="28.5" customHeight="1">
      <c r="A224" s="327">
        <f t="shared" si="808"/>
        <v>45791</v>
      </c>
      <c r="B224" s="365" t="str">
        <f t="shared" si="809"/>
        <v>水</v>
      </c>
      <c r="C224" s="329" t="s">
        <v>27</v>
      </c>
      <c r="D224" s="431"/>
      <c r="E224" s="432"/>
      <c r="F224" s="431"/>
      <c r="G224" s="439"/>
      <c r="H224" s="482"/>
      <c r="I224" s="439"/>
      <c r="J224" s="405"/>
      <c r="K224" s="432"/>
      <c r="L224" s="425" t="s">
        <v>39</v>
      </c>
      <c r="M224" s="379"/>
      <c r="N224" s="431"/>
      <c r="O224" s="432"/>
      <c r="P224" s="431"/>
      <c r="Q224" s="432"/>
      <c r="R224" s="431"/>
      <c r="S224" s="439"/>
      <c r="T224" s="431"/>
      <c r="U224" s="432"/>
      <c r="V224" s="335"/>
      <c r="W224" s="409"/>
      <c r="X224" s="431"/>
      <c r="Y224" s="432"/>
      <c r="Z224" s="342">
        <f t="shared" ref="Z224" ca="1" si="875">UDayCou(1,ROW())</f>
        <v>6</v>
      </c>
      <c r="AA224" s="343">
        <f t="shared" ref="AA224" ca="1" si="876">UNightCou(1,ROW())</f>
        <v>6</v>
      </c>
      <c r="AB224" s="344">
        <f t="shared" ref="AB224" ca="1" si="877">UNewCou(1,ROW())</f>
        <v>1</v>
      </c>
      <c r="AC224" s="345">
        <f t="shared" si="813"/>
        <v>45791</v>
      </c>
      <c r="AD224" s="371" t="str">
        <f t="shared" si="814"/>
        <v>水</v>
      </c>
      <c r="AE224" s="431"/>
      <c r="AF224" s="439"/>
      <c r="AG224" s="335"/>
      <c r="AH224" s="347"/>
      <c r="AI224" s="431"/>
      <c r="AJ224" s="432"/>
      <c r="AK224" s="335"/>
      <c r="AL224" s="347"/>
      <c r="AM224" s="431"/>
      <c r="AN224" s="432"/>
      <c r="AO224" s="431"/>
      <c r="AP224" s="432"/>
      <c r="AQ224" s="431"/>
      <c r="AR224" s="439"/>
      <c r="AS224" s="425"/>
      <c r="AT224" s="426"/>
      <c r="AU224" s="431">
        <v>15</v>
      </c>
      <c r="AV224" s="453"/>
      <c r="AW224" s="431"/>
      <c r="AX224" s="432"/>
      <c r="AY224" s="340"/>
      <c r="AZ224" s="341"/>
      <c r="BA224" s="342">
        <f ca="1">UDayCou(2,ROW())</f>
        <v>4</v>
      </c>
      <c r="BB224" s="343">
        <f ca="1">UNightCou(2,ROW())</f>
        <v>3</v>
      </c>
      <c r="BC224" s="344">
        <f ca="1">UNewCou(2,ROW())</f>
        <v>0</v>
      </c>
      <c r="BD224" s="327">
        <f t="shared" si="815"/>
        <v>45791</v>
      </c>
      <c r="BE224" s="371" t="str">
        <f t="shared" si="816"/>
        <v>水</v>
      </c>
      <c r="BF224" s="350"/>
      <c r="BG224" s="351"/>
      <c r="BH224" s="330"/>
      <c r="BI224" s="351"/>
      <c r="BJ224" s="330"/>
      <c r="BK224" s="351"/>
      <c r="BL224" s="330"/>
      <c r="BM224" s="351"/>
      <c r="BN224" s="330"/>
      <c r="BO224" s="351"/>
      <c r="BP224" s="330"/>
      <c r="BQ224" s="351"/>
      <c r="BR224" s="330"/>
      <c r="BS224" s="351"/>
      <c r="BT224" s="330"/>
      <c r="BU224" s="351"/>
      <c r="BV224" s="330"/>
      <c r="BW224" s="351"/>
      <c r="BX224" s="330"/>
      <c r="BY224" s="351"/>
      <c r="BZ224" s="389"/>
      <c r="CA224" s="341"/>
      <c r="CB224" s="342">
        <f ca="1">UDayCou(3,ROW())</f>
        <v>0</v>
      </c>
      <c r="CC224" s="343">
        <f ca="1">UNightCou(3,ROW())</f>
        <v>0</v>
      </c>
      <c r="CD224" s="344">
        <f ca="1">UNewCou(3,ROW())</f>
        <v>0</v>
      </c>
      <c r="CE224" s="327">
        <f t="shared" si="817"/>
        <v>45791</v>
      </c>
      <c r="CF224" s="371" t="str">
        <f t="shared" si="818"/>
        <v>水</v>
      </c>
      <c r="CG224" s="352">
        <f t="shared" ref="CG224" ca="1" si="878">Z224+BA224+CB224</f>
        <v>10</v>
      </c>
      <c r="CH224" s="353">
        <f t="shared" ref="CH224" ca="1" si="879">AA224+BB224+CC224</f>
        <v>9</v>
      </c>
      <c r="CI224" s="354">
        <f t="shared" ref="CI224" ca="1" si="880">AB224+BC224+CD224</f>
        <v>1</v>
      </c>
      <c r="CJ224" s="355">
        <f ca="1">COUNTIF(INDIRECT("D272:CA273"),"*●*")</f>
        <v>0</v>
      </c>
      <c r="CK224" s="356">
        <f ca="1">COUNTIF(INDIRECT("D272:CA273"),"*㋷*")</f>
        <v>0</v>
      </c>
      <c r="CL224" s="75"/>
      <c r="CN224" s="160">
        <f t="shared" si="822"/>
        <v>45791</v>
      </c>
      <c r="CO224" s="162" t="str">
        <f t="shared" si="823"/>
        <v>水</v>
      </c>
      <c r="CP224" s="357"/>
      <c r="CQ224" s="358"/>
      <c r="CR224" s="359"/>
      <c r="CS224" s="358"/>
      <c r="CT224" s="359"/>
      <c r="CU224" s="358"/>
      <c r="CZ224" s="73">
        <v>5</v>
      </c>
      <c r="DA224" s="73">
        <v>5</v>
      </c>
      <c r="DB224" s="73">
        <v>14</v>
      </c>
      <c r="DC224" s="74">
        <f t="shared" si="799"/>
        <v>45791</v>
      </c>
      <c r="DD224" s="68" t="str">
        <f t="shared" si="839"/>
        <v>水</v>
      </c>
      <c r="DF224" s="155">
        <f t="shared" ref="DF224" si="881">$DC224</f>
        <v>45791</v>
      </c>
      <c r="DG224" s="156" t="e">
        <f ca="1">IF($CH224&gt;=設定!$E$12,"✕",IF(SS予約表!$CG224&gt;=設定!$E$12,"△","○"))</f>
        <v>#NAME?</v>
      </c>
    </row>
    <row r="225" spans="1:111" ht="29.25" customHeight="1">
      <c r="A225" s="284"/>
      <c r="B225" s="285"/>
      <c r="C225" s="286" t="s">
        <v>28</v>
      </c>
      <c r="D225" s="287">
        <v>10</v>
      </c>
      <c r="E225" s="288" t="s">
        <v>50</v>
      </c>
      <c r="F225" s="289"/>
      <c r="G225" s="288"/>
      <c r="H225" s="290"/>
      <c r="I225" s="288"/>
      <c r="J225" s="362"/>
      <c r="K225" s="300"/>
      <c r="L225" s="422" t="s">
        <v>39</v>
      </c>
      <c r="M225" s="364"/>
      <c r="N225" s="289"/>
      <c r="O225" s="291"/>
      <c r="P225" s="289"/>
      <c r="Q225" s="291"/>
      <c r="R225" s="289"/>
      <c r="S225" s="288"/>
      <c r="T225" s="289"/>
      <c r="U225" s="291"/>
      <c r="V225" s="299"/>
      <c r="W225" s="322"/>
      <c r="X225" s="289"/>
      <c r="Y225" s="291"/>
      <c r="Z225" s="294"/>
      <c r="AA225" s="295"/>
      <c r="AB225" s="296"/>
      <c r="AC225" s="297"/>
      <c r="AD225" s="298"/>
      <c r="AE225" s="289"/>
      <c r="AF225" s="288"/>
      <c r="AG225" s="299"/>
      <c r="AH225" s="300"/>
      <c r="AI225" s="289"/>
      <c r="AJ225" s="291"/>
      <c r="AK225" s="299"/>
      <c r="AL225" s="300"/>
      <c r="AM225" s="289"/>
      <c r="AN225" s="291"/>
      <c r="AO225" s="289"/>
      <c r="AP225" s="291"/>
      <c r="AQ225" s="289"/>
      <c r="AR225" s="288"/>
      <c r="AS225" s="422"/>
      <c r="AT225" s="423"/>
      <c r="AU225" s="289">
        <v>10</v>
      </c>
      <c r="AV225" s="288" t="s">
        <v>246</v>
      </c>
      <c r="AW225" s="289"/>
      <c r="AX225" s="291"/>
      <c r="AY225" s="303"/>
      <c r="AZ225" s="304"/>
      <c r="BA225" s="294"/>
      <c r="BB225" s="295"/>
      <c r="BC225" s="296"/>
      <c r="BD225" s="284"/>
      <c r="BE225" s="298"/>
      <c r="BF225" s="305"/>
      <c r="BG225" s="302"/>
      <c r="BH225" s="301"/>
      <c r="BI225" s="302"/>
      <c r="BJ225" s="301"/>
      <c r="BK225" s="302"/>
      <c r="BL225" s="301"/>
      <c r="BM225" s="302"/>
      <c r="BN225" s="301"/>
      <c r="BO225" s="302"/>
      <c r="BP225" s="301"/>
      <c r="BQ225" s="302"/>
      <c r="BR225" s="301"/>
      <c r="BS225" s="302"/>
      <c r="BT225" s="301"/>
      <c r="BU225" s="302"/>
      <c r="BV225" s="301"/>
      <c r="BW225" s="302"/>
      <c r="BX225" s="301"/>
      <c r="BY225" s="302"/>
      <c r="BZ225" s="306"/>
      <c r="CA225" s="304"/>
      <c r="CB225" s="294"/>
      <c r="CC225" s="295"/>
      <c r="CD225" s="296"/>
      <c r="CE225" s="284"/>
      <c r="CF225" s="298"/>
      <c r="CG225" s="307"/>
      <c r="CH225" s="308"/>
      <c r="CI225" s="309"/>
      <c r="CJ225" s="310"/>
      <c r="CK225" s="311"/>
      <c r="CL225" s="75"/>
      <c r="CN225" s="161"/>
      <c r="CO225" s="163"/>
      <c r="CP225" s="315"/>
      <c r="CQ225" s="316"/>
      <c r="CR225" s="317"/>
      <c r="CS225" s="316"/>
      <c r="CT225" s="317"/>
      <c r="CU225" s="316"/>
      <c r="CZ225" s="73">
        <v>5</v>
      </c>
      <c r="DA225" s="73">
        <v>5</v>
      </c>
      <c r="DB225" s="73">
        <v>14</v>
      </c>
      <c r="DC225" s="74">
        <f t="shared" si="799"/>
        <v>45791</v>
      </c>
      <c r="DD225" s="68" t="str">
        <f t="shared" si="839"/>
        <v>水</v>
      </c>
      <c r="DF225" s="156"/>
      <c r="DG225" s="156"/>
    </row>
    <row r="226" spans="1:111" ht="28.5" customHeight="1">
      <c r="A226" s="327">
        <f t="shared" si="808"/>
        <v>45792</v>
      </c>
      <c r="B226" s="365" t="str">
        <f t="shared" si="809"/>
        <v>木</v>
      </c>
      <c r="C226" s="329" t="s">
        <v>27</v>
      </c>
      <c r="D226" s="405"/>
      <c r="E226" s="439"/>
      <c r="F226" s="431"/>
      <c r="G226" s="439"/>
      <c r="H226" s="482"/>
      <c r="I226" s="439"/>
      <c r="J226" s="370"/>
      <c r="K226" s="347"/>
      <c r="L226" s="425" t="s">
        <v>39</v>
      </c>
      <c r="M226" s="379"/>
      <c r="N226" s="431"/>
      <c r="O226" s="432"/>
      <c r="P226" s="431"/>
      <c r="Q226" s="432"/>
      <c r="R226" s="431"/>
      <c r="S226" s="439"/>
      <c r="T226" s="431"/>
      <c r="U226" s="432"/>
      <c r="V226" s="335"/>
      <c r="W226" s="409"/>
      <c r="X226" s="431"/>
      <c r="Y226" s="432"/>
      <c r="Z226" s="342">
        <f t="shared" ref="Z226" ca="1" si="882">UDayCou(1,ROW())</f>
        <v>6</v>
      </c>
      <c r="AA226" s="343">
        <f t="shared" ref="AA226" ca="1" si="883">UNightCou(1,ROW())</f>
        <v>6</v>
      </c>
      <c r="AB226" s="344">
        <f t="shared" ref="AB226" ca="1" si="884">UNewCou(1,ROW())</f>
        <v>1</v>
      </c>
      <c r="AC226" s="345">
        <f t="shared" si="813"/>
        <v>45792</v>
      </c>
      <c r="AD226" s="371" t="str">
        <f t="shared" si="814"/>
        <v>木</v>
      </c>
      <c r="AE226" s="431"/>
      <c r="AF226" s="439"/>
      <c r="AG226" s="335"/>
      <c r="AH226" s="347"/>
      <c r="AI226" s="431"/>
      <c r="AJ226" s="432"/>
      <c r="AK226" s="335"/>
      <c r="AL226" s="347"/>
      <c r="AM226" s="431"/>
      <c r="AN226" s="432"/>
      <c r="AO226" s="431"/>
      <c r="AP226" s="432"/>
      <c r="AQ226" s="431"/>
      <c r="AR226" s="439"/>
      <c r="AS226" s="425"/>
      <c r="AT226" s="426"/>
      <c r="AU226" s="431"/>
      <c r="AV226" s="439"/>
      <c r="AW226" s="431"/>
      <c r="AX226" s="432"/>
      <c r="AY226" s="340"/>
      <c r="AZ226" s="341"/>
      <c r="BA226" s="342">
        <f ca="1">UDayCou(2,ROW())</f>
        <v>4</v>
      </c>
      <c r="BB226" s="343">
        <f ca="1">UNightCou(2,ROW())</f>
        <v>4</v>
      </c>
      <c r="BC226" s="344">
        <f ca="1">UNewCou(2,ROW())</f>
        <v>0</v>
      </c>
      <c r="BD226" s="327">
        <f t="shared" si="815"/>
        <v>45792</v>
      </c>
      <c r="BE226" s="371" t="str">
        <f t="shared" si="816"/>
        <v>木</v>
      </c>
      <c r="BF226" s="350"/>
      <c r="BG226" s="351"/>
      <c r="BH226" s="330"/>
      <c r="BI226" s="351"/>
      <c r="BJ226" s="330"/>
      <c r="BK226" s="351"/>
      <c r="BL226" s="330"/>
      <c r="BM226" s="351"/>
      <c r="BN226" s="330"/>
      <c r="BO226" s="351"/>
      <c r="BP226" s="330"/>
      <c r="BQ226" s="351"/>
      <c r="BR226" s="330"/>
      <c r="BS226" s="351"/>
      <c r="BT226" s="330"/>
      <c r="BU226" s="351"/>
      <c r="BV226" s="330"/>
      <c r="BW226" s="351"/>
      <c r="BX226" s="330"/>
      <c r="BY226" s="351"/>
      <c r="BZ226" s="389"/>
      <c r="CA226" s="341"/>
      <c r="CB226" s="342">
        <f ca="1">UDayCou(3,ROW())</f>
        <v>0</v>
      </c>
      <c r="CC226" s="343">
        <f ca="1">UNightCou(3,ROW())</f>
        <v>0</v>
      </c>
      <c r="CD226" s="344">
        <f ca="1">UNewCou(3,ROW())</f>
        <v>0</v>
      </c>
      <c r="CE226" s="327">
        <f t="shared" si="817"/>
        <v>45792</v>
      </c>
      <c r="CF226" s="371" t="str">
        <f t="shared" si="818"/>
        <v>木</v>
      </c>
      <c r="CG226" s="352">
        <f t="shared" ref="CG226" ca="1" si="885">Z226+BA226+CB226</f>
        <v>10</v>
      </c>
      <c r="CH226" s="353">
        <f t="shared" ref="CH226" ca="1" si="886">AA226+BB226+CC226</f>
        <v>10</v>
      </c>
      <c r="CI226" s="354">
        <f t="shared" ref="CI226" ca="1" si="887">AB226+BC226+CD226</f>
        <v>1</v>
      </c>
      <c r="CJ226" s="355">
        <f ca="1">COUNTIF(INDIRECT("D274:CA275"),"*●*")</f>
        <v>0</v>
      </c>
      <c r="CK226" s="356">
        <f ca="1">COUNTIF(INDIRECT("D274:CA275"),"*㋷*")</f>
        <v>0</v>
      </c>
      <c r="CL226" s="75"/>
      <c r="CN226" s="160">
        <f t="shared" si="822"/>
        <v>45792</v>
      </c>
      <c r="CO226" s="162" t="str">
        <f t="shared" si="823"/>
        <v>木</v>
      </c>
      <c r="CP226" s="357"/>
      <c r="CQ226" s="358"/>
      <c r="CR226" s="359"/>
      <c r="CS226" s="358"/>
      <c r="CT226" s="359"/>
      <c r="CU226" s="358"/>
      <c r="CZ226" s="73">
        <v>5</v>
      </c>
      <c r="DA226" s="73">
        <v>5</v>
      </c>
      <c r="DB226" s="73">
        <v>15</v>
      </c>
      <c r="DC226" s="74">
        <f t="shared" si="799"/>
        <v>45792</v>
      </c>
      <c r="DD226" s="68" t="str">
        <f t="shared" si="839"/>
        <v>木</v>
      </c>
      <c r="DF226" s="155">
        <f t="shared" ref="DF226" si="888">$DC226</f>
        <v>45792</v>
      </c>
      <c r="DG226" s="156" t="e">
        <f ca="1">IF($CH226&gt;=設定!$E$12,"✕",IF(SS予約表!$CG226&gt;=設定!$E$12,"△","○"))</f>
        <v>#NAME?</v>
      </c>
    </row>
    <row r="227" spans="1:111" ht="29.25" customHeight="1" thickBot="1">
      <c r="A227" s="284"/>
      <c r="B227" s="285"/>
      <c r="C227" s="286" t="s">
        <v>28</v>
      </c>
      <c r="D227" s="287"/>
      <c r="E227" s="288"/>
      <c r="F227" s="289"/>
      <c r="G227" s="288"/>
      <c r="H227" s="290"/>
      <c r="I227" s="288"/>
      <c r="J227" s="287"/>
      <c r="K227" s="291"/>
      <c r="L227" s="422" t="s">
        <v>39</v>
      </c>
      <c r="M227" s="364"/>
      <c r="N227" s="289"/>
      <c r="O227" s="291"/>
      <c r="P227" s="289"/>
      <c r="Q227" s="291"/>
      <c r="R227" s="289"/>
      <c r="S227" s="288"/>
      <c r="T227" s="289"/>
      <c r="U227" s="291"/>
      <c r="V227" s="289"/>
      <c r="W227" s="288"/>
      <c r="X227" s="289"/>
      <c r="Y227" s="291"/>
      <c r="Z227" s="294"/>
      <c r="AA227" s="295"/>
      <c r="AB227" s="296"/>
      <c r="AC227" s="297"/>
      <c r="AD227" s="298"/>
      <c r="AE227" s="289"/>
      <c r="AF227" s="288"/>
      <c r="AG227" s="299"/>
      <c r="AH227" s="300"/>
      <c r="AI227" s="289">
        <v>10</v>
      </c>
      <c r="AJ227" s="288" t="s">
        <v>103</v>
      </c>
      <c r="AK227" s="289"/>
      <c r="AL227" s="291"/>
      <c r="AM227" s="289"/>
      <c r="AN227" s="291"/>
      <c r="AO227" s="289"/>
      <c r="AP227" s="291"/>
      <c r="AQ227" s="289"/>
      <c r="AR227" s="288"/>
      <c r="AS227" s="289"/>
      <c r="AT227" s="291"/>
      <c r="AU227" s="289"/>
      <c r="AV227" s="288"/>
      <c r="AW227" s="289"/>
      <c r="AX227" s="291"/>
      <c r="AY227" s="303"/>
      <c r="AZ227" s="304"/>
      <c r="BA227" s="294"/>
      <c r="BB227" s="295"/>
      <c r="BC227" s="296"/>
      <c r="BD227" s="284"/>
      <c r="BE227" s="298"/>
      <c r="BF227" s="305"/>
      <c r="BG227" s="302"/>
      <c r="BH227" s="301"/>
      <c r="BI227" s="302"/>
      <c r="BJ227" s="301"/>
      <c r="BK227" s="302"/>
      <c r="BL227" s="301"/>
      <c r="BM227" s="302"/>
      <c r="BN227" s="301"/>
      <c r="BO227" s="302"/>
      <c r="BP227" s="301"/>
      <c r="BQ227" s="302"/>
      <c r="BR227" s="301"/>
      <c r="BS227" s="302"/>
      <c r="BT227" s="301"/>
      <c r="BU227" s="302"/>
      <c r="BV227" s="301"/>
      <c r="BW227" s="302"/>
      <c r="BX227" s="301"/>
      <c r="BY227" s="302"/>
      <c r="BZ227" s="306"/>
      <c r="CA227" s="304"/>
      <c r="CB227" s="294"/>
      <c r="CC227" s="295"/>
      <c r="CD227" s="296"/>
      <c r="CE227" s="284"/>
      <c r="CF227" s="298"/>
      <c r="CG227" s="307"/>
      <c r="CH227" s="308"/>
      <c r="CI227" s="309"/>
      <c r="CJ227" s="310"/>
      <c r="CK227" s="311"/>
      <c r="CL227" s="75"/>
      <c r="CN227" s="161"/>
      <c r="CO227" s="163"/>
      <c r="CP227" s="315"/>
      <c r="CQ227" s="316"/>
      <c r="CR227" s="317"/>
      <c r="CS227" s="316"/>
      <c r="CT227" s="317"/>
      <c r="CU227" s="316"/>
      <c r="CZ227" s="73">
        <v>5</v>
      </c>
      <c r="DA227" s="73">
        <v>5</v>
      </c>
      <c r="DB227" s="73">
        <v>15</v>
      </c>
      <c r="DC227" s="74">
        <f t="shared" si="799"/>
        <v>45792</v>
      </c>
      <c r="DD227" s="68" t="str">
        <f t="shared" si="839"/>
        <v>木</v>
      </c>
      <c r="DF227" s="156"/>
      <c r="DG227" s="156"/>
    </row>
    <row r="228" spans="1:111" ht="28.5" customHeight="1">
      <c r="A228" s="491">
        <f t="shared" si="808"/>
        <v>45793</v>
      </c>
      <c r="B228" s="524" t="str">
        <f t="shared" si="809"/>
        <v>金</v>
      </c>
      <c r="C228" s="493" t="s">
        <v>27</v>
      </c>
      <c r="D228" s="542">
        <v>15</v>
      </c>
      <c r="E228" s="576"/>
      <c r="F228" s="550"/>
      <c r="G228" s="577"/>
      <c r="H228" s="578"/>
      <c r="I228" s="577"/>
      <c r="J228" s="542"/>
      <c r="K228" s="551"/>
      <c r="L228" s="549">
        <v>15</v>
      </c>
      <c r="M228" s="573"/>
      <c r="N228" s="550"/>
      <c r="O228" s="551"/>
      <c r="P228" s="550"/>
      <c r="Q228" s="551"/>
      <c r="R228" s="550"/>
      <c r="S228" s="577"/>
      <c r="T228" s="550"/>
      <c r="U228" s="551"/>
      <c r="V228" s="550"/>
      <c r="W228" s="577"/>
      <c r="X228" s="550"/>
      <c r="Y228" s="551"/>
      <c r="Z228" s="506">
        <f t="shared" ref="Z228" ca="1" si="889">UDayCou(1,ROW())</f>
        <v>8</v>
      </c>
      <c r="AA228" s="507">
        <f t="shared" ref="AA228" ca="1" si="890">UNightCou(1,ROW())</f>
        <v>6</v>
      </c>
      <c r="AB228" s="508">
        <f t="shared" ref="AB228" ca="1" si="891">UNewCou(1,ROW())</f>
        <v>1</v>
      </c>
      <c r="AC228" s="509">
        <f t="shared" si="813"/>
        <v>45793</v>
      </c>
      <c r="AD228" s="531" t="str">
        <f t="shared" si="814"/>
        <v>金</v>
      </c>
      <c r="AE228" s="550"/>
      <c r="AF228" s="577"/>
      <c r="AG228" s="499"/>
      <c r="AH228" s="511"/>
      <c r="AI228" s="550"/>
      <c r="AJ228" s="577"/>
      <c r="AK228" s="550"/>
      <c r="AL228" s="551"/>
      <c r="AM228" s="550"/>
      <c r="AN228" s="551"/>
      <c r="AO228" s="550"/>
      <c r="AP228" s="551"/>
      <c r="AQ228" s="550"/>
      <c r="AR228" s="577"/>
      <c r="AS228" s="550"/>
      <c r="AT228" s="551"/>
      <c r="AU228" s="550"/>
      <c r="AV228" s="577"/>
      <c r="AW228" s="550"/>
      <c r="AX228" s="551"/>
      <c r="AY228" s="504"/>
      <c r="AZ228" s="505"/>
      <c r="BA228" s="506">
        <f ca="1">UDayCou(2,ROW())</f>
        <v>4</v>
      </c>
      <c r="BB228" s="507">
        <f ca="1">UNightCou(2,ROW())</f>
        <v>4</v>
      </c>
      <c r="BC228" s="508">
        <f ca="1">UNewCou(2,ROW())</f>
        <v>0</v>
      </c>
      <c r="BD228" s="491">
        <f t="shared" si="815"/>
        <v>45793</v>
      </c>
      <c r="BE228" s="531" t="str">
        <f t="shared" si="816"/>
        <v>金</v>
      </c>
      <c r="BF228" s="514"/>
      <c r="BG228" s="515"/>
      <c r="BH228" s="494"/>
      <c r="BI228" s="515"/>
      <c r="BJ228" s="494"/>
      <c r="BK228" s="515"/>
      <c r="BL228" s="494"/>
      <c r="BM228" s="515"/>
      <c r="BN228" s="494"/>
      <c r="BO228" s="515"/>
      <c r="BP228" s="494"/>
      <c r="BQ228" s="515"/>
      <c r="BR228" s="494"/>
      <c r="BS228" s="515"/>
      <c r="BT228" s="494"/>
      <c r="BU228" s="515"/>
      <c r="BV228" s="494"/>
      <c r="BW228" s="515"/>
      <c r="BX228" s="494"/>
      <c r="BY228" s="515"/>
      <c r="BZ228" s="530"/>
      <c r="CA228" s="505"/>
      <c r="CB228" s="506">
        <f ca="1">UDayCou(3,ROW())</f>
        <v>0</v>
      </c>
      <c r="CC228" s="507">
        <f ca="1">UNightCou(3,ROW())</f>
        <v>0</v>
      </c>
      <c r="CD228" s="508">
        <f ca="1">UNewCou(3,ROW())</f>
        <v>0</v>
      </c>
      <c r="CE228" s="491">
        <f t="shared" si="817"/>
        <v>45793</v>
      </c>
      <c r="CF228" s="531" t="str">
        <f t="shared" si="818"/>
        <v>金</v>
      </c>
      <c r="CG228" s="516">
        <f t="shared" ref="CG228" ca="1" si="892">Z228+BA228+CB228</f>
        <v>12</v>
      </c>
      <c r="CH228" s="517">
        <f t="shared" ref="CH228" ca="1" si="893">AA228+BB228+CC228</f>
        <v>10</v>
      </c>
      <c r="CI228" s="518">
        <f t="shared" ref="CI228" ca="1" si="894">AB228+BC228+CD228</f>
        <v>1</v>
      </c>
      <c r="CJ228" s="519">
        <f ca="1">COUNTIF(INDIRECT("D276:CA277"),"*●*")</f>
        <v>0</v>
      </c>
      <c r="CK228" s="520">
        <f ca="1">COUNTIF(INDIRECT("D276:CA277"),"*㋷*")</f>
        <v>0</v>
      </c>
      <c r="CL228" s="75"/>
      <c r="CN228" s="164">
        <f t="shared" si="822"/>
        <v>45793</v>
      </c>
      <c r="CO228" s="165" t="str">
        <f t="shared" si="823"/>
        <v>金</v>
      </c>
      <c r="CP228" s="521"/>
      <c r="CQ228" s="522"/>
      <c r="CR228" s="523"/>
      <c r="CS228" s="522"/>
      <c r="CT228" s="523"/>
      <c r="CU228" s="522"/>
      <c r="CZ228" s="73">
        <v>5</v>
      </c>
      <c r="DA228" s="73">
        <v>5</v>
      </c>
      <c r="DB228" s="73">
        <v>16</v>
      </c>
      <c r="DC228" s="74">
        <f t="shared" si="799"/>
        <v>45793</v>
      </c>
      <c r="DD228" s="68" t="str">
        <f t="shared" si="839"/>
        <v>金</v>
      </c>
      <c r="DF228" s="155">
        <f t="shared" ref="DF228" si="895">$DC228</f>
        <v>45793</v>
      </c>
      <c r="DG228" s="156" t="e">
        <f ca="1">IF($CH228&gt;=設定!$E$12,"✕",IF(SS予約表!$CG228&gt;=設定!$E$12,"△","○"))</f>
        <v>#NAME?</v>
      </c>
    </row>
    <row r="229" spans="1:111" ht="29.25" customHeight="1">
      <c r="A229" s="284"/>
      <c r="B229" s="285"/>
      <c r="C229" s="286" t="s">
        <v>28</v>
      </c>
      <c r="D229" s="287">
        <v>10</v>
      </c>
      <c r="E229" s="288" t="s">
        <v>111</v>
      </c>
      <c r="F229" s="289"/>
      <c r="G229" s="288"/>
      <c r="H229" s="290"/>
      <c r="I229" s="288"/>
      <c r="J229" s="287">
        <v>10</v>
      </c>
      <c r="K229" s="288" t="s">
        <v>141</v>
      </c>
      <c r="L229" s="422"/>
      <c r="M229" s="423"/>
      <c r="N229" s="289"/>
      <c r="O229" s="291"/>
      <c r="P229" s="289"/>
      <c r="Q229" s="291"/>
      <c r="R229" s="289"/>
      <c r="S229" s="288"/>
      <c r="T229" s="299"/>
      <c r="U229" s="300"/>
      <c r="V229" s="289"/>
      <c r="W229" s="288"/>
      <c r="X229" s="289"/>
      <c r="Y229" s="291"/>
      <c r="Z229" s="294"/>
      <c r="AA229" s="295"/>
      <c r="AB229" s="296"/>
      <c r="AC229" s="297"/>
      <c r="AD229" s="298"/>
      <c r="AE229" s="289"/>
      <c r="AF229" s="288"/>
      <c r="AG229" s="299"/>
      <c r="AH229" s="300"/>
      <c r="AI229" s="289"/>
      <c r="AJ229" s="288"/>
      <c r="AK229" s="289"/>
      <c r="AL229" s="291"/>
      <c r="AM229" s="289"/>
      <c r="AN229" s="291"/>
      <c r="AO229" s="289"/>
      <c r="AP229" s="291"/>
      <c r="AQ229" s="289"/>
      <c r="AR229" s="288"/>
      <c r="AS229" s="289"/>
      <c r="AT229" s="291"/>
      <c r="AU229" s="289"/>
      <c r="AV229" s="288"/>
      <c r="AW229" s="289"/>
      <c r="AX229" s="291"/>
      <c r="AY229" s="303"/>
      <c r="AZ229" s="304"/>
      <c r="BA229" s="294"/>
      <c r="BB229" s="295"/>
      <c r="BC229" s="296"/>
      <c r="BD229" s="284"/>
      <c r="BE229" s="298"/>
      <c r="BF229" s="305"/>
      <c r="BG229" s="302"/>
      <c r="BH229" s="301"/>
      <c r="BI229" s="302"/>
      <c r="BJ229" s="301"/>
      <c r="BK229" s="302"/>
      <c r="BL229" s="301"/>
      <c r="BM229" s="302"/>
      <c r="BN229" s="301"/>
      <c r="BO229" s="302"/>
      <c r="BP229" s="301"/>
      <c r="BQ229" s="302"/>
      <c r="BR229" s="301"/>
      <c r="BS229" s="302"/>
      <c r="BT229" s="301"/>
      <c r="BU229" s="302"/>
      <c r="BV229" s="301"/>
      <c r="BW229" s="302"/>
      <c r="BX229" s="301"/>
      <c r="BY229" s="302"/>
      <c r="BZ229" s="306"/>
      <c r="CA229" s="304"/>
      <c r="CB229" s="294"/>
      <c r="CC229" s="295"/>
      <c r="CD229" s="296"/>
      <c r="CE229" s="284"/>
      <c r="CF229" s="298"/>
      <c r="CG229" s="307"/>
      <c r="CH229" s="308"/>
      <c r="CI229" s="309"/>
      <c r="CJ229" s="310"/>
      <c r="CK229" s="311"/>
      <c r="CL229" s="75"/>
      <c r="CN229" s="161"/>
      <c r="CO229" s="163"/>
      <c r="CP229" s="289">
        <v>10</v>
      </c>
      <c r="CQ229" s="288" t="s">
        <v>215</v>
      </c>
      <c r="CR229" s="317"/>
      <c r="CS229" s="316"/>
      <c r="CT229" s="317"/>
      <c r="CU229" s="316"/>
      <c r="CZ229" s="73">
        <v>5</v>
      </c>
      <c r="DA229" s="73">
        <v>5</v>
      </c>
      <c r="DB229" s="73">
        <v>16</v>
      </c>
      <c r="DC229" s="74">
        <f t="shared" si="799"/>
        <v>45793</v>
      </c>
      <c r="DD229" s="68" t="str">
        <f t="shared" si="839"/>
        <v>金</v>
      </c>
      <c r="DF229" s="156"/>
      <c r="DG229" s="156"/>
    </row>
    <row r="230" spans="1:111" ht="28.5" customHeight="1">
      <c r="A230" s="327">
        <f t="shared" si="808"/>
        <v>45794</v>
      </c>
      <c r="B230" s="393" t="str">
        <f t="shared" si="809"/>
        <v>土</v>
      </c>
      <c r="C230" s="329" t="s">
        <v>27</v>
      </c>
      <c r="D230" s="405"/>
      <c r="E230" s="439"/>
      <c r="F230" s="431">
        <v>15</v>
      </c>
      <c r="G230" s="453"/>
      <c r="H230" s="482"/>
      <c r="I230" s="439"/>
      <c r="J230" s="405"/>
      <c r="K230" s="439"/>
      <c r="L230" s="425"/>
      <c r="M230" s="426"/>
      <c r="N230" s="431"/>
      <c r="O230" s="432"/>
      <c r="P230" s="431"/>
      <c r="Q230" s="432"/>
      <c r="R230" s="431">
        <v>15</v>
      </c>
      <c r="S230" s="453"/>
      <c r="T230" s="335"/>
      <c r="U230" s="347"/>
      <c r="V230" s="431"/>
      <c r="W230" s="439"/>
      <c r="X230" s="431"/>
      <c r="Y230" s="432"/>
      <c r="Z230" s="342">
        <f t="shared" ref="Z230" ca="1" si="896">UDayCou(1,ROW())</f>
        <v>10</v>
      </c>
      <c r="AA230" s="343">
        <f t="shared" ref="AA230" ca="1" si="897">UNightCou(1,ROW())</f>
        <v>8</v>
      </c>
      <c r="AB230" s="344">
        <f t="shared" ref="AB230" ca="1" si="898">UNewCou(1,ROW())</f>
        <v>1</v>
      </c>
      <c r="AC230" s="345">
        <f t="shared" si="813"/>
        <v>45794</v>
      </c>
      <c r="AD230" s="394" t="str">
        <f t="shared" si="814"/>
        <v>土</v>
      </c>
      <c r="AE230" s="431">
        <v>15</v>
      </c>
      <c r="AF230" s="453"/>
      <c r="AG230" s="335"/>
      <c r="AH230" s="347"/>
      <c r="AI230" s="431"/>
      <c r="AJ230" s="439"/>
      <c r="AK230" s="431"/>
      <c r="AL230" s="432"/>
      <c r="AM230" s="431"/>
      <c r="AN230" s="432"/>
      <c r="AO230" s="431"/>
      <c r="AP230" s="432"/>
      <c r="AQ230" s="431"/>
      <c r="AR230" s="439"/>
      <c r="AS230" s="431"/>
      <c r="AT230" s="432"/>
      <c r="AU230" s="431"/>
      <c r="AV230" s="439"/>
      <c r="AW230" s="431"/>
      <c r="AX230" s="432"/>
      <c r="AY230" s="340"/>
      <c r="AZ230" s="341"/>
      <c r="BA230" s="342">
        <f ca="1">UDayCou(2,ROW())</f>
        <v>4</v>
      </c>
      <c r="BB230" s="343">
        <f ca="1">UNightCou(2,ROW())</f>
        <v>3</v>
      </c>
      <c r="BC230" s="344">
        <f ca="1">UNewCou(2,ROW())</f>
        <v>0</v>
      </c>
      <c r="BD230" s="327">
        <f t="shared" si="815"/>
        <v>45794</v>
      </c>
      <c r="BE230" s="394" t="str">
        <f t="shared" si="816"/>
        <v>土</v>
      </c>
      <c r="BF230" s="350"/>
      <c r="BG230" s="351"/>
      <c r="BH230" s="330"/>
      <c r="BI230" s="351"/>
      <c r="BJ230" s="330"/>
      <c r="BK230" s="351"/>
      <c r="BL230" s="330"/>
      <c r="BM230" s="351"/>
      <c r="BN230" s="330"/>
      <c r="BO230" s="351"/>
      <c r="BP230" s="330"/>
      <c r="BQ230" s="351"/>
      <c r="BR230" s="330"/>
      <c r="BS230" s="351"/>
      <c r="BT230" s="330"/>
      <c r="BU230" s="351"/>
      <c r="BV230" s="330"/>
      <c r="BW230" s="351"/>
      <c r="BX230" s="330"/>
      <c r="BY230" s="351"/>
      <c r="BZ230" s="389"/>
      <c r="CA230" s="341"/>
      <c r="CB230" s="342">
        <f ca="1">UDayCou(3,ROW())</f>
        <v>0</v>
      </c>
      <c r="CC230" s="343">
        <f ca="1">UNightCou(3,ROW())</f>
        <v>0</v>
      </c>
      <c r="CD230" s="344">
        <f ca="1">UNewCou(3,ROW())</f>
        <v>0</v>
      </c>
      <c r="CE230" s="327">
        <f t="shared" si="817"/>
        <v>45794</v>
      </c>
      <c r="CF230" s="394" t="str">
        <f t="shared" si="818"/>
        <v>土</v>
      </c>
      <c r="CG230" s="352">
        <f t="shared" ref="CG230" ca="1" si="899">Z230+BA230+CB230</f>
        <v>14</v>
      </c>
      <c r="CH230" s="353">
        <f t="shared" ref="CH230" ca="1" si="900">AA230+BB230+CC230</f>
        <v>11</v>
      </c>
      <c r="CI230" s="354">
        <f t="shared" ref="CI230" ca="1" si="901">AB230+BC230+CD230</f>
        <v>1</v>
      </c>
      <c r="CJ230" s="355">
        <f ca="1">COUNTIF(INDIRECT("D278:CA279"),"*●*")</f>
        <v>0</v>
      </c>
      <c r="CK230" s="356">
        <f ca="1">COUNTIF(INDIRECT("D278:CA279"),"*㋷*")</f>
        <v>0</v>
      </c>
      <c r="CL230" s="75"/>
      <c r="CN230" s="160">
        <f t="shared" si="822"/>
        <v>45794</v>
      </c>
      <c r="CO230" s="167" t="str">
        <f t="shared" si="823"/>
        <v>土</v>
      </c>
      <c r="CP230" s="431"/>
      <c r="CQ230" s="439"/>
      <c r="CR230" s="359"/>
      <c r="CS230" s="358"/>
      <c r="CT230" s="359"/>
      <c r="CU230" s="358"/>
      <c r="CZ230" s="73">
        <v>5</v>
      </c>
      <c r="DA230" s="73">
        <v>5</v>
      </c>
      <c r="DB230" s="73">
        <v>17</v>
      </c>
      <c r="DC230" s="74">
        <f t="shared" si="799"/>
        <v>45794</v>
      </c>
      <c r="DD230" s="68" t="str">
        <f t="shared" si="839"/>
        <v>土</v>
      </c>
      <c r="DF230" s="155">
        <f t="shared" ref="DF230" si="902">$DC230</f>
        <v>45794</v>
      </c>
      <c r="DG230" s="156" t="e">
        <f ca="1">IF($CH230&gt;=設定!$E$12,"✕",IF(SS予約表!$CG230&gt;=設定!$E$12,"△","○"))</f>
        <v>#NAME?</v>
      </c>
    </row>
    <row r="231" spans="1:111" ht="29.25" customHeight="1">
      <c r="A231" s="284"/>
      <c r="B231" s="285"/>
      <c r="C231" s="286" t="s">
        <v>28</v>
      </c>
      <c r="D231" s="287"/>
      <c r="E231" s="288"/>
      <c r="F231" s="289">
        <v>10</v>
      </c>
      <c r="G231" s="288" t="s">
        <v>142</v>
      </c>
      <c r="H231" s="290"/>
      <c r="I231" s="288"/>
      <c r="J231" s="287"/>
      <c r="K231" s="288"/>
      <c r="L231" s="487">
        <v>10</v>
      </c>
      <c r="M231" s="488" t="s">
        <v>142</v>
      </c>
      <c r="N231" s="289"/>
      <c r="O231" s="291"/>
      <c r="P231" s="299">
        <v>10</v>
      </c>
      <c r="Q231" s="322" t="s">
        <v>245</v>
      </c>
      <c r="R231" s="289">
        <v>10</v>
      </c>
      <c r="S231" s="288" t="s">
        <v>247</v>
      </c>
      <c r="T231" s="299"/>
      <c r="U231" s="300"/>
      <c r="V231" s="289"/>
      <c r="W231" s="288"/>
      <c r="X231" s="289"/>
      <c r="Y231" s="291"/>
      <c r="Z231" s="294"/>
      <c r="AA231" s="295"/>
      <c r="AB231" s="296"/>
      <c r="AC231" s="297"/>
      <c r="AD231" s="298"/>
      <c r="AE231" s="289"/>
      <c r="AF231" s="291"/>
      <c r="AG231" s="299"/>
      <c r="AH231" s="300"/>
      <c r="AI231" s="289"/>
      <c r="AJ231" s="288"/>
      <c r="AK231" s="289"/>
      <c r="AL231" s="291"/>
      <c r="AM231" s="289"/>
      <c r="AN231" s="291"/>
      <c r="AO231" s="289"/>
      <c r="AP231" s="291"/>
      <c r="AQ231" s="289"/>
      <c r="AR231" s="288"/>
      <c r="AS231" s="289"/>
      <c r="AT231" s="291"/>
      <c r="AU231" s="289"/>
      <c r="AV231" s="288"/>
      <c r="AW231" s="289"/>
      <c r="AX231" s="291"/>
      <c r="AY231" s="303"/>
      <c r="AZ231" s="304"/>
      <c r="BA231" s="294"/>
      <c r="BB231" s="295"/>
      <c r="BC231" s="296"/>
      <c r="BD231" s="284"/>
      <c r="BE231" s="298"/>
      <c r="BF231" s="305"/>
      <c r="BG231" s="302"/>
      <c r="BH231" s="301"/>
      <c r="BI231" s="302"/>
      <c r="BJ231" s="301"/>
      <c r="BK231" s="302"/>
      <c r="BL231" s="301"/>
      <c r="BM231" s="302"/>
      <c r="BN231" s="301"/>
      <c r="BO231" s="302"/>
      <c r="BP231" s="301"/>
      <c r="BQ231" s="302"/>
      <c r="BR231" s="301"/>
      <c r="BS231" s="302"/>
      <c r="BT231" s="301"/>
      <c r="BU231" s="302"/>
      <c r="BV231" s="301"/>
      <c r="BW231" s="302"/>
      <c r="BX231" s="301"/>
      <c r="BY231" s="302"/>
      <c r="BZ231" s="306"/>
      <c r="CA231" s="304"/>
      <c r="CB231" s="294"/>
      <c r="CC231" s="295"/>
      <c r="CD231" s="296"/>
      <c r="CE231" s="284"/>
      <c r="CF231" s="298"/>
      <c r="CG231" s="307"/>
      <c r="CH231" s="308"/>
      <c r="CI231" s="309"/>
      <c r="CJ231" s="310"/>
      <c r="CK231" s="311"/>
      <c r="CL231" s="75"/>
      <c r="CN231" s="161"/>
      <c r="CO231" s="163"/>
      <c r="CP231" s="289"/>
      <c r="CQ231" s="288"/>
      <c r="CR231" s="317"/>
      <c r="CS231" s="316"/>
      <c r="CT231" s="317"/>
      <c r="CU231" s="316"/>
      <c r="CZ231" s="73">
        <v>5</v>
      </c>
      <c r="DA231" s="73">
        <v>5</v>
      </c>
      <c r="DB231" s="73">
        <v>17</v>
      </c>
      <c r="DC231" s="74">
        <f t="shared" si="799"/>
        <v>45794</v>
      </c>
      <c r="DD231" s="68" t="str">
        <f t="shared" si="839"/>
        <v>土</v>
      </c>
      <c r="DF231" s="156"/>
      <c r="DG231" s="156"/>
    </row>
    <row r="232" spans="1:111" ht="28.5" customHeight="1">
      <c r="A232" s="327">
        <f t="shared" si="808"/>
        <v>45795</v>
      </c>
      <c r="B232" s="328" t="str">
        <f t="shared" si="809"/>
        <v>日</v>
      </c>
      <c r="C232" s="329" t="s">
        <v>27</v>
      </c>
      <c r="D232" s="405"/>
      <c r="E232" s="439"/>
      <c r="F232" s="431"/>
      <c r="G232" s="439"/>
      <c r="H232" s="482"/>
      <c r="I232" s="439"/>
      <c r="J232" s="405"/>
      <c r="K232" s="439"/>
      <c r="L232" s="489" t="s">
        <v>39</v>
      </c>
      <c r="M232" s="490"/>
      <c r="N232" s="431"/>
      <c r="O232" s="432"/>
      <c r="P232" s="335"/>
      <c r="Q232" s="409"/>
      <c r="R232" s="431">
        <v>15</v>
      </c>
      <c r="S232" s="453" t="s">
        <v>248</v>
      </c>
      <c r="T232" s="335"/>
      <c r="U232" s="347"/>
      <c r="V232" s="431"/>
      <c r="W232" s="439"/>
      <c r="X232" s="431"/>
      <c r="Y232" s="432"/>
      <c r="Z232" s="342">
        <f t="shared" ref="Z232" ca="1" si="903">UDayCou(1,ROW())</f>
        <v>8</v>
      </c>
      <c r="AA232" s="343">
        <f t="shared" ref="AA232" ca="1" si="904">UNightCou(1,ROW())</f>
        <v>7</v>
      </c>
      <c r="AB232" s="344">
        <f t="shared" ref="AB232" ca="1" si="905">UNewCou(1,ROW())</f>
        <v>1</v>
      </c>
      <c r="AC232" s="345">
        <f t="shared" si="813"/>
        <v>45795</v>
      </c>
      <c r="AD232" s="346" t="str">
        <f t="shared" si="814"/>
        <v>日</v>
      </c>
      <c r="AE232" s="431"/>
      <c r="AF232" s="432"/>
      <c r="AG232" s="335"/>
      <c r="AH232" s="347"/>
      <c r="AI232" s="431"/>
      <c r="AJ232" s="439"/>
      <c r="AK232" s="431"/>
      <c r="AL232" s="432"/>
      <c r="AM232" s="431"/>
      <c r="AN232" s="432"/>
      <c r="AO232" s="431"/>
      <c r="AP232" s="432"/>
      <c r="AQ232" s="431"/>
      <c r="AR232" s="439"/>
      <c r="AS232" s="431"/>
      <c r="AT232" s="432"/>
      <c r="AU232" s="431">
        <v>15</v>
      </c>
      <c r="AV232" s="453"/>
      <c r="AW232" s="431"/>
      <c r="AX232" s="432"/>
      <c r="AY232" s="340"/>
      <c r="AZ232" s="341"/>
      <c r="BA232" s="342">
        <f ca="1">UDayCou(2,ROW())</f>
        <v>3</v>
      </c>
      <c r="BB232" s="343">
        <f ca="1">UNightCou(2,ROW())</f>
        <v>2</v>
      </c>
      <c r="BC232" s="344">
        <f ca="1">UNewCou(2,ROW())</f>
        <v>0</v>
      </c>
      <c r="BD232" s="327">
        <f t="shared" si="815"/>
        <v>45795</v>
      </c>
      <c r="BE232" s="346" t="str">
        <f t="shared" si="816"/>
        <v>日</v>
      </c>
      <c r="BF232" s="350"/>
      <c r="BG232" s="351"/>
      <c r="BH232" s="330"/>
      <c r="BI232" s="351"/>
      <c r="BJ232" s="330"/>
      <c r="BK232" s="351"/>
      <c r="BL232" s="330"/>
      <c r="BM232" s="351"/>
      <c r="BN232" s="330"/>
      <c r="BO232" s="351"/>
      <c r="BP232" s="330"/>
      <c r="BQ232" s="351"/>
      <c r="BR232" s="330"/>
      <c r="BS232" s="351"/>
      <c r="BT232" s="330"/>
      <c r="BU232" s="351"/>
      <c r="BV232" s="330"/>
      <c r="BW232" s="351"/>
      <c r="BX232" s="330"/>
      <c r="BY232" s="351"/>
      <c r="BZ232" s="389"/>
      <c r="CA232" s="341"/>
      <c r="CB232" s="342">
        <f ca="1">UDayCou(3,ROW())</f>
        <v>0</v>
      </c>
      <c r="CC232" s="343">
        <f ca="1">UNightCou(3,ROW())</f>
        <v>0</v>
      </c>
      <c r="CD232" s="344">
        <f ca="1">UNewCou(3,ROW())</f>
        <v>0</v>
      </c>
      <c r="CE232" s="327">
        <f t="shared" si="817"/>
        <v>45795</v>
      </c>
      <c r="CF232" s="346" t="str">
        <f t="shared" si="818"/>
        <v>日</v>
      </c>
      <c r="CG232" s="352">
        <f t="shared" ref="CG232" ca="1" si="906">Z232+BA232+CB232</f>
        <v>11</v>
      </c>
      <c r="CH232" s="353">
        <f t="shared" ref="CH232" ca="1" si="907">AA232+BB232+CC232</f>
        <v>9</v>
      </c>
      <c r="CI232" s="354">
        <f t="shared" ref="CI232" ca="1" si="908">AB232+BC232+CD232</f>
        <v>1</v>
      </c>
      <c r="CJ232" s="355">
        <f ca="1">COUNTIF(INDIRECT("D280:CA281"),"*●*")</f>
        <v>0</v>
      </c>
      <c r="CK232" s="356">
        <f ca="1">COUNTIF(INDIRECT("D280:CA281"),"*㋷*")</f>
        <v>0</v>
      </c>
      <c r="CL232" s="75"/>
      <c r="CN232" s="160">
        <f t="shared" si="822"/>
        <v>45795</v>
      </c>
      <c r="CO232" s="168" t="str">
        <f t="shared" si="823"/>
        <v>日</v>
      </c>
      <c r="CP232" s="431">
        <v>15</v>
      </c>
      <c r="CQ232" s="453"/>
      <c r="CR232" s="359"/>
      <c r="CS232" s="358"/>
      <c r="CT232" s="359"/>
      <c r="CU232" s="358"/>
      <c r="CZ232" s="73">
        <v>5</v>
      </c>
      <c r="DA232" s="73">
        <v>5</v>
      </c>
      <c r="DB232" s="73">
        <v>18</v>
      </c>
      <c r="DC232" s="74">
        <f t="shared" si="799"/>
        <v>45795</v>
      </c>
      <c r="DD232" s="68" t="str">
        <f t="shared" si="839"/>
        <v>日</v>
      </c>
      <c r="DF232" s="155">
        <f t="shared" ref="DF232" si="909">$DC232</f>
        <v>45795</v>
      </c>
      <c r="DG232" s="156" t="e">
        <f ca="1">IF($CH232&gt;=設定!$E$12,"✕",IF(SS予約表!$CG232&gt;=設定!$E$12,"△","○"))</f>
        <v>#NAME?</v>
      </c>
    </row>
    <row r="233" spans="1:111" ht="29.25" customHeight="1">
      <c r="A233" s="284"/>
      <c r="B233" s="285"/>
      <c r="C233" s="286" t="s">
        <v>28</v>
      </c>
      <c r="D233" s="287"/>
      <c r="E233" s="288"/>
      <c r="F233" s="289"/>
      <c r="G233" s="288"/>
      <c r="H233" s="290"/>
      <c r="I233" s="288"/>
      <c r="J233" s="287"/>
      <c r="K233" s="288"/>
      <c r="L233" s="487" t="s">
        <v>39</v>
      </c>
      <c r="M233" s="488"/>
      <c r="N233" s="289"/>
      <c r="O233" s="291"/>
      <c r="P233" s="299"/>
      <c r="Q233" s="322"/>
      <c r="R233" s="289"/>
      <c r="S233" s="291"/>
      <c r="T233" s="299"/>
      <c r="U233" s="300"/>
      <c r="V233" s="289"/>
      <c r="W233" s="288"/>
      <c r="X233" s="289"/>
      <c r="Y233" s="291"/>
      <c r="Z233" s="294"/>
      <c r="AA233" s="295"/>
      <c r="AB233" s="296"/>
      <c r="AC233" s="297"/>
      <c r="AD233" s="298"/>
      <c r="AE233" s="289"/>
      <c r="AF233" s="291"/>
      <c r="AG233" s="299"/>
      <c r="AH233" s="300"/>
      <c r="AI233" s="289"/>
      <c r="AJ233" s="288"/>
      <c r="AK233" s="299"/>
      <c r="AL233" s="300"/>
      <c r="AM233" s="289"/>
      <c r="AN233" s="291"/>
      <c r="AO233" s="289"/>
      <c r="AP233" s="291"/>
      <c r="AQ233" s="289"/>
      <c r="AR233" s="288"/>
      <c r="AS233" s="289"/>
      <c r="AT233" s="291"/>
      <c r="AU233" s="289"/>
      <c r="AV233" s="291"/>
      <c r="AW233" s="289"/>
      <c r="AX233" s="291"/>
      <c r="AY233" s="303"/>
      <c r="AZ233" s="304"/>
      <c r="BA233" s="294"/>
      <c r="BB233" s="295"/>
      <c r="BC233" s="296"/>
      <c r="BD233" s="284"/>
      <c r="BE233" s="298"/>
      <c r="BF233" s="305"/>
      <c r="BG233" s="302"/>
      <c r="BH233" s="301"/>
      <c r="BI233" s="302"/>
      <c r="BJ233" s="301"/>
      <c r="BK233" s="302"/>
      <c r="BL233" s="301"/>
      <c r="BM233" s="302"/>
      <c r="BN233" s="301"/>
      <c r="BO233" s="302"/>
      <c r="BP233" s="301"/>
      <c r="BQ233" s="302"/>
      <c r="BR233" s="301"/>
      <c r="BS233" s="302"/>
      <c r="BT233" s="301"/>
      <c r="BU233" s="302"/>
      <c r="BV233" s="301"/>
      <c r="BW233" s="302"/>
      <c r="BX233" s="301"/>
      <c r="BY233" s="302"/>
      <c r="BZ233" s="306"/>
      <c r="CA233" s="304"/>
      <c r="CB233" s="294"/>
      <c r="CC233" s="295"/>
      <c r="CD233" s="296"/>
      <c r="CE233" s="284"/>
      <c r="CF233" s="298"/>
      <c r="CG233" s="307"/>
      <c r="CH233" s="308"/>
      <c r="CI233" s="309"/>
      <c r="CJ233" s="310"/>
      <c r="CK233" s="311"/>
      <c r="CL233" s="75"/>
      <c r="CN233" s="161"/>
      <c r="CO233" s="163"/>
      <c r="CP233" s="315"/>
      <c r="CQ233" s="316"/>
      <c r="CR233" s="317"/>
      <c r="CS233" s="316"/>
      <c r="CT233" s="317"/>
      <c r="CU233" s="316"/>
      <c r="CZ233" s="73">
        <v>5</v>
      </c>
      <c r="DA233" s="73">
        <v>5</v>
      </c>
      <c r="DB233" s="73">
        <v>18</v>
      </c>
      <c r="DC233" s="74">
        <f t="shared" si="799"/>
        <v>45795</v>
      </c>
      <c r="DD233" s="68" t="str">
        <f t="shared" si="839"/>
        <v>日</v>
      </c>
      <c r="DF233" s="156"/>
      <c r="DG233" s="156"/>
    </row>
    <row r="234" spans="1:111" ht="28.5" customHeight="1">
      <c r="A234" s="327">
        <f t="shared" si="808"/>
        <v>45796</v>
      </c>
      <c r="B234" s="365" t="str">
        <f t="shared" si="809"/>
        <v>月</v>
      </c>
      <c r="C234" s="329" t="s">
        <v>27</v>
      </c>
      <c r="D234" s="405">
        <v>15</v>
      </c>
      <c r="E234" s="453"/>
      <c r="F234" s="431">
        <v>15</v>
      </c>
      <c r="G234" s="453"/>
      <c r="H234" s="482"/>
      <c r="I234" s="439"/>
      <c r="J234" s="405"/>
      <c r="K234" s="439"/>
      <c r="L234" s="489">
        <v>15</v>
      </c>
      <c r="M234" s="484"/>
      <c r="N234" s="431"/>
      <c r="O234" s="432"/>
      <c r="P234" s="335"/>
      <c r="Q234" s="409"/>
      <c r="R234" s="431"/>
      <c r="S234" s="432"/>
      <c r="T234" s="335"/>
      <c r="U234" s="347"/>
      <c r="V234" s="431"/>
      <c r="W234" s="439"/>
      <c r="X234" s="431"/>
      <c r="Y234" s="432"/>
      <c r="Z234" s="342">
        <f t="shared" ref="Z234" ca="1" si="910">UDayCou(1,ROW())</f>
        <v>7</v>
      </c>
      <c r="AA234" s="343">
        <f t="shared" ref="AA234" ca="1" si="911">UNightCou(1,ROW())</f>
        <v>4</v>
      </c>
      <c r="AB234" s="344">
        <f t="shared" ref="AB234" ca="1" si="912">UNewCou(1,ROW())</f>
        <v>1</v>
      </c>
      <c r="AC234" s="345">
        <f t="shared" si="813"/>
        <v>45796</v>
      </c>
      <c r="AD234" s="371" t="str">
        <f t="shared" si="814"/>
        <v>月</v>
      </c>
      <c r="AE234" s="431"/>
      <c r="AF234" s="432"/>
      <c r="AG234" s="335"/>
      <c r="AH234" s="347"/>
      <c r="AI234" s="431"/>
      <c r="AJ234" s="439"/>
      <c r="AK234" s="335"/>
      <c r="AL234" s="347"/>
      <c r="AM234" s="431"/>
      <c r="AN234" s="432"/>
      <c r="AO234" s="431"/>
      <c r="AP234" s="432"/>
      <c r="AQ234" s="431"/>
      <c r="AR234" s="439"/>
      <c r="AS234" s="431"/>
      <c r="AT234" s="432"/>
      <c r="AU234" s="431"/>
      <c r="AV234" s="432"/>
      <c r="AW234" s="431"/>
      <c r="AX234" s="432"/>
      <c r="AY234" s="340"/>
      <c r="AZ234" s="341"/>
      <c r="BA234" s="342">
        <f ca="1">UDayCou(2,ROW())</f>
        <v>3</v>
      </c>
      <c r="BB234" s="343">
        <f ca="1">UNightCou(2,ROW())</f>
        <v>3</v>
      </c>
      <c r="BC234" s="344">
        <f ca="1">UNewCou(2,ROW())</f>
        <v>0</v>
      </c>
      <c r="BD234" s="327">
        <f t="shared" si="815"/>
        <v>45796</v>
      </c>
      <c r="BE234" s="371" t="str">
        <f t="shared" si="816"/>
        <v>月</v>
      </c>
      <c r="BF234" s="350"/>
      <c r="BG234" s="351"/>
      <c r="BH234" s="330"/>
      <c r="BI234" s="351"/>
      <c r="BJ234" s="330"/>
      <c r="BK234" s="351"/>
      <c r="BL234" s="330"/>
      <c r="BM234" s="351"/>
      <c r="BN234" s="330"/>
      <c r="BO234" s="351"/>
      <c r="BP234" s="330"/>
      <c r="BQ234" s="351"/>
      <c r="BR234" s="330"/>
      <c r="BS234" s="351"/>
      <c r="BT234" s="330"/>
      <c r="BU234" s="351"/>
      <c r="BV234" s="330"/>
      <c r="BW234" s="351"/>
      <c r="BX234" s="330"/>
      <c r="BY234" s="351"/>
      <c r="BZ234" s="389"/>
      <c r="CA234" s="341"/>
      <c r="CB234" s="342">
        <f ca="1">UDayCou(3,ROW())</f>
        <v>0</v>
      </c>
      <c r="CC234" s="343">
        <f ca="1">UNightCou(3,ROW())</f>
        <v>0</v>
      </c>
      <c r="CD234" s="344">
        <f ca="1">UNewCou(3,ROW())</f>
        <v>0</v>
      </c>
      <c r="CE234" s="327">
        <f t="shared" si="817"/>
        <v>45796</v>
      </c>
      <c r="CF234" s="371" t="str">
        <f t="shared" si="818"/>
        <v>月</v>
      </c>
      <c r="CG234" s="352">
        <f t="shared" ref="CG234" ca="1" si="913">Z234+BA234+CB234</f>
        <v>10</v>
      </c>
      <c r="CH234" s="353">
        <f t="shared" ref="CH234" ca="1" si="914">AA234+BB234+CC234</f>
        <v>7</v>
      </c>
      <c r="CI234" s="354">
        <f t="shared" ref="CI234" ca="1" si="915">AB234+BC234+CD234</f>
        <v>1</v>
      </c>
      <c r="CJ234" s="355">
        <f ca="1">COUNTIF(INDIRECT("D282:CA283"),"*●*")</f>
        <v>0</v>
      </c>
      <c r="CK234" s="356">
        <f ca="1">COUNTIF(INDIRECT("D282:CA283"),"*㋷*")</f>
        <v>0</v>
      </c>
      <c r="CL234" s="75"/>
      <c r="CN234" s="160">
        <f t="shared" si="822"/>
        <v>45796</v>
      </c>
      <c r="CO234" s="162" t="str">
        <f t="shared" si="823"/>
        <v>月</v>
      </c>
      <c r="CP234" s="357"/>
      <c r="CQ234" s="358"/>
      <c r="CR234" s="359"/>
      <c r="CS234" s="358"/>
      <c r="CT234" s="359"/>
      <c r="CU234" s="358"/>
      <c r="CZ234" s="73">
        <v>5</v>
      </c>
      <c r="DA234" s="73">
        <v>5</v>
      </c>
      <c r="DB234" s="73">
        <v>19</v>
      </c>
      <c r="DC234" s="74">
        <f t="shared" si="799"/>
        <v>45796</v>
      </c>
      <c r="DD234" s="68" t="str">
        <f t="shared" si="839"/>
        <v>月</v>
      </c>
      <c r="DF234" s="155">
        <f t="shared" ref="DF234" si="916">$DC234</f>
        <v>45796</v>
      </c>
      <c r="DG234" s="156" t="e">
        <f ca="1">IF($CH234&gt;=設定!$E$12,"✕",IF(SS予約表!$CG234&gt;=設定!$E$12,"△","○"))</f>
        <v>#NAME?</v>
      </c>
    </row>
    <row r="235" spans="1:111" ht="29.25" customHeight="1">
      <c r="A235" s="284"/>
      <c r="B235" s="285"/>
      <c r="C235" s="286" t="s">
        <v>28</v>
      </c>
      <c r="D235" s="287"/>
      <c r="E235" s="291"/>
      <c r="F235" s="299"/>
      <c r="G235" s="300"/>
      <c r="H235" s="290"/>
      <c r="I235" s="288"/>
      <c r="J235" s="287"/>
      <c r="K235" s="288"/>
      <c r="L235" s="487"/>
      <c r="M235" s="293"/>
      <c r="N235" s="299"/>
      <c r="O235" s="300"/>
      <c r="P235" s="289"/>
      <c r="Q235" s="288"/>
      <c r="R235" s="289"/>
      <c r="S235" s="291"/>
      <c r="T235" s="289"/>
      <c r="U235" s="291"/>
      <c r="V235" s="289"/>
      <c r="W235" s="288"/>
      <c r="X235" s="289"/>
      <c r="Y235" s="291"/>
      <c r="Z235" s="294"/>
      <c r="AA235" s="295"/>
      <c r="AB235" s="296"/>
      <c r="AC235" s="297"/>
      <c r="AD235" s="298"/>
      <c r="AE235" s="289"/>
      <c r="AF235" s="291"/>
      <c r="AG235" s="299"/>
      <c r="AH235" s="300"/>
      <c r="AI235" s="289"/>
      <c r="AJ235" s="288"/>
      <c r="AK235" s="299"/>
      <c r="AL235" s="300"/>
      <c r="AM235" s="289">
        <v>10</v>
      </c>
      <c r="AN235" s="288" t="s">
        <v>171</v>
      </c>
      <c r="AO235" s="299"/>
      <c r="AP235" s="300"/>
      <c r="AQ235" s="289"/>
      <c r="AR235" s="288"/>
      <c r="AS235" s="289"/>
      <c r="AT235" s="291"/>
      <c r="AU235" s="289"/>
      <c r="AV235" s="291"/>
      <c r="AW235" s="289"/>
      <c r="AX235" s="291"/>
      <c r="AY235" s="303"/>
      <c r="AZ235" s="304"/>
      <c r="BA235" s="294"/>
      <c r="BB235" s="295"/>
      <c r="BC235" s="296"/>
      <c r="BD235" s="284"/>
      <c r="BE235" s="298"/>
      <c r="BF235" s="305"/>
      <c r="BG235" s="302"/>
      <c r="BH235" s="301"/>
      <c r="BI235" s="302"/>
      <c r="BJ235" s="301"/>
      <c r="BK235" s="302"/>
      <c r="BL235" s="301"/>
      <c r="BM235" s="302"/>
      <c r="BN235" s="301"/>
      <c r="BO235" s="302"/>
      <c r="BP235" s="301"/>
      <c r="BQ235" s="302"/>
      <c r="BR235" s="301"/>
      <c r="BS235" s="302"/>
      <c r="BT235" s="301"/>
      <c r="BU235" s="302"/>
      <c r="BV235" s="301"/>
      <c r="BW235" s="302"/>
      <c r="BX235" s="301"/>
      <c r="BY235" s="302"/>
      <c r="BZ235" s="306"/>
      <c r="CA235" s="304"/>
      <c r="CB235" s="294"/>
      <c r="CC235" s="295"/>
      <c r="CD235" s="296"/>
      <c r="CE235" s="284"/>
      <c r="CF235" s="298"/>
      <c r="CG235" s="307"/>
      <c r="CH235" s="308"/>
      <c r="CI235" s="309"/>
      <c r="CJ235" s="310"/>
      <c r="CK235" s="311"/>
      <c r="CL235" s="75"/>
      <c r="CN235" s="161"/>
      <c r="CO235" s="163"/>
      <c r="CP235" s="315"/>
      <c r="CQ235" s="316"/>
      <c r="CR235" s="317"/>
      <c r="CS235" s="316"/>
      <c r="CT235" s="317"/>
      <c r="CU235" s="316"/>
      <c r="CZ235" s="73">
        <v>5</v>
      </c>
      <c r="DA235" s="73">
        <v>5</v>
      </c>
      <c r="DB235" s="73">
        <v>19</v>
      </c>
      <c r="DC235" s="74">
        <f t="shared" si="799"/>
        <v>45796</v>
      </c>
      <c r="DD235" s="68" t="str">
        <f t="shared" si="839"/>
        <v>月</v>
      </c>
      <c r="DF235" s="156"/>
      <c r="DG235" s="156"/>
    </row>
    <row r="236" spans="1:111" ht="28.5" customHeight="1">
      <c r="A236" s="327">
        <f t="shared" si="808"/>
        <v>45797</v>
      </c>
      <c r="B236" s="365" t="str">
        <f t="shared" si="809"/>
        <v>火</v>
      </c>
      <c r="C236" s="329" t="s">
        <v>27</v>
      </c>
      <c r="D236" s="405"/>
      <c r="E236" s="432"/>
      <c r="F236" s="335"/>
      <c r="G236" s="347"/>
      <c r="H236" s="482"/>
      <c r="I236" s="439"/>
      <c r="J236" s="405"/>
      <c r="K236" s="439"/>
      <c r="L236" s="489"/>
      <c r="M236" s="485"/>
      <c r="N236" s="335"/>
      <c r="O236" s="347"/>
      <c r="P236" s="431"/>
      <c r="Q236" s="439"/>
      <c r="R236" s="431"/>
      <c r="S236" s="432"/>
      <c r="T236" s="431"/>
      <c r="U236" s="432"/>
      <c r="V236" s="431"/>
      <c r="W236" s="439"/>
      <c r="X236" s="431"/>
      <c r="Y236" s="432"/>
      <c r="Z236" s="342">
        <f t="shared" ref="Z236" ca="1" si="917">UDayCou(1,ROW())</f>
        <v>7</v>
      </c>
      <c r="AA236" s="343">
        <f t="shared" ref="AA236" ca="1" si="918">UNightCou(1,ROW())</f>
        <v>7</v>
      </c>
      <c r="AB236" s="344">
        <f t="shared" ref="AB236" ca="1" si="919">UNewCou(1,ROW())</f>
        <v>1</v>
      </c>
      <c r="AC236" s="345">
        <f t="shared" si="813"/>
        <v>45797</v>
      </c>
      <c r="AD236" s="371" t="str">
        <f t="shared" si="814"/>
        <v>火</v>
      </c>
      <c r="AE236" s="431"/>
      <c r="AF236" s="432"/>
      <c r="AG236" s="335"/>
      <c r="AH236" s="347"/>
      <c r="AI236" s="431"/>
      <c r="AJ236" s="439"/>
      <c r="AK236" s="335"/>
      <c r="AL236" s="347"/>
      <c r="AM236" s="431"/>
      <c r="AN236" s="439"/>
      <c r="AO236" s="335"/>
      <c r="AP236" s="347"/>
      <c r="AQ236" s="431"/>
      <c r="AR236" s="439"/>
      <c r="AS236" s="431"/>
      <c r="AT236" s="432"/>
      <c r="AU236" s="431"/>
      <c r="AV236" s="432"/>
      <c r="AW236" s="431"/>
      <c r="AX236" s="432"/>
      <c r="AY236" s="340"/>
      <c r="AZ236" s="341"/>
      <c r="BA236" s="342">
        <f ca="1">UDayCou(2,ROW())</f>
        <v>4</v>
      </c>
      <c r="BB236" s="343">
        <f ca="1">UNightCou(2,ROW())</f>
        <v>4</v>
      </c>
      <c r="BC236" s="344">
        <f ca="1">UNewCou(2,ROW())</f>
        <v>0</v>
      </c>
      <c r="BD236" s="327">
        <f t="shared" si="815"/>
        <v>45797</v>
      </c>
      <c r="BE236" s="371" t="str">
        <f t="shared" si="816"/>
        <v>火</v>
      </c>
      <c r="BF236" s="350"/>
      <c r="BG236" s="351"/>
      <c r="BH236" s="330"/>
      <c r="BI236" s="351"/>
      <c r="BJ236" s="330"/>
      <c r="BK236" s="351"/>
      <c r="BL236" s="330"/>
      <c r="BM236" s="351"/>
      <c r="BN236" s="330"/>
      <c r="BO236" s="351"/>
      <c r="BP236" s="330"/>
      <c r="BQ236" s="351"/>
      <c r="BR236" s="330"/>
      <c r="BS236" s="351"/>
      <c r="BT236" s="330"/>
      <c r="BU236" s="351"/>
      <c r="BV236" s="330"/>
      <c r="BW236" s="351"/>
      <c r="BX236" s="330"/>
      <c r="BY236" s="351"/>
      <c r="BZ236" s="389"/>
      <c r="CA236" s="341"/>
      <c r="CB236" s="342">
        <f ca="1">UDayCou(3,ROW())</f>
        <v>0</v>
      </c>
      <c r="CC236" s="343">
        <f ca="1">UNightCou(3,ROW())</f>
        <v>0</v>
      </c>
      <c r="CD236" s="344">
        <f ca="1">UNewCou(3,ROW())</f>
        <v>0</v>
      </c>
      <c r="CE236" s="327">
        <f t="shared" si="817"/>
        <v>45797</v>
      </c>
      <c r="CF236" s="371" t="str">
        <f t="shared" si="818"/>
        <v>火</v>
      </c>
      <c r="CG236" s="352">
        <f t="shared" ref="CG236" ca="1" si="920">Z236+BA236+CB236</f>
        <v>11</v>
      </c>
      <c r="CH236" s="353">
        <f t="shared" ref="CH236" ca="1" si="921">AA236+BB236+CC236</f>
        <v>11</v>
      </c>
      <c r="CI236" s="354">
        <f t="shared" ref="CI236" ca="1" si="922">AB236+BC236+CD236</f>
        <v>1</v>
      </c>
      <c r="CJ236" s="355">
        <f ca="1">COUNTIF(INDIRECT("D284:CA285"),"*●*")</f>
        <v>0</v>
      </c>
      <c r="CK236" s="356">
        <f ca="1">COUNTIF(INDIRECT("D284:CA285"),"*㋷*")</f>
        <v>0</v>
      </c>
      <c r="CL236" s="75"/>
      <c r="CN236" s="160">
        <f t="shared" si="822"/>
        <v>45797</v>
      </c>
      <c r="CO236" s="162" t="str">
        <f t="shared" si="823"/>
        <v>火</v>
      </c>
      <c r="CP236" s="357"/>
      <c r="CQ236" s="358"/>
      <c r="CR236" s="359"/>
      <c r="CS236" s="358"/>
      <c r="CT236" s="359"/>
      <c r="CU236" s="358"/>
      <c r="CZ236" s="73">
        <v>5</v>
      </c>
      <c r="DA236" s="73">
        <v>5</v>
      </c>
      <c r="DB236" s="73">
        <v>20</v>
      </c>
      <c r="DC236" s="74">
        <f t="shared" si="799"/>
        <v>45797</v>
      </c>
      <c r="DD236" s="68" t="str">
        <f t="shared" si="839"/>
        <v>火</v>
      </c>
      <c r="DF236" s="155">
        <f t="shared" ref="DF236" si="923">$DC236</f>
        <v>45797</v>
      </c>
      <c r="DG236" s="156" t="e">
        <f ca="1">IF($CH236&gt;=設定!$E$12,"✕",IF(SS予約表!$CG236&gt;=設定!$E$12,"△","○"))</f>
        <v>#NAME?</v>
      </c>
    </row>
    <row r="237" spans="1:111" ht="29.25" customHeight="1" thickBot="1">
      <c r="A237" s="284"/>
      <c r="B237" s="285"/>
      <c r="C237" s="286" t="s">
        <v>28</v>
      </c>
      <c r="D237" s="287"/>
      <c r="E237" s="291"/>
      <c r="F237" s="289">
        <v>10</v>
      </c>
      <c r="G237" s="288" t="s">
        <v>50</v>
      </c>
      <c r="H237" s="290"/>
      <c r="I237" s="288"/>
      <c r="J237" s="287"/>
      <c r="K237" s="288"/>
      <c r="L237" s="487"/>
      <c r="M237" s="293"/>
      <c r="N237" s="299">
        <v>10</v>
      </c>
      <c r="O237" s="322" t="s">
        <v>249</v>
      </c>
      <c r="P237" s="289"/>
      <c r="Q237" s="288"/>
      <c r="R237" s="289"/>
      <c r="S237" s="291"/>
      <c r="T237" s="289">
        <v>10</v>
      </c>
      <c r="U237" s="288" t="s">
        <v>250</v>
      </c>
      <c r="V237" s="289"/>
      <c r="W237" s="288"/>
      <c r="X237" s="292"/>
      <c r="Y237" s="293"/>
      <c r="Z237" s="294"/>
      <c r="AA237" s="295"/>
      <c r="AB237" s="296"/>
      <c r="AC237" s="297"/>
      <c r="AD237" s="298"/>
      <c r="AE237" s="289">
        <v>10</v>
      </c>
      <c r="AF237" s="288" t="s">
        <v>131</v>
      </c>
      <c r="AG237" s="299"/>
      <c r="AH237" s="300"/>
      <c r="AI237" s="289"/>
      <c r="AJ237" s="288"/>
      <c r="AK237" s="299"/>
      <c r="AL237" s="300"/>
      <c r="AM237" s="289"/>
      <c r="AN237" s="288"/>
      <c r="AO237" s="299"/>
      <c r="AP237" s="300"/>
      <c r="AQ237" s="289"/>
      <c r="AR237" s="288"/>
      <c r="AS237" s="289"/>
      <c r="AT237" s="291"/>
      <c r="AU237" s="289"/>
      <c r="AV237" s="291"/>
      <c r="AW237" s="289"/>
      <c r="AX237" s="291"/>
      <c r="AY237" s="303"/>
      <c r="AZ237" s="304"/>
      <c r="BA237" s="294"/>
      <c r="BB237" s="295"/>
      <c r="BC237" s="296"/>
      <c r="BD237" s="284"/>
      <c r="BE237" s="298"/>
      <c r="BF237" s="305"/>
      <c r="BG237" s="302"/>
      <c r="BH237" s="301"/>
      <c r="BI237" s="302"/>
      <c r="BJ237" s="301"/>
      <c r="BK237" s="302"/>
      <c r="BL237" s="301"/>
      <c r="BM237" s="302"/>
      <c r="BN237" s="301"/>
      <c r="BO237" s="302"/>
      <c r="BP237" s="301"/>
      <c r="BQ237" s="302"/>
      <c r="BR237" s="301"/>
      <c r="BS237" s="302"/>
      <c r="BT237" s="301"/>
      <c r="BU237" s="302"/>
      <c r="BV237" s="301"/>
      <c r="BW237" s="302"/>
      <c r="BX237" s="301"/>
      <c r="BY237" s="302"/>
      <c r="BZ237" s="306"/>
      <c r="CA237" s="304"/>
      <c r="CB237" s="294"/>
      <c r="CC237" s="295"/>
      <c r="CD237" s="296"/>
      <c r="CE237" s="284"/>
      <c r="CF237" s="298"/>
      <c r="CG237" s="307"/>
      <c r="CH237" s="308"/>
      <c r="CI237" s="309"/>
      <c r="CJ237" s="310"/>
      <c r="CK237" s="311"/>
      <c r="CL237" s="75"/>
      <c r="CN237" s="161"/>
      <c r="CO237" s="163"/>
      <c r="CP237" s="315"/>
      <c r="CQ237" s="316"/>
      <c r="CR237" s="317"/>
      <c r="CS237" s="316"/>
      <c r="CT237" s="317"/>
      <c r="CU237" s="316"/>
      <c r="CZ237" s="73">
        <v>5</v>
      </c>
      <c r="DA237" s="73">
        <v>5</v>
      </c>
      <c r="DB237" s="73">
        <v>20</v>
      </c>
      <c r="DC237" s="74">
        <f t="shared" si="799"/>
        <v>45797</v>
      </c>
      <c r="DD237" s="68" t="str">
        <f t="shared" si="839"/>
        <v>火</v>
      </c>
      <c r="DF237" s="156"/>
      <c r="DG237" s="156"/>
    </row>
    <row r="238" spans="1:111" ht="28.5" customHeight="1">
      <c r="A238" s="491">
        <f t="shared" si="808"/>
        <v>45798</v>
      </c>
      <c r="B238" s="524" t="str">
        <f t="shared" si="809"/>
        <v>水</v>
      </c>
      <c r="C238" s="493" t="s">
        <v>27</v>
      </c>
      <c r="D238" s="542"/>
      <c r="E238" s="551"/>
      <c r="F238" s="550"/>
      <c r="G238" s="577"/>
      <c r="H238" s="578"/>
      <c r="I238" s="577"/>
      <c r="J238" s="542"/>
      <c r="K238" s="577"/>
      <c r="L238" s="579"/>
      <c r="M238" s="580"/>
      <c r="N238" s="499"/>
      <c r="O238" s="548"/>
      <c r="P238" s="550"/>
      <c r="Q238" s="577"/>
      <c r="R238" s="550"/>
      <c r="S238" s="551"/>
      <c r="T238" s="550"/>
      <c r="U238" s="577"/>
      <c r="V238" s="550"/>
      <c r="W238" s="577"/>
      <c r="X238" s="581"/>
      <c r="Y238" s="580"/>
      <c r="Z238" s="506">
        <f t="shared" ref="Z238" ca="1" si="924">UDayCou(1,ROW())</f>
        <v>9</v>
      </c>
      <c r="AA238" s="507">
        <f t="shared" ref="AA238" ca="1" si="925">UNightCou(1,ROW())</f>
        <v>9</v>
      </c>
      <c r="AB238" s="508">
        <f t="shared" ref="AB238" ca="1" si="926">UNewCou(1,ROW())</f>
        <v>1</v>
      </c>
      <c r="AC238" s="509">
        <f t="shared" si="813"/>
        <v>45798</v>
      </c>
      <c r="AD238" s="531" t="str">
        <f t="shared" si="814"/>
        <v>水</v>
      </c>
      <c r="AE238" s="550"/>
      <c r="AF238" s="577"/>
      <c r="AG238" s="499"/>
      <c r="AH238" s="511"/>
      <c r="AI238" s="550">
        <v>15</v>
      </c>
      <c r="AJ238" s="576"/>
      <c r="AK238" s="499"/>
      <c r="AL238" s="511"/>
      <c r="AM238" s="550"/>
      <c r="AN238" s="577"/>
      <c r="AO238" s="499"/>
      <c r="AP238" s="511"/>
      <c r="AQ238" s="550">
        <v>15</v>
      </c>
      <c r="AR238" s="576"/>
      <c r="AS238" s="550"/>
      <c r="AT238" s="551"/>
      <c r="AU238" s="550"/>
      <c r="AV238" s="551"/>
      <c r="AW238" s="550"/>
      <c r="AX238" s="551"/>
      <c r="AY238" s="504"/>
      <c r="AZ238" s="505"/>
      <c r="BA238" s="506">
        <f ca="1">UDayCou(2,ROW())</f>
        <v>5</v>
      </c>
      <c r="BB238" s="507">
        <f ca="1">UNightCou(2,ROW())</f>
        <v>3</v>
      </c>
      <c r="BC238" s="508">
        <f ca="1">UNewCou(2,ROW())</f>
        <v>0</v>
      </c>
      <c r="BD238" s="491">
        <f t="shared" si="815"/>
        <v>45798</v>
      </c>
      <c r="BE238" s="531" t="str">
        <f t="shared" si="816"/>
        <v>水</v>
      </c>
      <c r="BF238" s="514"/>
      <c r="BG238" s="515"/>
      <c r="BH238" s="494"/>
      <c r="BI238" s="515"/>
      <c r="BJ238" s="494"/>
      <c r="BK238" s="515"/>
      <c r="BL238" s="494"/>
      <c r="BM238" s="515"/>
      <c r="BN238" s="494"/>
      <c r="BO238" s="515"/>
      <c r="BP238" s="494"/>
      <c r="BQ238" s="515"/>
      <c r="BR238" s="494"/>
      <c r="BS238" s="515"/>
      <c r="BT238" s="494"/>
      <c r="BU238" s="515"/>
      <c r="BV238" s="494"/>
      <c r="BW238" s="515"/>
      <c r="BX238" s="494"/>
      <c r="BY238" s="515"/>
      <c r="BZ238" s="530"/>
      <c r="CA238" s="505"/>
      <c r="CB238" s="506">
        <f ca="1">UDayCou(3,ROW())</f>
        <v>0</v>
      </c>
      <c r="CC238" s="507">
        <f ca="1">UNightCou(3,ROW())</f>
        <v>0</v>
      </c>
      <c r="CD238" s="508">
        <f ca="1">UNewCou(3,ROW())</f>
        <v>0</v>
      </c>
      <c r="CE238" s="491">
        <f t="shared" si="817"/>
        <v>45798</v>
      </c>
      <c r="CF238" s="531" t="str">
        <f t="shared" si="818"/>
        <v>水</v>
      </c>
      <c r="CG238" s="516">
        <f t="shared" ref="CG238" ca="1" si="927">Z238+BA238+CB238</f>
        <v>14</v>
      </c>
      <c r="CH238" s="517">
        <f t="shared" ref="CH238" ca="1" si="928">AA238+BB238+CC238</f>
        <v>12</v>
      </c>
      <c r="CI238" s="518">
        <f t="shared" ref="CI238" ca="1" si="929">AB238+BC238+CD238</f>
        <v>1</v>
      </c>
      <c r="CJ238" s="519">
        <f ca="1">COUNTIF(INDIRECT("D286:CA287"),"*●*")</f>
        <v>0</v>
      </c>
      <c r="CK238" s="520">
        <f ca="1">COUNTIF(INDIRECT("D286:CA287"),"*㋷*")</f>
        <v>0</v>
      </c>
      <c r="CL238" s="75"/>
      <c r="CN238" s="164">
        <f t="shared" si="822"/>
        <v>45798</v>
      </c>
      <c r="CO238" s="165" t="str">
        <f t="shared" si="823"/>
        <v>水</v>
      </c>
      <c r="CP238" s="521"/>
      <c r="CQ238" s="522"/>
      <c r="CR238" s="523"/>
      <c r="CS238" s="522"/>
      <c r="CT238" s="523"/>
      <c r="CU238" s="522"/>
      <c r="CZ238" s="73">
        <v>5</v>
      </c>
      <c r="DA238" s="73">
        <v>5</v>
      </c>
      <c r="DB238" s="73">
        <v>21</v>
      </c>
      <c r="DC238" s="74">
        <f t="shared" si="799"/>
        <v>45798</v>
      </c>
      <c r="DD238" s="68" t="str">
        <f t="shared" si="839"/>
        <v>水</v>
      </c>
      <c r="DF238" s="155">
        <f t="shared" ref="DF238" si="930">$DC238</f>
        <v>45798</v>
      </c>
      <c r="DG238" s="156" t="e">
        <f ca="1">IF($CH238&gt;=設定!$E$12,"✕",IF(SS予約表!$CG238&gt;=設定!$E$12,"△","○"))</f>
        <v>#NAME?</v>
      </c>
    </row>
    <row r="239" spans="1:111" ht="29.25" customHeight="1">
      <c r="A239" s="284"/>
      <c r="B239" s="285"/>
      <c r="C239" s="286" t="s">
        <v>28</v>
      </c>
      <c r="D239" s="287">
        <v>10</v>
      </c>
      <c r="E239" s="288" t="s">
        <v>50</v>
      </c>
      <c r="F239" s="289"/>
      <c r="G239" s="288"/>
      <c r="H239" s="290"/>
      <c r="I239" s="288"/>
      <c r="J239" s="287"/>
      <c r="K239" s="288"/>
      <c r="L239" s="487">
        <v>10</v>
      </c>
      <c r="M239" s="488" t="s">
        <v>235</v>
      </c>
      <c r="N239" s="299"/>
      <c r="O239" s="322"/>
      <c r="P239" s="289"/>
      <c r="Q239" s="288"/>
      <c r="R239" s="289"/>
      <c r="S239" s="291"/>
      <c r="T239" s="289"/>
      <c r="U239" s="288"/>
      <c r="V239" s="289"/>
      <c r="W239" s="288"/>
      <c r="X239" s="292"/>
      <c r="Y239" s="293"/>
      <c r="Z239" s="294"/>
      <c r="AA239" s="295"/>
      <c r="AB239" s="296"/>
      <c r="AC239" s="297"/>
      <c r="AD239" s="298"/>
      <c r="AE239" s="289"/>
      <c r="AF239" s="288"/>
      <c r="AG239" s="299"/>
      <c r="AH239" s="300"/>
      <c r="AI239" s="289"/>
      <c r="AJ239" s="291"/>
      <c r="AK239" s="299"/>
      <c r="AL239" s="300"/>
      <c r="AM239" s="289"/>
      <c r="AN239" s="288"/>
      <c r="AO239" s="299"/>
      <c r="AP239" s="300"/>
      <c r="AQ239" s="289"/>
      <c r="AR239" s="291"/>
      <c r="AS239" s="289"/>
      <c r="AT239" s="291"/>
      <c r="AU239" s="289">
        <v>10</v>
      </c>
      <c r="AV239" s="288" t="s">
        <v>50</v>
      </c>
      <c r="AW239" s="289"/>
      <c r="AX239" s="291"/>
      <c r="AY239" s="303"/>
      <c r="AZ239" s="304"/>
      <c r="BA239" s="294"/>
      <c r="BB239" s="295"/>
      <c r="BC239" s="296"/>
      <c r="BD239" s="284"/>
      <c r="BE239" s="298"/>
      <c r="BF239" s="305"/>
      <c r="BG239" s="302"/>
      <c r="BH239" s="301"/>
      <c r="BI239" s="302"/>
      <c r="BJ239" s="301"/>
      <c r="BK239" s="302"/>
      <c r="BL239" s="301"/>
      <c r="BM239" s="302"/>
      <c r="BN239" s="301"/>
      <c r="BO239" s="302"/>
      <c r="BP239" s="301"/>
      <c r="BQ239" s="302"/>
      <c r="BR239" s="301"/>
      <c r="BS239" s="302"/>
      <c r="BT239" s="301"/>
      <c r="BU239" s="302"/>
      <c r="BV239" s="301"/>
      <c r="BW239" s="302"/>
      <c r="BX239" s="301"/>
      <c r="BY239" s="302"/>
      <c r="BZ239" s="306"/>
      <c r="CA239" s="304"/>
      <c r="CB239" s="294"/>
      <c r="CC239" s="295"/>
      <c r="CD239" s="296"/>
      <c r="CE239" s="284"/>
      <c r="CF239" s="298"/>
      <c r="CG239" s="307"/>
      <c r="CH239" s="308"/>
      <c r="CI239" s="309"/>
      <c r="CJ239" s="310"/>
      <c r="CK239" s="311"/>
      <c r="CL239" s="75"/>
      <c r="CN239" s="161"/>
      <c r="CO239" s="163"/>
      <c r="CP239" s="315"/>
      <c r="CQ239" s="316"/>
      <c r="CR239" s="317"/>
      <c r="CS239" s="316"/>
      <c r="CT239" s="317"/>
      <c r="CU239" s="316"/>
      <c r="CZ239" s="73">
        <v>5</v>
      </c>
      <c r="DA239" s="73">
        <v>5</v>
      </c>
      <c r="DB239" s="73">
        <v>21</v>
      </c>
      <c r="DC239" s="74">
        <f t="shared" si="799"/>
        <v>45798</v>
      </c>
      <c r="DD239" s="68" t="str">
        <f t="shared" si="839"/>
        <v>水</v>
      </c>
      <c r="DF239" s="156"/>
      <c r="DG239" s="156"/>
    </row>
    <row r="240" spans="1:111" ht="28.5" customHeight="1">
      <c r="A240" s="327">
        <f t="shared" si="808"/>
        <v>45799</v>
      </c>
      <c r="B240" s="365" t="str">
        <f t="shared" si="809"/>
        <v>木</v>
      </c>
      <c r="C240" s="329" t="s">
        <v>27</v>
      </c>
      <c r="D240" s="405"/>
      <c r="E240" s="439"/>
      <c r="F240" s="431"/>
      <c r="G240" s="439"/>
      <c r="H240" s="482"/>
      <c r="I240" s="439"/>
      <c r="J240" s="405">
        <v>15</v>
      </c>
      <c r="K240" s="453"/>
      <c r="L240" s="489">
        <v>15</v>
      </c>
      <c r="M240" s="484"/>
      <c r="N240" s="335"/>
      <c r="O240" s="409"/>
      <c r="P240" s="431"/>
      <c r="Q240" s="439"/>
      <c r="R240" s="431"/>
      <c r="S240" s="432"/>
      <c r="T240" s="431">
        <v>15</v>
      </c>
      <c r="U240" s="453"/>
      <c r="V240" s="431">
        <v>15</v>
      </c>
      <c r="W240" s="453"/>
      <c r="X240" s="483"/>
      <c r="Y240" s="485"/>
      <c r="Z240" s="342">
        <f t="shared" ref="Z240" ca="1" si="931">UDayCou(1,ROW())</f>
        <v>10</v>
      </c>
      <c r="AA240" s="343">
        <f t="shared" ref="AA240" ca="1" si="932">UNightCou(1,ROW())</f>
        <v>6</v>
      </c>
      <c r="AB240" s="344">
        <f t="shared" ref="AB240" ca="1" si="933">UNewCou(1,ROW())</f>
        <v>1</v>
      </c>
      <c r="AC240" s="345">
        <f t="shared" si="813"/>
        <v>45799</v>
      </c>
      <c r="AD240" s="371" t="str">
        <f t="shared" si="814"/>
        <v>木</v>
      </c>
      <c r="AE240" s="431">
        <v>15</v>
      </c>
      <c r="AF240" s="453"/>
      <c r="AG240" s="335"/>
      <c r="AH240" s="347"/>
      <c r="AI240" s="431"/>
      <c r="AJ240" s="432"/>
      <c r="AK240" s="335"/>
      <c r="AL240" s="347"/>
      <c r="AM240" s="431"/>
      <c r="AN240" s="439"/>
      <c r="AO240" s="335"/>
      <c r="AP240" s="347"/>
      <c r="AQ240" s="431"/>
      <c r="AR240" s="432"/>
      <c r="AS240" s="431"/>
      <c r="AT240" s="432"/>
      <c r="AU240" s="431"/>
      <c r="AV240" s="439"/>
      <c r="AW240" s="431"/>
      <c r="AX240" s="432"/>
      <c r="AY240" s="340"/>
      <c r="AZ240" s="341"/>
      <c r="BA240" s="342">
        <f ca="1">UDayCou(2,ROW())</f>
        <v>3</v>
      </c>
      <c r="BB240" s="343">
        <f ca="1">UNightCou(2,ROW())</f>
        <v>2</v>
      </c>
      <c r="BC240" s="344">
        <f ca="1">UNewCou(2,ROW())</f>
        <v>0</v>
      </c>
      <c r="BD240" s="327">
        <f t="shared" si="815"/>
        <v>45799</v>
      </c>
      <c r="BE240" s="371" t="str">
        <f t="shared" si="816"/>
        <v>木</v>
      </c>
      <c r="BF240" s="350"/>
      <c r="BG240" s="351"/>
      <c r="BH240" s="330"/>
      <c r="BI240" s="351"/>
      <c r="BJ240" s="330"/>
      <c r="BK240" s="351"/>
      <c r="BL240" s="330"/>
      <c r="BM240" s="351"/>
      <c r="BN240" s="330"/>
      <c r="BO240" s="351"/>
      <c r="BP240" s="330"/>
      <c r="BQ240" s="351"/>
      <c r="BR240" s="330"/>
      <c r="BS240" s="351"/>
      <c r="BT240" s="330"/>
      <c r="BU240" s="351"/>
      <c r="BV240" s="330"/>
      <c r="BW240" s="351"/>
      <c r="BX240" s="330"/>
      <c r="BY240" s="351"/>
      <c r="BZ240" s="389"/>
      <c r="CA240" s="341"/>
      <c r="CB240" s="342">
        <f ca="1">UDayCou(3,ROW())</f>
        <v>0</v>
      </c>
      <c r="CC240" s="343">
        <f ca="1">UNightCou(3,ROW())</f>
        <v>0</v>
      </c>
      <c r="CD240" s="344">
        <f ca="1">UNewCou(3,ROW())</f>
        <v>0</v>
      </c>
      <c r="CE240" s="327">
        <f t="shared" si="817"/>
        <v>45799</v>
      </c>
      <c r="CF240" s="371" t="str">
        <f t="shared" si="818"/>
        <v>木</v>
      </c>
      <c r="CG240" s="352">
        <f t="shared" ref="CG240" ca="1" si="934">Z240+BA240+CB240</f>
        <v>13</v>
      </c>
      <c r="CH240" s="353">
        <f t="shared" ref="CH240" ca="1" si="935">AA240+BB240+CC240</f>
        <v>8</v>
      </c>
      <c r="CI240" s="354">
        <f t="shared" ref="CI240" ca="1" si="936">AB240+BC240+CD240</f>
        <v>1</v>
      </c>
      <c r="CJ240" s="355">
        <f ca="1">COUNTIF(INDIRECT("D288:CA289"),"*●*")</f>
        <v>0</v>
      </c>
      <c r="CK240" s="356">
        <f ca="1">COUNTIF(INDIRECT("D288:CA289"),"*㋷*")</f>
        <v>0</v>
      </c>
      <c r="CL240" s="75"/>
      <c r="CN240" s="160">
        <f t="shared" si="822"/>
        <v>45799</v>
      </c>
      <c r="CO240" s="162" t="str">
        <f t="shared" si="823"/>
        <v>木</v>
      </c>
      <c r="CP240" s="357"/>
      <c r="CQ240" s="358"/>
      <c r="CR240" s="359"/>
      <c r="CS240" s="358"/>
      <c r="CT240" s="359"/>
      <c r="CU240" s="358"/>
      <c r="CZ240" s="73">
        <v>5</v>
      </c>
      <c r="DA240" s="73">
        <v>5</v>
      </c>
      <c r="DB240" s="73">
        <v>22</v>
      </c>
      <c r="DC240" s="74">
        <f t="shared" si="799"/>
        <v>45799</v>
      </c>
      <c r="DD240" s="68" t="str">
        <f t="shared" si="839"/>
        <v>木</v>
      </c>
      <c r="DF240" s="155">
        <f t="shared" ref="DF240" si="937">$DC240</f>
        <v>45799</v>
      </c>
      <c r="DG240" s="156" t="e">
        <f ca="1">IF($CH240&gt;=設定!$E$12,"✕",IF(SS予約表!$CG240&gt;=設定!$E$12,"△","○"))</f>
        <v>#NAME?</v>
      </c>
    </row>
    <row r="241" spans="1:111" ht="29.25" customHeight="1">
      <c r="A241" s="284"/>
      <c r="B241" s="285"/>
      <c r="C241" s="286" t="s">
        <v>28</v>
      </c>
      <c r="D241" s="287"/>
      <c r="E241" s="288"/>
      <c r="F241" s="289"/>
      <c r="G241" s="288"/>
      <c r="H241" s="290"/>
      <c r="I241" s="288"/>
      <c r="J241" s="287"/>
      <c r="K241" s="291"/>
      <c r="L241" s="487"/>
      <c r="M241" s="293"/>
      <c r="N241" s="299"/>
      <c r="O241" s="322"/>
      <c r="P241" s="289"/>
      <c r="Q241" s="288"/>
      <c r="R241" s="289">
        <v>10</v>
      </c>
      <c r="S241" s="288" t="s">
        <v>224</v>
      </c>
      <c r="T241" s="289"/>
      <c r="U241" s="291"/>
      <c r="V241" s="289"/>
      <c r="W241" s="291"/>
      <c r="X241" s="292"/>
      <c r="Y241" s="293"/>
      <c r="Z241" s="294"/>
      <c r="AA241" s="295"/>
      <c r="AB241" s="296"/>
      <c r="AC241" s="297"/>
      <c r="AD241" s="298"/>
      <c r="AE241" s="289"/>
      <c r="AF241" s="291"/>
      <c r="AG241" s="299"/>
      <c r="AH241" s="300"/>
      <c r="AI241" s="289"/>
      <c r="AJ241" s="291"/>
      <c r="AK241" s="299"/>
      <c r="AL241" s="300"/>
      <c r="AM241" s="289"/>
      <c r="AN241" s="288"/>
      <c r="AO241" s="289"/>
      <c r="AP241" s="291"/>
      <c r="AQ241" s="289"/>
      <c r="AR241" s="291"/>
      <c r="AS241" s="289"/>
      <c r="AT241" s="291"/>
      <c r="AU241" s="289"/>
      <c r="AV241" s="288"/>
      <c r="AW241" s="289"/>
      <c r="AX241" s="291"/>
      <c r="AY241" s="303"/>
      <c r="AZ241" s="304"/>
      <c r="BA241" s="294"/>
      <c r="BB241" s="295"/>
      <c r="BC241" s="296"/>
      <c r="BD241" s="284"/>
      <c r="BE241" s="298"/>
      <c r="BF241" s="305"/>
      <c r="BG241" s="302"/>
      <c r="BH241" s="301"/>
      <c r="BI241" s="302"/>
      <c r="BJ241" s="301"/>
      <c r="BK241" s="302"/>
      <c r="BL241" s="301"/>
      <c r="BM241" s="302"/>
      <c r="BN241" s="301"/>
      <c r="BO241" s="302"/>
      <c r="BP241" s="301"/>
      <c r="BQ241" s="302"/>
      <c r="BR241" s="301"/>
      <c r="BS241" s="302"/>
      <c r="BT241" s="301"/>
      <c r="BU241" s="302"/>
      <c r="BV241" s="301"/>
      <c r="BW241" s="302"/>
      <c r="BX241" s="301"/>
      <c r="BY241" s="302"/>
      <c r="BZ241" s="306"/>
      <c r="CA241" s="304"/>
      <c r="CB241" s="294"/>
      <c r="CC241" s="295"/>
      <c r="CD241" s="296"/>
      <c r="CE241" s="284"/>
      <c r="CF241" s="298"/>
      <c r="CG241" s="307"/>
      <c r="CH241" s="308"/>
      <c r="CI241" s="309"/>
      <c r="CJ241" s="310"/>
      <c r="CK241" s="311"/>
      <c r="CL241" s="75"/>
      <c r="CN241" s="161"/>
      <c r="CO241" s="163"/>
      <c r="CP241" s="315"/>
      <c r="CQ241" s="316"/>
      <c r="CR241" s="317"/>
      <c r="CS241" s="316"/>
      <c r="CT241" s="317"/>
      <c r="CU241" s="316"/>
      <c r="CZ241" s="73">
        <v>5</v>
      </c>
      <c r="DA241" s="73">
        <v>5</v>
      </c>
      <c r="DB241" s="73">
        <v>22</v>
      </c>
      <c r="DC241" s="74">
        <f t="shared" si="799"/>
        <v>45799</v>
      </c>
      <c r="DD241" s="68" t="str">
        <f t="shared" si="839"/>
        <v>木</v>
      </c>
      <c r="DF241" s="156"/>
      <c r="DG241" s="156"/>
    </row>
    <row r="242" spans="1:111" ht="28.5" customHeight="1">
      <c r="A242" s="327">
        <f t="shared" si="808"/>
        <v>45800</v>
      </c>
      <c r="B242" s="365" t="str">
        <f t="shared" si="809"/>
        <v>金</v>
      </c>
      <c r="C242" s="329" t="s">
        <v>27</v>
      </c>
      <c r="D242" s="405">
        <v>15</v>
      </c>
      <c r="E242" s="453"/>
      <c r="F242" s="431"/>
      <c r="G242" s="439"/>
      <c r="H242" s="482"/>
      <c r="I242" s="439"/>
      <c r="J242" s="405"/>
      <c r="K242" s="432"/>
      <c r="L242" s="489"/>
      <c r="M242" s="485"/>
      <c r="N242" s="335"/>
      <c r="O242" s="409"/>
      <c r="P242" s="431">
        <v>15</v>
      </c>
      <c r="Q242" s="453"/>
      <c r="R242" s="431"/>
      <c r="S242" s="439"/>
      <c r="T242" s="431"/>
      <c r="U242" s="432"/>
      <c r="V242" s="431"/>
      <c r="W242" s="432"/>
      <c r="X242" s="483"/>
      <c r="Y242" s="485"/>
      <c r="Z242" s="342">
        <f t="shared" ref="Z242" ca="1" si="938">UDayCou(1,ROW())</f>
        <v>9</v>
      </c>
      <c r="AA242" s="343">
        <f t="shared" ref="AA242" ca="1" si="939">UNightCou(1,ROW())</f>
        <v>7</v>
      </c>
      <c r="AB242" s="344">
        <f t="shared" ref="AB242" ca="1" si="940">UNewCou(1,ROW())</f>
        <v>1</v>
      </c>
      <c r="AC242" s="345">
        <f t="shared" si="813"/>
        <v>45800</v>
      </c>
      <c r="AD242" s="371" t="str">
        <f t="shared" si="814"/>
        <v>金</v>
      </c>
      <c r="AE242" s="431"/>
      <c r="AF242" s="432"/>
      <c r="AG242" s="335"/>
      <c r="AH242" s="347"/>
      <c r="AI242" s="431"/>
      <c r="AJ242" s="432"/>
      <c r="AK242" s="335"/>
      <c r="AL242" s="347"/>
      <c r="AM242" s="431"/>
      <c r="AN242" s="439"/>
      <c r="AO242" s="431"/>
      <c r="AP242" s="432"/>
      <c r="AQ242" s="431"/>
      <c r="AR242" s="432"/>
      <c r="AS242" s="431"/>
      <c r="AT242" s="432"/>
      <c r="AU242" s="431"/>
      <c r="AV242" s="439"/>
      <c r="AW242" s="431"/>
      <c r="AX242" s="432"/>
      <c r="AY242" s="340"/>
      <c r="AZ242" s="341"/>
      <c r="BA242" s="342">
        <f ca="1">UDayCou(2,ROW())</f>
        <v>3</v>
      </c>
      <c r="BB242" s="343">
        <f ca="1">UNightCou(2,ROW())</f>
        <v>3</v>
      </c>
      <c r="BC242" s="344">
        <f ca="1">UNewCou(2,ROW())</f>
        <v>0</v>
      </c>
      <c r="BD242" s="327">
        <f t="shared" si="815"/>
        <v>45800</v>
      </c>
      <c r="BE242" s="371" t="str">
        <f t="shared" si="816"/>
        <v>金</v>
      </c>
      <c r="BF242" s="350"/>
      <c r="BG242" s="351"/>
      <c r="BH242" s="330"/>
      <c r="BI242" s="351"/>
      <c r="BJ242" s="330"/>
      <c r="BK242" s="351"/>
      <c r="BL242" s="330"/>
      <c r="BM242" s="351"/>
      <c r="BN242" s="330"/>
      <c r="BO242" s="351"/>
      <c r="BP242" s="330"/>
      <c r="BQ242" s="351"/>
      <c r="BR242" s="330"/>
      <c r="BS242" s="351"/>
      <c r="BT242" s="330"/>
      <c r="BU242" s="351"/>
      <c r="BV242" s="330"/>
      <c r="BW242" s="351"/>
      <c r="BX242" s="330"/>
      <c r="BY242" s="351"/>
      <c r="BZ242" s="389"/>
      <c r="CA242" s="341"/>
      <c r="CB242" s="342">
        <f ca="1">UDayCou(3,ROW())</f>
        <v>0</v>
      </c>
      <c r="CC242" s="343">
        <f ca="1">UNightCou(3,ROW())</f>
        <v>0</v>
      </c>
      <c r="CD242" s="344">
        <f ca="1">UNewCou(3,ROW())</f>
        <v>0</v>
      </c>
      <c r="CE242" s="327">
        <f t="shared" si="817"/>
        <v>45800</v>
      </c>
      <c r="CF242" s="371" t="str">
        <f t="shared" si="818"/>
        <v>金</v>
      </c>
      <c r="CG242" s="352">
        <f t="shared" ref="CG242" ca="1" si="941">Z242+BA242+CB242</f>
        <v>12</v>
      </c>
      <c r="CH242" s="353">
        <f t="shared" ref="CH242" ca="1" si="942">AA242+BB242+CC242</f>
        <v>10</v>
      </c>
      <c r="CI242" s="354">
        <f t="shared" ref="CI242" ca="1" si="943">AB242+BC242+CD242</f>
        <v>1</v>
      </c>
      <c r="CJ242" s="355">
        <f ca="1">COUNTIF(INDIRECT("D290:CA291"),"*●*")</f>
        <v>0</v>
      </c>
      <c r="CK242" s="356">
        <f ca="1">COUNTIF(INDIRECT("D290:CA291"),"*㋷*")</f>
        <v>0</v>
      </c>
      <c r="CL242" s="75"/>
      <c r="CN242" s="160">
        <f t="shared" si="822"/>
        <v>45800</v>
      </c>
      <c r="CO242" s="162" t="str">
        <f t="shared" si="823"/>
        <v>金</v>
      </c>
      <c r="CP242" s="357"/>
      <c r="CQ242" s="358"/>
      <c r="CR242" s="359"/>
      <c r="CS242" s="358"/>
      <c r="CT242" s="359"/>
      <c r="CU242" s="358"/>
      <c r="CZ242" s="73">
        <v>5</v>
      </c>
      <c r="DA242" s="73">
        <v>5</v>
      </c>
      <c r="DB242" s="73">
        <v>23</v>
      </c>
      <c r="DC242" s="74">
        <f t="shared" si="799"/>
        <v>45800</v>
      </c>
      <c r="DD242" s="68" t="str">
        <f t="shared" si="839"/>
        <v>金</v>
      </c>
      <c r="DF242" s="155">
        <f t="shared" ref="DF242" si="944">$DC242</f>
        <v>45800</v>
      </c>
      <c r="DG242" s="156" t="e">
        <f ca="1">IF($CH242&gt;=設定!$E$12,"✕",IF(SS予約表!$CG242&gt;=設定!$E$12,"△","○"))</f>
        <v>#NAME?</v>
      </c>
    </row>
    <row r="243" spans="1:111" ht="29.25" customHeight="1">
      <c r="A243" s="284"/>
      <c r="B243" s="285"/>
      <c r="C243" s="286" t="s">
        <v>28</v>
      </c>
      <c r="D243" s="287">
        <v>10</v>
      </c>
      <c r="E243" s="288" t="s">
        <v>111</v>
      </c>
      <c r="F243" s="289"/>
      <c r="G243" s="288"/>
      <c r="H243" s="290"/>
      <c r="I243" s="288"/>
      <c r="J243" s="287"/>
      <c r="K243" s="291"/>
      <c r="L243" s="487"/>
      <c r="M243" s="293"/>
      <c r="N243" s="299"/>
      <c r="O243" s="322"/>
      <c r="P243" s="289">
        <v>10</v>
      </c>
      <c r="Q243" s="288" t="s">
        <v>110</v>
      </c>
      <c r="R243" s="289"/>
      <c r="S243" s="288"/>
      <c r="T243" s="289">
        <v>10</v>
      </c>
      <c r="U243" s="288" t="s">
        <v>110</v>
      </c>
      <c r="V243" s="289"/>
      <c r="W243" s="291"/>
      <c r="X243" s="292"/>
      <c r="Y243" s="293"/>
      <c r="Z243" s="294"/>
      <c r="AA243" s="295"/>
      <c r="AB243" s="296"/>
      <c r="AC243" s="297"/>
      <c r="AD243" s="298"/>
      <c r="AE243" s="289"/>
      <c r="AF243" s="291"/>
      <c r="AG243" s="299"/>
      <c r="AH243" s="300"/>
      <c r="AI243" s="289"/>
      <c r="AJ243" s="291"/>
      <c r="AK243" s="299"/>
      <c r="AL243" s="300"/>
      <c r="AM243" s="289"/>
      <c r="AN243" s="288"/>
      <c r="AO243" s="289"/>
      <c r="AP243" s="291"/>
      <c r="AQ243" s="289">
        <v>10</v>
      </c>
      <c r="AR243" s="288" t="s">
        <v>113</v>
      </c>
      <c r="AS243" s="289"/>
      <c r="AT243" s="291"/>
      <c r="AU243" s="289"/>
      <c r="AV243" s="288"/>
      <c r="AW243" s="289"/>
      <c r="AX243" s="291"/>
      <c r="AY243" s="303"/>
      <c r="AZ243" s="304"/>
      <c r="BA243" s="294"/>
      <c r="BB243" s="295"/>
      <c r="BC243" s="296"/>
      <c r="BD243" s="284"/>
      <c r="BE243" s="298"/>
      <c r="BF243" s="305"/>
      <c r="BG243" s="302"/>
      <c r="BH243" s="301"/>
      <c r="BI243" s="302"/>
      <c r="BJ243" s="301"/>
      <c r="BK243" s="302"/>
      <c r="BL243" s="301"/>
      <c r="BM243" s="302"/>
      <c r="BN243" s="301"/>
      <c r="BO243" s="302"/>
      <c r="BP243" s="301"/>
      <c r="BQ243" s="302"/>
      <c r="BR243" s="301"/>
      <c r="BS243" s="302"/>
      <c r="BT243" s="301"/>
      <c r="BU243" s="302"/>
      <c r="BV243" s="301"/>
      <c r="BW243" s="302"/>
      <c r="BX243" s="301"/>
      <c r="BY243" s="302"/>
      <c r="BZ243" s="306"/>
      <c r="CA243" s="304"/>
      <c r="CB243" s="294"/>
      <c r="CC243" s="295"/>
      <c r="CD243" s="296"/>
      <c r="CE243" s="284"/>
      <c r="CF243" s="298"/>
      <c r="CG243" s="307"/>
      <c r="CH243" s="308"/>
      <c r="CI243" s="309"/>
      <c r="CJ243" s="310"/>
      <c r="CK243" s="311"/>
      <c r="CL243" s="75"/>
      <c r="CN243" s="161"/>
      <c r="CO243" s="163"/>
      <c r="CP243" s="487">
        <v>10</v>
      </c>
      <c r="CQ243" s="488" t="s">
        <v>215</v>
      </c>
      <c r="CR243" s="317"/>
      <c r="CS243" s="316"/>
      <c r="CT243" s="317"/>
      <c r="CU243" s="316"/>
      <c r="CZ243" s="73">
        <v>5</v>
      </c>
      <c r="DA243" s="73">
        <v>5</v>
      </c>
      <c r="DB243" s="73">
        <v>23</v>
      </c>
      <c r="DC243" s="74">
        <f t="shared" si="799"/>
        <v>45800</v>
      </c>
      <c r="DD243" s="68" t="str">
        <f t="shared" si="839"/>
        <v>金</v>
      </c>
      <c r="DF243" s="156"/>
      <c r="DG243" s="156"/>
    </row>
    <row r="244" spans="1:111" ht="28.5" customHeight="1">
      <c r="A244" s="327">
        <f t="shared" si="808"/>
        <v>45801</v>
      </c>
      <c r="B244" s="393" t="str">
        <f t="shared" si="809"/>
        <v>土</v>
      </c>
      <c r="C244" s="329" t="s">
        <v>27</v>
      </c>
      <c r="D244" s="405"/>
      <c r="E244" s="439"/>
      <c r="F244" s="431">
        <v>15</v>
      </c>
      <c r="G244" s="453"/>
      <c r="H244" s="482"/>
      <c r="I244" s="439"/>
      <c r="J244" s="405"/>
      <c r="K244" s="432"/>
      <c r="L244" s="489"/>
      <c r="M244" s="485"/>
      <c r="N244" s="335"/>
      <c r="O244" s="409"/>
      <c r="P244" s="431"/>
      <c r="Q244" s="439"/>
      <c r="R244" s="431"/>
      <c r="S244" s="439"/>
      <c r="T244" s="431"/>
      <c r="U244" s="439"/>
      <c r="V244" s="431"/>
      <c r="W244" s="432"/>
      <c r="X244" s="483"/>
      <c r="Y244" s="485"/>
      <c r="Z244" s="342">
        <f t="shared" ref="Z244" ca="1" si="945">UDayCou(1,ROW())</f>
        <v>9</v>
      </c>
      <c r="AA244" s="343">
        <f t="shared" ref="AA244" ca="1" si="946">UNightCou(1,ROW())</f>
        <v>8</v>
      </c>
      <c r="AB244" s="344">
        <f t="shared" ref="AB244" ca="1" si="947">UNewCou(1,ROW())</f>
        <v>1</v>
      </c>
      <c r="AC244" s="345">
        <f t="shared" si="813"/>
        <v>45801</v>
      </c>
      <c r="AD244" s="394" t="str">
        <f t="shared" si="814"/>
        <v>土</v>
      </c>
      <c r="AE244" s="431"/>
      <c r="AF244" s="432"/>
      <c r="AG244" s="335"/>
      <c r="AH244" s="347"/>
      <c r="AI244" s="431"/>
      <c r="AJ244" s="432"/>
      <c r="AK244" s="335"/>
      <c r="AL244" s="347"/>
      <c r="AM244" s="431"/>
      <c r="AN244" s="439"/>
      <c r="AO244" s="431"/>
      <c r="AP244" s="432"/>
      <c r="AQ244" s="431"/>
      <c r="AR244" s="439"/>
      <c r="AS244" s="431"/>
      <c r="AT244" s="432"/>
      <c r="AU244" s="431">
        <v>15</v>
      </c>
      <c r="AV244" s="453"/>
      <c r="AW244" s="431"/>
      <c r="AX244" s="432"/>
      <c r="AY244" s="340"/>
      <c r="AZ244" s="341"/>
      <c r="BA244" s="342">
        <f ca="1">UDayCou(2,ROW())</f>
        <v>3</v>
      </c>
      <c r="BB244" s="343">
        <f ca="1">UNightCou(2,ROW())</f>
        <v>2</v>
      </c>
      <c r="BC244" s="344">
        <f ca="1">UNewCou(2,ROW())</f>
        <v>0</v>
      </c>
      <c r="BD244" s="327">
        <f t="shared" si="815"/>
        <v>45801</v>
      </c>
      <c r="BE244" s="394" t="str">
        <f t="shared" si="816"/>
        <v>土</v>
      </c>
      <c r="BF244" s="350"/>
      <c r="BG244" s="351"/>
      <c r="BH244" s="330"/>
      <c r="BI244" s="351"/>
      <c r="BJ244" s="330"/>
      <c r="BK244" s="351"/>
      <c r="BL244" s="330"/>
      <c r="BM244" s="351"/>
      <c r="BN244" s="330"/>
      <c r="BO244" s="351"/>
      <c r="BP244" s="330"/>
      <c r="BQ244" s="351"/>
      <c r="BR244" s="330"/>
      <c r="BS244" s="351"/>
      <c r="BT244" s="330"/>
      <c r="BU244" s="351"/>
      <c r="BV244" s="330"/>
      <c r="BW244" s="351"/>
      <c r="BX244" s="330"/>
      <c r="BY244" s="351"/>
      <c r="BZ244" s="389"/>
      <c r="CA244" s="341"/>
      <c r="CB244" s="342">
        <f ca="1">UDayCou(3,ROW())</f>
        <v>0</v>
      </c>
      <c r="CC244" s="343">
        <f ca="1">UNightCou(3,ROW())</f>
        <v>0</v>
      </c>
      <c r="CD244" s="344">
        <f ca="1">UNewCou(3,ROW())</f>
        <v>0</v>
      </c>
      <c r="CE244" s="327">
        <f t="shared" si="817"/>
        <v>45801</v>
      </c>
      <c r="CF244" s="394" t="str">
        <f t="shared" si="818"/>
        <v>土</v>
      </c>
      <c r="CG244" s="352">
        <f t="shared" ref="CG244" ca="1" si="948">Z244+BA244+CB244</f>
        <v>12</v>
      </c>
      <c r="CH244" s="353">
        <f t="shared" ref="CH244" ca="1" si="949">AA244+BB244+CC244</f>
        <v>10</v>
      </c>
      <c r="CI244" s="354">
        <f t="shared" ref="CI244" ca="1" si="950">AB244+BC244+CD244</f>
        <v>1</v>
      </c>
      <c r="CJ244" s="355">
        <f ca="1">COUNTIF(INDIRECT("D292:CA293"),"*●*")</f>
        <v>0</v>
      </c>
      <c r="CK244" s="356">
        <f ca="1">COUNTIF(INDIRECT("D292:CA293"),"*㋷*")</f>
        <v>0</v>
      </c>
      <c r="CL244" s="75"/>
      <c r="CN244" s="160">
        <f t="shared" si="822"/>
        <v>45801</v>
      </c>
      <c r="CO244" s="167" t="str">
        <f t="shared" si="823"/>
        <v>土</v>
      </c>
      <c r="CP244" s="489" t="s">
        <v>39</v>
      </c>
      <c r="CQ244" s="490"/>
      <c r="CR244" s="359"/>
      <c r="CS244" s="358"/>
      <c r="CT244" s="359"/>
      <c r="CU244" s="358"/>
      <c r="CZ244" s="73">
        <v>5</v>
      </c>
      <c r="DA244" s="73">
        <v>5</v>
      </c>
      <c r="DB244" s="73">
        <v>24</v>
      </c>
      <c r="DC244" s="74">
        <f t="shared" si="799"/>
        <v>45801</v>
      </c>
      <c r="DD244" s="68" t="str">
        <f t="shared" si="839"/>
        <v>土</v>
      </c>
      <c r="DF244" s="155">
        <f t="shared" ref="DF244" si="951">$DC244</f>
        <v>45801</v>
      </c>
      <c r="DG244" s="156" t="e">
        <f ca="1">IF($CH244&gt;=設定!$E$12,"✕",IF(SS予約表!$CG244&gt;=設定!$E$12,"△","○"))</f>
        <v>#NAME?</v>
      </c>
    </row>
    <row r="245" spans="1:111" ht="29.25" customHeight="1">
      <c r="A245" s="284"/>
      <c r="B245" s="285"/>
      <c r="C245" s="286" t="s">
        <v>28</v>
      </c>
      <c r="D245" s="287"/>
      <c r="E245" s="288"/>
      <c r="F245" s="289">
        <v>10</v>
      </c>
      <c r="G245" s="288" t="s">
        <v>142</v>
      </c>
      <c r="H245" s="290"/>
      <c r="I245" s="288"/>
      <c r="J245" s="287">
        <v>10</v>
      </c>
      <c r="K245" s="288" t="s">
        <v>142</v>
      </c>
      <c r="L245" s="487"/>
      <c r="M245" s="293"/>
      <c r="N245" s="289"/>
      <c r="O245" s="288"/>
      <c r="P245" s="289"/>
      <c r="Q245" s="288"/>
      <c r="R245" s="289"/>
      <c r="S245" s="288"/>
      <c r="T245" s="289"/>
      <c r="U245" s="288"/>
      <c r="V245" s="289"/>
      <c r="W245" s="291"/>
      <c r="X245" s="292"/>
      <c r="Y245" s="293"/>
      <c r="Z245" s="294"/>
      <c r="AA245" s="295"/>
      <c r="AB245" s="296"/>
      <c r="AC245" s="297"/>
      <c r="AD245" s="298"/>
      <c r="AE245" s="289"/>
      <c r="AF245" s="291"/>
      <c r="AG245" s="299"/>
      <c r="AH245" s="300"/>
      <c r="AI245" s="289"/>
      <c r="AJ245" s="291"/>
      <c r="AK245" s="299"/>
      <c r="AL245" s="300"/>
      <c r="AM245" s="289"/>
      <c r="AN245" s="288"/>
      <c r="AO245" s="289"/>
      <c r="AP245" s="291"/>
      <c r="AQ245" s="289"/>
      <c r="AR245" s="288"/>
      <c r="AS245" s="289"/>
      <c r="AT245" s="291"/>
      <c r="AU245" s="289"/>
      <c r="AV245" s="291"/>
      <c r="AW245" s="289"/>
      <c r="AX245" s="291"/>
      <c r="AY245" s="303"/>
      <c r="AZ245" s="304"/>
      <c r="BA245" s="294"/>
      <c r="BB245" s="295"/>
      <c r="BC245" s="296"/>
      <c r="BD245" s="284"/>
      <c r="BE245" s="298"/>
      <c r="BF245" s="305"/>
      <c r="BG245" s="302"/>
      <c r="BH245" s="301"/>
      <c r="BI245" s="302"/>
      <c r="BJ245" s="301"/>
      <c r="BK245" s="302"/>
      <c r="BL245" s="301"/>
      <c r="BM245" s="302"/>
      <c r="BN245" s="301"/>
      <c r="BO245" s="302"/>
      <c r="BP245" s="301"/>
      <c r="BQ245" s="302"/>
      <c r="BR245" s="301"/>
      <c r="BS245" s="302"/>
      <c r="BT245" s="301"/>
      <c r="BU245" s="302"/>
      <c r="BV245" s="301"/>
      <c r="BW245" s="302"/>
      <c r="BX245" s="301"/>
      <c r="BY245" s="302"/>
      <c r="BZ245" s="306"/>
      <c r="CA245" s="304"/>
      <c r="CB245" s="294"/>
      <c r="CC245" s="295"/>
      <c r="CD245" s="296"/>
      <c r="CE245" s="284"/>
      <c r="CF245" s="298"/>
      <c r="CG245" s="307"/>
      <c r="CH245" s="308"/>
      <c r="CI245" s="309"/>
      <c r="CJ245" s="310"/>
      <c r="CK245" s="311"/>
      <c r="CL245" s="75"/>
      <c r="CN245" s="161"/>
      <c r="CO245" s="163"/>
      <c r="CP245" s="487" t="s">
        <v>39</v>
      </c>
      <c r="CQ245" s="488"/>
      <c r="CR245" s="317"/>
      <c r="CS245" s="316"/>
      <c r="CT245" s="317"/>
      <c r="CU245" s="316"/>
      <c r="CZ245" s="73">
        <v>5</v>
      </c>
      <c r="DA245" s="73">
        <v>5</v>
      </c>
      <c r="DB245" s="73">
        <v>24</v>
      </c>
      <c r="DC245" s="74">
        <f t="shared" si="799"/>
        <v>45801</v>
      </c>
      <c r="DD245" s="68" t="str">
        <f t="shared" si="839"/>
        <v>土</v>
      </c>
      <c r="DF245" s="156"/>
      <c r="DG245" s="156"/>
    </row>
    <row r="246" spans="1:111" ht="28.5" customHeight="1">
      <c r="A246" s="327">
        <f t="shared" si="808"/>
        <v>45802</v>
      </c>
      <c r="B246" s="328" t="str">
        <f t="shared" si="809"/>
        <v>日</v>
      </c>
      <c r="C246" s="329" t="s">
        <v>27</v>
      </c>
      <c r="D246" s="405"/>
      <c r="E246" s="439"/>
      <c r="F246" s="431"/>
      <c r="G246" s="439"/>
      <c r="H246" s="482"/>
      <c r="I246" s="439"/>
      <c r="J246" s="405"/>
      <c r="K246" s="439"/>
      <c r="L246" s="489"/>
      <c r="M246" s="485"/>
      <c r="N246" s="431"/>
      <c r="O246" s="439"/>
      <c r="P246" s="431"/>
      <c r="Q246" s="439"/>
      <c r="R246" s="431"/>
      <c r="S246" s="439"/>
      <c r="T246" s="431"/>
      <c r="U246" s="439"/>
      <c r="V246" s="431"/>
      <c r="W246" s="432"/>
      <c r="X246" s="483"/>
      <c r="Y246" s="485"/>
      <c r="Z246" s="342">
        <f t="shared" ref="Z246" ca="1" si="952">UDayCou(1,ROW())</f>
        <v>9</v>
      </c>
      <c r="AA246" s="343">
        <f t="shared" ref="AA246" ca="1" si="953">UNightCou(1,ROW())</f>
        <v>9</v>
      </c>
      <c r="AB246" s="344">
        <f t="shared" ref="AB246" ca="1" si="954">UNewCou(1,ROW())</f>
        <v>1</v>
      </c>
      <c r="AC246" s="345">
        <f t="shared" si="813"/>
        <v>45802</v>
      </c>
      <c r="AD246" s="346" t="str">
        <f t="shared" si="814"/>
        <v>日</v>
      </c>
      <c r="AE246" s="431"/>
      <c r="AF246" s="432"/>
      <c r="AG246" s="335"/>
      <c r="AH246" s="347"/>
      <c r="AI246" s="431"/>
      <c r="AJ246" s="432"/>
      <c r="AK246" s="335"/>
      <c r="AL246" s="347"/>
      <c r="AM246" s="431"/>
      <c r="AN246" s="439"/>
      <c r="AO246" s="431"/>
      <c r="AP246" s="432"/>
      <c r="AQ246" s="431"/>
      <c r="AR246" s="439"/>
      <c r="AS246" s="431"/>
      <c r="AT246" s="432"/>
      <c r="AU246" s="431"/>
      <c r="AV246" s="432"/>
      <c r="AW246" s="431"/>
      <c r="AX246" s="432"/>
      <c r="AY246" s="340"/>
      <c r="AZ246" s="341"/>
      <c r="BA246" s="342">
        <f ca="1">UDayCou(2,ROW())</f>
        <v>2</v>
      </c>
      <c r="BB246" s="343">
        <f ca="1">UNightCou(2,ROW())</f>
        <v>2</v>
      </c>
      <c r="BC246" s="344">
        <f ca="1">UNewCou(2,ROW())</f>
        <v>0</v>
      </c>
      <c r="BD246" s="327">
        <f t="shared" si="815"/>
        <v>45802</v>
      </c>
      <c r="BE246" s="346" t="str">
        <f t="shared" si="816"/>
        <v>日</v>
      </c>
      <c r="BF246" s="350"/>
      <c r="BG246" s="351"/>
      <c r="BH246" s="330"/>
      <c r="BI246" s="351"/>
      <c r="BJ246" s="330"/>
      <c r="BK246" s="351"/>
      <c r="BL246" s="330"/>
      <c r="BM246" s="351"/>
      <c r="BN246" s="330"/>
      <c r="BO246" s="351"/>
      <c r="BP246" s="330"/>
      <c r="BQ246" s="351"/>
      <c r="BR246" s="330"/>
      <c r="BS246" s="351"/>
      <c r="BT246" s="330"/>
      <c r="BU246" s="351"/>
      <c r="BV246" s="330"/>
      <c r="BW246" s="351"/>
      <c r="BX246" s="330"/>
      <c r="BY246" s="351"/>
      <c r="BZ246" s="389"/>
      <c r="CA246" s="341"/>
      <c r="CB246" s="342">
        <f ca="1">UDayCou(3,ROW())</f>
        <v>0</v>
      </c>
      <c r="CC246" s="343">
        <f ca="1">UNightCou(3,ROW())</f>
        <v>0</v>
      </c>
      <c r="CD246" s="344">
        <f ca="1">UNewCou(3,ROW())</f>
        <v>0</v>
      </c>
      <c r="CE246" s="327">
        <f t="shared" si="817"/>
        <v>45802</v>
      </c>
      <c r="CF246" s="346" t="str">
        <f t="shared" si="818"/>
        <v>日</v>
      </c>
      <c r="CG246" s="352">
        <f t="shared" ref="CG246" ca="1" si="955">Z246+BA246+CB246</f>
        <v>11</v>
      </c>
      <c r="CH246" s="353">
        <f t="shared" ref="CH246" ca="1" si="956">AA246+BB246+CC246</f>
        <v>11</v>
      </c>
      <c r="CI246" s="354">
        <f t="shared" ref="CI246" ca="1" si="957">AB246+BC246+CD246</f>
        <v>1</v>
      </c>
      <c r="CJ246" s="355">
        <f ca="1">COUNTIF(INDIRECT("D294:CA295"),"*●*")</f>
        <v>0</v>
      </c>
      <c r="CK246" s="356">
        <f ca="1">COUNTIF(INDIRECT("D294:CA295"),"*㋷*")</f>
        <v>0</v>
      </c>
      <c r="CL246" s="75"/>
      <c r="CN246" s="160">
        <f t="shared" si="822"/>
        <v>45802</v>
      </c>
      <c r="CO246" s="168" t="str">
        <f t="shared" si="823"/>
        <v>日</v>
      </c>
      <c r="CP246" s="489">
        <v>15</v>
      </c>
      <c r="CQ246" s="484"/>
      <c r="CR246" s="359"/>
      <c r="CS246" s="358"/>
      <c r="CT246" s="359"/>
      <c r="CU246" s="358"/>
      <c r="CZ246" s="73">
        <v>5</v>
      </c>
      <c r="DA246" s="73">
        <v>5</v>
      </c>
      <c r="DB246" s="73">
        <v>25</v>
      </c>
      <c r="DC246" s="74">
        <f t="shared" si="799"/>
        <v>45802</v>
      </c>
      <c r="DD246" s="68" t="str">
        <f t="shared" si="839"/>
        <v>日</v>
      </c>
      <c r="DF246" s="155">
        <f t="shared" ref="DF246" si="958">$DC246</f>
        <v>45802</v>
      </c>
      <c r="DG246" s="156" t="e">
        <f ca="1">IF($CH246&gt;=設定!$E$12,"✕",IF(SS予約表!$CG246&gt;=設定!$E$12,"△","○"))</f>
        <v>#NAME?</v>
      </c>
    </row>
    <row r="247" spans="1:111" ht="29.25" customHeight="1" thickBot="1">
      <c r="A247" s="284"/>
      <c r="B247" s="285"/>
      <c r="C247" s="286" t="s">
        <v>28</v>
      </c>
      <c r="D247" s="287"/>
      <c r="E247" s="288"/>
      <c r="F247" s="289"/>
      <c r="G247" s="288"/>
      <c r="H247" s="290"/>
      <c r="I247" s="288"/>
      <c r="J247" s="289"/>
      <c r="K247" s="288"/>
      <c r="L247" s="289">
        <v>10</v>
      </c>
      <c r="M247" s="288" t="s">
        <v>169</v>
      </c>
      <c r="N247" s="289"/>
      <c r="O247" s="288"/>
      <c r="P247" s="289"/>
      <c r="Q247" s="288"/>
      <c r="R247" s="289"/>
      <c r="S247" s="288"/>
      <c r="T247" s="289"/>
      <c r="U247" s="288"/>
      <c r="V247" s="289"/>
      <c r="W247" s="291"/>
      <c r="X247" s="292"/>
      <c r="Y247" s="293"/>
      <c r="Z247" s="294"/>
      <c r="AA247" s="295"/>
      <c r="AB247" s="296"/>
      <c r="AC247" s="297"/>
      <c r="AD247" s="298"/>
      <c r="AE247" s="289"/>
      <c r="AF247" s="291"/>
      <c r="AG247" s="299"/>
      <c r="AH247" s="300"/>
      <c r="AI247" s="289"/>
      <c r="AJ247" s="291"/>
      <c r="AK247" s="299"/>
      <c r="AL247" s="300"/>
      <c r="AM247" s="289"/>
      <c r="AN247" s="288"/>
      <c r="AO247" s="289"/>
      <c r="AP247" s="291"/>
      <c r="AQ247" s="289"/>
      <c r="AR247" s="288"/>
      <c r="AS247" s="289"/>
      <c r="AT247" s="291"/>
      <c r="AU247" s="289"/>
      <c r="AV247" s="291"/>
      <c r="AW247" s="289"/>
      <c r="AX247" s="291"/>
      <c r="AY247" s="303"/>
      <c r="AZ247" s="304"/>
      <c r="BA247" s="294"/>
      <c r="BB247" s="295"/>
      <c r="BC247" s="296"/>
      <c r="BD247" s="284"/>
      <c r="BE247" s="298"/>
      <c r="BF247" s="305"/>
      <c r="BG247" s="302"/>
      <c r="BH247" s="301"/>
      <c r="BI247" s="302"/>
      <c r="BJ247" s="301"/>
      <c r="BK247" s="302"/>
      <c r="BL247" s="301"/>
      <c r="BM247" s="302"/>
      <c r="BN247" s="301"/>
      <c r="BO247" s="302"/>
      <c r="BP247" s="301"/>
      <c r="BQ247" s="302"/>
      <c r="BR247" s="301"/>
      <c r="BS247" s="302"/>
      <c r="BT247" s="301"/>
      <c r="BU247" s="302"/>
      <c r="BV247" s="301"/>
      <c r="BW247" s="302"/>
      <c r="BX247" s="301"/>
      <c r="BY247" s="302"/>
      <c r="BZ247" s="306"/>
      <c r="CA247" s="304"/>
      <c r="CB247" s="294"/>
      <c r="CC247" s="295"/>
      <c r="CD247" s="296"/>
      <c r="CE247" s="284"/>
      <c r="CF247" s="298"/>
      <c r="CG247" s="307"/>
      <c r="CH247" s="308"/>
      <c r="CI247" s="309"/>
      <c r="CJ247" s="310"/>
      <c r="CK247" s="311"/>
      <c r="CL247" s="75"/>
      <c r="CN247" s="161"/>
      <c r="CO247" s="163"/>
      <c r="CP247" s="315"/>
      <c r="CQ247" s="316"/>
      <c r="CR247" s="317"/>
      <c r="CS247" s="316"/>
      <c r="CT247" s="317"/>
      <c r="CU247" s="316"/>
      <c r="CZ247" s="73">
        <v>5</v>
      </c>
      <c r="DA247" s="73">
        <v>5</v>
      </c>
      <c r="DB247" s="73">
        <v>25</v>
      </c>
      <c r="DC247" s="74">
        <f t="shared" si="799"/>
        <v>45802</v>
      </c>
      <c r="DD247" s="68" t="str">
        <f t="shared" si="839"/>
        <v>日</v>
      </c>
      <c r="DF247" s="156"/>
      <c r="DG247" s="156"/>
    </row>
    <row r="248" spans="1:111" ht="28.5" customHeight="1">
      <c r="A248" s="491">
        <f t="shared" si="808"/>
        <v>45803</v>
      </c>
      <c r="B248" s="524" t="str">
        <f t="shared" si="809"/>
        <v>月</v>
      </c>
      <c r="C248" s="493" t="s">
        <v>27</v>
      </c>
      <c r="D248" s="542">
        <v>15</v>
      </c>
      <c r="E248" s="576"/>
      <c r="F248" s="550">
        <v>15</v>
      </c>
      <c r="G248" s="576"/>
      <c r="H248" s="578"/>
      <c r="I248" s="577"/>
      <c r="J248" s="550">
        <v>15</v>
      </c>
      <c r="K248" s="576"/>
      <c r="L248" s="550"/>
      <c r="M248" s="577"/>
      <c r="N248" s="550">
        <v>15</v>
      </c>
      <c r="O248" s="576"/>
      <c r="P248" s="550"/>
      <c r="Q248" s="577"/>
      <c r="R248" s="550"/>
      <c r="S248" s="577"/>
      <c r="T248" s="550"/>
      <c r="U248" s="577"/>
      <c r="V248" s="550"/>
      <c r="W248" s="551"/>
      <c r="X248" s="581"/>
      <c r="Y248" s="580"/>
      <c r="Z248" s="506">
        <f t="shared" ref="Z248" ca="1" si="959">UDayCou(1,ROW())</f>
        <v>9</v>
      </c>
      <c r="AA248" s="507">
        <f t="shared" ref="AA248" ca="1" si="960">UNightCou(1,ROW())</f>
        <v>5</v>
      </c>
      <c r="AB248" s="508">
        <f t="shared" ref="AB248" ca="1" si="961">UNewCou(1,ROW())</f>
        <v>1</v>
      </c>
      <c r="AC248" s="509">
        <f t="shared" si="813"/>
        <v>45803</v>
      </c>
      <c r="AD248" s="531" t="str">
        <f t="shared" si="814"/>
        <v>月</v>
      </c>
      <c r="AE248" s="550"/>
      <c r="AF248" s="551"/>
      <c r="AG248" s="499"/>
      <c r="AH248" s="511"/>
      <c r="AI248" s="550"/>
      <c r="AJ248" s="551"/>
      <c r="AK248" s="499"/>
      <c r="AL248" s="511"/>
      <c r="AM248" s="550">
        <v>15</v>
      </c>
      <c r="AN248" s="576"/>
      <c r="AO248" s="550"/>
      <c r="AP248" s="551"/>
      <c r="AQ248" s="550">
        <v>15</v>
      </c>
      <c r="AR248" s="576"/>
      <c r="AS248" s="550"/>
      <c r="AT248" s="551"/>
      <c r="AU248" s="550"/>
      <c r="AV248" s="551"/>
      <c r="AW248" s="550"/>
      <c r="AX248" s="551"/>
      <c r="AY248" s="504"/>
      <c r="AZ248" s="505"/>
      <c r="BA248" s="506">
        <f ca="1">UDayCou(2,ROW())</f>
        <v>5</v>
      </c>
      <c r="BB248" s="507">
        <f ca="1">UNightCou(2,ROW())</f>
        <v>3</v>
      </c>
      <c r="BC248" s="508">
        <f ca="1">UNewCou(2,ROW())</f>
        <v>0</v>
      </c>
      <c r="BD248" s="491">
        <f t="shared" si="815"/>
        <v>45803</v>
      </c>
      <c r="BE248" s="531" t="str">
        <f t="shared" si="816"/>
        <v>月</v>
      </c>
      <c r="BF248" s="514"/>
      <c r="BG248" s="515"/>
      <c r="BH248" s="494"/>
      <c r="BI248" s="515"/>
      <c r="BJ248" s="494"/>
      <c r="BK248" s="515"/>
      <c r="BL248" s="494"/>
      <c r="BM248" s="515"/>
      <c r="BN248" s="494"/>
      <c r="BO248" s="515"/>
      <c r="BP248" s="494"/>
      <c r="BQ248" s="515"/>
      <c r="BR248" s="494"/>
      <c r="BS248" s="515"/>
      <c r="BT248" s="494"/>
      <c r="BU248" s="515"/>
      <c r="BV248" s="494"/>
      <c r="BW248" s="515"/>
      <c r="BX248" s="494"/>
      <c r="BY248" s="515"/>
      <c r="BZ248" s="530"/>
      <c r="CA248" s="505"/>
      <c r="CB248" s="506">
        <f ca="1">UDayCou(3,ROW())</f>
        <v>0</v>
      </c>
      <c r="CC248" s="507">
        <f ca="1">UNightCou(3,ROW())</f>
        <v>0</v>
      </c>
      <c r="CD248" s="508">
        <f ca="1">UNewCou(3,ROW())</f>
        <v>0</v>
      </c>
      <c r="CE248" s="491">
        <f t="shared" si="817"/>
        <v>45803</v>
      </c>
      <c r="CF248" s="531" t="str">
        <f t="shared" si="818"/>
        <v>月</v>
      </c>
      <c r="CG248" s="516">
        <f t="shared" ref="CG248" ca="1" si="962">Z248+BA248+CB248</f>
        <v>14</v>
      </c>
      <c r="CH248" s="517">
        <f t="shared" ref="CH248" ca="1" si="963">AA248+BB248+CC248</f>
        <v>8</v>
      </c>
      <c r="CI248" s="518">
        <f t="shared" ref="CI248" ca="1" si="964">AB248+BC248+CD248</f>
        <v>1</v>
      </c>
      <c r="CJ248" s="519">
        <f ca="1">COUNTIF(INDIRECT("D296:CA297"),"*●*")</f>
        <v>0</v>
      </c>
      <c r="CK248" s="520">
        <f ca="1">COUNTIF(INDIRECT("D296:CA297"),"*㋷*")</f>
        <v>0</v>
      </c>
      <c r="CL248" s="75"/>
      <c r="CN248" s="164">
        <f t="shared" si="822"/>
        <v>45803</v>
      </c>
      <c r="CO248" s="165" t="str">
        <f t="shared" si="823"/>
        <v>月</v>
      </c>
      <c r="CP248" s="521"/>
      <c r="CQ248" s="522"/>
      <c r="CR248" s="523"/>
      <c r="CS248" s="522"/>
      <c r="CT248" s="523"/>
      <c r="CU248" s="522"/>
      <c r="CZ248" s="73">
        <v>5</v>
      </c>
      <c r="DA248" s="73">
        <v>5</v>
      </c>
      <c r="DB248" s="73">
        <v>26</v>
      </c>
      <c r="DC248" s="74">
        <f t="shared" si="799"/>
        <v>45803</v>
      </c>
      <c r="DD248" s="68" t="str">
        <f t="shared" si="839"/>
        <v>月</v>
      </c>
      <c r="DF248" s="155">
        <f t="shared" ref="DF248" si="965">$DC248</f>
        <v>45803</v>
      </c>
      <c r="DG248" s="156" t="e">
        <f ca="1">IF($CH248&gt;=設定!$E$12,"✕",IF(SS予約表!$CG248&gt;=設定!$E$12,"△","○"))</f>
        <v>#NAME?</v>
      </c>
    </row>
    <row r="249" spans="1:111" ht="29.25" customHeight="1" thickBot="1">
      <c r="A249" s="284"/>
      <c r="B249" s="285"/>
      <c r="C249" s="286" t="s">
        <v>28</v>
      </c>
      <c r="D249" s="287"/>
      <c r="E249" s="291"/>
      <c r="F249" s="299"/>
      <c r="G249" s="300"/>
      <c r="H249" s="290"/>
      <c r="I249" s="288"/>
      <c r="J249" s="299"/>
      <c r="K249" s="300"/>
      <c r="L249" s="289"/>
      <c r="M249" s="288"/>
      <c r="N249" s="289"/>
      <c r="O249" s="291"/>
      <c r="P249" s="289"/>
      <c r="Q249" s="288"/>
      <c r="R249" s="289"/>
      <c r="S249" s="288"/>
      <c r="T249" s="289"/>
      <c r="U249" s="288"/>
      <c r="V249" s="289"/>
      <c r="W249" s="291"/>
      <c r="X249" s="292"/>
      <c r="Y249" s="293"/>
      <c r="Z249" s="294"/>
      <c r="AA249" s="295"/>
      <c r="AB249" s="296"/>
      <c r="AC249" s="297"/>
      <c r="AD249" s="298"/>
      <c r="AE249" s="289">
        <v>10</v>
      </c>
      <c r="AF249" s="288" t="s">
        <v>145</v>
      </c>
      <c r="AG249" s="299"/>
      <c r="AH249" s="300"/>
      <c r="AI249" s="289">
        <v>10</v>
      </c>
      <c r="AJ249" s="288" t="s">
        <v>202</v>
      </c>
      <c r="AK249" s="299"/>
      <c r="AL249" s="300"/>
      <c r="AM249" s="289"/>
      <c r="AN249" s="291"/>
      <c r="AO249" s="289"/>
      <c r="AP249" s="291"/>
      <c r="AQ249" s="289"/>
      <c r="AR249" s="291"/>
      <c r="AS249" s="289"/>
      <c r="AT249" s="291"/>
      <c r="AU249" s="289">
        <v>10</v>
      </c>
      <c r="AV249" s="288" t="s">
        <v>178</v>
      </c>
      <c r="AW249" s="289"/>
      <c r="AX249" s="291"/>
      <c r="AY249" s="303"/>
      <c r="AZ249" s="304"/>
      <c r="BA249" s="294"/>
      <c r="BB249" s="295"/>
      <c r="BC249" s="296"/>
      <c r="BD249" s="284"/>
      <c r="BE249" s="298"/>
      <c r="BF249" s="305"/>
      <c r="BG249" s="302"/>
      <c r="BH249" s="301"/>
      <c r="BI249" s="302"/>
      <c r="BJ249" s="301"/>
      <c r="BK249" s="302"/>
      <c r="BL249" s="301"/>
      <c r="BM249" s="302"/>
      <c r="BN249" s="301"/>
      <c r="BO249" s="302"/>
      <c r="BP249" s="301"/>
      <c r="BQ249" s="302"/>
      <c r="BR249" s="301"/>
      <c r="BS249" s="302"/>
      <c r="BT249" s="301"/>
      <c r="BU249" s="302"/>
      <c r="BV249" s="301"/>
      <c r="BW249" s="302"/>
      <c r="BX249" s="301"/>
      <c r="BY249" s="302"/>
      <c r="BZ249" s="306"/>
      <c r="CA249" s="304"/>
      <c r="CB249" s="294"/>
      <c r="CC249" s="295"/>
      <c r="CD249" s="296"/>
      <c r="CE249" s="284"/>
      <c r="CF249" s="298"/>
      <c r="CG249" s="307"/>
      <c r="CH249" s="308"/>
      <c r="CI249" s="309"/>
      <c r="CJ249" s="310"/>
      <c r="CK249" s="311"/>
      <c r="CL249" s="75"/>
      <c r="CN249" s="161"/>
      <c r="CO249" s="163"/>
      <c r="CP249" s="315"/>
      <c r="CQ249" s="316"/>
      <c r="CR249" s="317"/>
      <c r="CS249" s="316"/>
      <c r="CT249" s="317"/>
      <c r="CU249" s="316"/>
      <c r="CZ249" s="73">
        <v>5</v>
      </c>
      <c r="DA249" s="73">
        <v>5</v>
      </c>
      <c r="DB249" s="73">
        <v>26</v>
      </c>
      <c r="DC249" s="74">
        <f t="shared" si="799"/>
        <v>45803</v>
      </c>
      <c r="DD249" s="68" t="str">
        <f t="shared" si="839"/>
        <v>月</v>
      </c>
      <c r="DF249" s="156"/>
      <c r="DG249" s="156"/>
    </row>
    <row r="250" spans="1:111" ht="28.5" customHeight="1">
      <c r="A250" s="327">
        <f t="shared" si="808"/>
        <v>45804</v>
      </c>
      <c r="B250" s="365" t="str">
        <f t="shared" si="809"/>
        <v>火</v>
      </c>
      <c r="C250" s="329" t="s">
        <v>27</v>
      </c>
      <c r="D250" s="405"/>
      <c r="E250" s="432"/>
      <c r="F250" s="335"/>
      <c r="G250" s="347"/>
      <c r="H250" s="482"/>
      <c r="I250" s="439"/>
      <c r="J250" s="335"/>
      <c r="K250" s="347"/>
      <c r="L250" s="431"/>
      <c r="M250" s="439"/>
      <c r="N250" s="431"/>
      <c r="O250" s="432"/>
      <c r="P250" s="431">
        <v>15</v>
      </c>
      <c r="Q250" s="453"/>
      <c r="R250" s="431">
        <v>15</v>
      </c>
      <c r="S250" s="453"/>
      <c r="T250" s="431">
        <v>15</v>
      </c>
      <c r="U250" s="453"/>
      <c r="V250" s="431"/>
      <c r="W250" s="432"/>
      <c r="X250" s="483"/>
      <c r="Y250" s="485"/>
      <c r="Z250" s="342">
        <f t="shared" ref="Z250" ca="1" si="966">UDayCou(1,ROW())</f>
        <v>5</v>
      </c>
      <c r="AA250" s="343">
        <f t="shared" ref="AA250" ca="1" si="967">UNightCou(1,ROW())</f>
        <v>2</v>
      </c>
      <c r="AB250" s="344">
        <f t="shared" ref="AB250" ca="1" si="968">UNewCou(1,ROW())</f>
        <v>1</v>
      </c>
      <c r="AC250" s="345">
        <f t="shared" si="813"/>
        <v>45804</v>
      </c>
      <c r="AD250" s="371" t="str">
        <f t="shared" si="814"/>
        <v>火</v>
      </c>
      <c r="AE250" s="431"/>
      <c r="AF250" s="439"/>
      <c r="AG250" s="335"/>
      <c r="AH250" s="347"/>
      <c r="AI250" s="431"/>
      <c r="AJ250" s="439"/>
      <c r="AK250" s="335"/>
      <c r="AL250" s="347"/>
      <c r="AM250" s="431"/>
      <c r="AN250" s="432"/>
      <c r="AO250" s="431"/>
      <c r="AP250" s="432"/>
      <c r="AQ250" s="431"/>
      <c r="AR250" s="432"/>
      <c r="AS250" s="431"/>
      <c r="AT250" s="432"/>
      <c r="AU250" s="431"/>
      <c r="AV250" s="439"/>
      <c r="AW250" s="431"/>
      <c r="AX250" s="432"/>
      <c r="AY250" s="340"/>
      <c r="AZ250" s="341"/>
      <c r="BA250" s="342">
        <f ca="1">UDayCou(2,ROW())</f>
        <v>3</v>
      </c>
      <c r="BB250" s="343">
        <f ca="1">UNightCou(2,ROW())</f>
        <v>3</v>
      </c>
      <c r="BC250" s="344">
        <f ca="1">UNewCou(2,ROW())</f>
        <v>0</v>
      </c>
      <c r="BD250" s="327">
        <f t="shared" si="815"/>
        <v>45804</v>
      </c>
      <c r="BE250" s="371" t="str">
        <f t="shared" si="816"/>
        <v>火</v>
      </c>
      <c r="BF250" s="350"/>
      <c r="BG250" s="351"/>
      <c r="BH250" s="330"/>
      <c r="BI250" s="351"/>
      <c r="BJ250" s="330"/>
      <c r="BK250" s="351"/>
      <c r="BL250" s="330"/>
      <c r="BM250" s="351"/>
      <c r="BN250" s="330"/>
      <c r="BO250" s="351"/>
      <c r="BP250" s="330"/>
      <c r="BQ250" s="351"/>
      <c r="BR250" s="330"/>
      <c r="BS250" s="351"/>
      <c r="BT250" s="330"/>
      <c r="BU250" s="351"/>
      <c r="BV250" s="330"/>
      <c r="BW250" s="351"/>
      <c r="BX250" s="330"/>
      <c r="BY250" s="351"/>
      <c r="BZ250" s="389"/>
      <c r="CA250" s="341"/>
      <c r="CB250" s="342">
        <f ca="1">UDayCou(3,ROW())</f>
        <v>0</v>
      </c>
      <c r="CC250" s="343">
        <f ca="1">UNightCou(3,ROW())</f>
        <v>0</v>
      </c>
      <c r="CD250" s="344">
        <f ca="1">UNewCou(3,ROW())</f>
        <v>0</v>
      </c>
      <c r="CE250" s="327">
        <f t="shared" si="817"/>
        <v>45804</v>
      </c>
      <c r="CF250" s="371" t="str">
        <f t="shared" si="818"/>
        <v>火</v>
      </c>
      <c r="CG250" s="352">
        <f t="shared" ref="CG250" ca="1" si="969">Z250+BA250+CB250</f>
        <v>8</v>
      </c>
      <c r="CH250" s="353">
        <f t="shared" ref="CH250" ca="1" si="970">AA250+BB250+CC250</f>
        <v>5</v>
      </c>
      <c r="CI250" s="354">
        <f t="shared" ref="CI250" ca="1" si="971">AB250+BC250+CD250</f>
        <v>1</v>
      </c>
      <c r="CJ250" s="355">
        <f ca="1">COUNTIF(INDIRECT("D298:CA299"),"*●*")</f>
        <v>0</v>
      </c>
      <c r="CK250" s="356">
        <f ca="1">COUNTIF(INDIRECT("D298:CA299"),"*㋷*")</f>
        <v>0</v>
      </c>
      <c r="CL250" s="125" t="s">
        <v>251</v>
      </c>
      <c r="CM250" s="126">
        <f ca="1">年</f>
        <v>2025</v>
      </c>
      <c r="CN250" s="160">
        <f t="shared" si="822"/>
        <v>45804</v>
      </c>
      <c r="CO250" s="162" t="str">
        <f t="shared" si="823"/>
        <v>火</v>
      </c>
      <c r="CP250" s="357"/>
      <c r="CQ250" s="358"/>
      <c r="CR250" s="359"/>
      <c r="CS250" s="358"/>
      <c r="CT250" s="359"/>
      <c r="CU250" s="358"/>
      <c r="CZ250" s="73">
        <v>5</v>
      </c>
      <c r="DA250" s="73">
        <v>5</v>
      </c>
      <c r="DB250" s="73">
        <v>27</v>
      </c>
      <c r="DC250" s="74">
        <f t="shared" si="799"/>
        <v>45804</v>
      </c>
      <c r="DD250" s="68" t="str">
        <f t="shared" si="839"/>
        <v>火</v>
      </c>
      <c r="DF250" s="155">
        <f t="shared" ref="DF250" si="972">$DC250</f>
        <v>45804</v>
      </c>
      <c r="DG250" s="156" t="e">
        <f ca="1">IF($CH250&gt;=設定!$E$12,"✕",IF(SS予約表!$CG250&gt;=設定!$E$12,"△","○"))</f>
        <v>#NAME?</v>
      </c>
    </row>
    <row r="251" spans="1:111" ht="29.25" customHeight="1">
      <c r="A251" s="284"/>
      <c r="B251" s="285"/>
      <c r="C251" s="286" t="s">
        <v>28</v>
      </c>
      <c r="D251" s="287"/>
      <c r="E251" s="291"/>
      <c r="F251" s="299"/>
      <c r="G251" s="300"/>
      <c r="H251" s="290"/>
      <c r="I251" s="288"/>
      <c r="J251" s="299"/>
      <c r="K251" s="300"/>
      <c r="L251" s="289"/>
      <c r="M251" s="288"/>
      <c r="N251" s="289"/>
      <c r="O251" s="291"/>
      <c r="P251" s="289"/>
      <c r="Q251" s="291"/>
      <c r="R251" s="289"/>
      <c r="S251" s="291"/>
      <c r="T251" s="289"/>
      <c r="U251" s="291"/>
      <c r="V251" s="289"/>
      <c r="W251" s="291"/>
      <c r="X251" s="292"/>
      <c r="Y251" s="293"/>
      <c r="Z251" s="294"/>
      <c r="AA251" s="295"/>
      <c r="AB251" s="296"/>
      <c r="AC251" s="297"/>
      <c r="AD251" s="298"/>
      <c r="AE251" s="289"/>
      <c r="AF251" s="288"/>
      <c r="AG251" s="289"/>
      <c r="AH251" s="291"/>
      <c r="AI251" s="289"/>
      <c r="AJ251" s="288"/>
      <c r="AK251" s="299"/>
      <c r="AL251" s="300"/>
      <c r="AM251" s="289"/>
      <c r="AN251" s="291"/>
      <c r="AO251" s="289"/>
      <c r="AP251" s="291"/>
      <c r="AQ251" s="289"/>
      <c r="AR251" s="291"/>
      <c r="AS251" s="289"/>
      <c r="AT251" s="291"/>
      <c r="AU251" s="289"/>
      <c r="AV251" s="288"/>
      <c r="AW251" s="289"/>
      <c r="AX251" s="291"/>
      <c r="AY251" s="303"/>
      <c r="AZ251" s="304"/>
      <c r="BA251" s="294"/>
      <c r="BB251" s="295"/>
      <c r="BC251" s="296"/>
      <c r="BD251" s="284"/>
      <c r="BE251" s="298"/>
      <c r="BF251" s="305"/>
      <c r="BG251" s="302"/>
      <c r="BH251" s="301"/>
      <c r="BI251" s="302"/>
      <c r="BJ251" s="301"/>
      <c r="BK251" s="302"/>
      <c r="BL251" s="301"/>
      <c r="BM251" s="302"/>
      <c r="BN251" s="301"/>
      <c r="BO251" s="302"/>
      <c r="BP251" s="301"/>
      <c r="BQ251" s="302"/>
      <c r="BR251" s="301"/>
      <c r="BS251" s="302"/>
      <c r="BT251" s="301"/>
      <c r="BU251" s="302"/>
      <c r="BV251" s="301"/>
      <c r="BW251" s="302"/>
      <c r="BX251" s="301"/>
      <c r="BY251" s="302"/>
      <c r="BZ251" s="306"/>
      <c r="CA251" s="304"/>
      <c r="CB251" s="294"/>
      <c r="CC251" s="295"/>
      <c r="CD251" s="296"/>
      <c r="CE251" s="284"/>
      <c r="CF251" s="298"/>
      <c r="CG251" s="307"/>
      <c r="CH251" s="308"/>
      <c r="CI251" s="309"/>
      <c r="CJ251" s="310"/>
      <c r="CK251" s="311"/>
      <c r="CL251" s="123" t="s">
        <v>30</v>
      </c>
      <c r="CM251" s="124" t="s">
        <v>31</v>
      </c>
      <c r="CN251" s="161"/>
      <c r="CO251" s="163"/>
      <c r="CP251" s="315"/>
      <c r="CQ251" s="316"/>
      <c r="CR251" s="317"/>
      <c r="CS251" s="316"/>
      <c r="CT251" s="317"/>
      <c r="CU251" s="316"/>
      <c r="CZ251" s="73">
        <v>5</v>
      </c>
      <c r="DA251" s="73">
        <v>5</v>
      </c>
      <c r="DB251" s="73">
        <v>27</v>
      </c>
      <c r="DC251" s="74">
        <f t="shared" si="799"/>
        <v>45804</v>
      </c>
      <c r="DD251" s="68" t="str">
        <f t="shared" si="839"/>
        <v>火</v>
      </c>
      <c r="DF251" s="156"/>
      <c r="DG251" s="156"/>
    </row>
    <row r="252" spans="1:111" ht="28.5" customHeight="1">
      <c r="A252" s="327">
        <f t="shared" si="808"/>
        <v>45805</v>
      </c>
      <c r="B252" s="365" t="str">
        <f t="shared" si="809"/>
        <v>水</v>
      </c>
      <c r="C252" s="329" t="s">
        <v>27</v>
      </c>
      <c r="D252" s="405"/>
      <c r="E252" s="432"/>
      <c r="F252" s="335"/>
      <c r="G252" s="347"/>
      <c r="H252" s="482"/>
      <c r="I252" s="439"/>
      <c r="J252" s="335"/>
      <c r="K252" s="347"/>
      <c r="L252" s="431"/>
      <c r="M252" s="439"/>
      <c r="N252" s="431"/>
      <c r="O252" s="432"/>
      <c r="P252" s="431"/>
      <c r="Q252" s="432"/>
      <c r="R252" s="431"/>
      <c r="S252" s="432"/>
      <c r="T252" s="431"/>
      <c r="U252" s="432"/>
      <c r="V252" s="431"/>
      <c r="W252" s="432"/>
      <c r="X252" s="483"/>
      <c r="Y252" s="485"/>
      <c r="Z252" s="342">
        <f t="shared" ref="Z252" ca="1" si="973">UDayCou(1,ROW())</f>
        <v>4</v>
      </c>
      <c r="AA252" s="343">
        <f t="shared" ref="AA252" ca="1" si="974">UNightCou(1,ROW())</f>
        <v>4</v>
      </c>
      <c r="AB252" s="344">
        <f t="shared" ref="AB252" ca="1" si="975">UNewCou(1,ROW())</f>
        <v>1</v>
      </c>
      <c r="AC252" s="345">
        <f t="shared" si="813"/>
        <v>45805</v>
      </c>
      <c r="AD252" s="371" t="str">
        <f t="shared" si="814"/>
        <v>水</v>
      </c>
      <c r="AE252" s="431"/>
      <c r="AF252" s="439"/>
      <c r="AG252" s="431"/>
      <c r="AH252" s="432"/>
      <c r="AI252" s="431"/>
      <c r="AJ252" s="439"/>
      <c r="AK252" s="335"/>
      <c r="AL252" s="347"/>
      <c r="AM252" s="431"/>
      <c r="AN252" s="432"/>
      <c r="AO252" s="431"/>
      <c r="AP252" s="432"/>
      <c r="AQ252" s="431"/>
      <c r="AR252" s="432"/>
      <c r="AS252" s="431"/>
      <c r="AT252" s="432"/>
      <c r="AU252" s="431"/>
      <c r="AV252" s="439"/>
      <c r="AW252" s="431"/>
      <c r="AX252" s="432"/>
      <c r="AY252" s="340"/>
      <c r="AZ252" s="341"/>
      <c r="BA252" s="342">
        <f ca="1">UDayCou(2,ROW())</f>
        <v>3</v>
      </c>
      <c r="BB252" s="343">
        <f ca="1">UNightCou(2,ROW())</f>
        <v>3</v>
      </c>
      <c r="BC252" s="344">
        <f ca="1">UNewCou(2,ROW())</f>
        <v>0</v>
      </c>
      <c r="BD252" s="327">
        <f t="shared" si="815"/>
        <v>45805</v>
      </c>
      <c r="BE252" s="371" t="str">
        <f t="shared" si="816"/>
        <v>水</v>
      </c>
      <c r="BF252" s="350"/>
      <c r="BG252" s="351"/>
      <c r="BH252" s="330"/>
      <c r="BI252" s="351"/>
      <c r="BJ252" s="330"/>
      <c r="BK252" s="351"/>
      <c r="BL252" s="330"/>
      <c r="BM252" s="351"/>
      <c r="BN252" s="330"/>
      <c r="BO252" s="351"/>
      <c r="BP252" s="330"/>
      <c r="BQ252" s="351"/>
      <c r="BR252" s="330"/>
      <c r="BS252" s="351"/>
      <c r="BT252" s="330"/>
      <c r="BU252" s="351"/>
      <c r="BV252" s="330"/>
      <c r="BW252" s="351"/>
      <c r="BX252" s="330"/>
      <c r="BY252" s="351"/>
      <c r="BZ252" s="389"/>
      <c r="CA252" s="341"/>
      <c r="CB252" s="342">
        <f ca="1">UDayCou(3,ROW())</f>
        <v>0</v>
      </c>
      <c r="CC252" s="343">
        <f ca="1">UNightCou(3,ROW())</f>
        <v>0</v>
      </c>
      <c r="CD252" s="344">
        <f ca="1">UNewCou(3,ROW())</f>
        <v>0</v>
      </c>
      <c r="CE252" s="327">
        <f t="shared" si="817"/>
        <v>45805</v>
      </c>
      <c r="CF252" s="371" t="str">
        <f t="shared" si="818"/>
        <v>水</v>
      </c>
      <c r="CG252" s="352">
        <f t="shared" ref="CG252" ca="1" si="976">Z252+BA252+CB252</f>
        <v>7</v>
      </c>
      <c r="CH252" s="353">
        <f t="shared" ref="CH252" ca="1" si="977">AA252+BB252+CC252</f>
        <v>7</v>
      </c>
      <c r="CI252" s="354">
        <f t="shared" ref="CI252" ca="1" si="978">AB252+BC252+CD252</f>
        <v>1</v>
      </c>
      <c r="CJ252" s="355">
        <f ca="1">COUNTIF(INDIRECT("D300:CA301"),"*●*")</f>
        <v>0</v>
      </c>
      <c r="CK252" s="356">
        <f ca="1">COUNTIF(INDIRECT("D300:CA301"),"*㋷*")</f>
        <v>0</v>
      </c>
      <c r="CL252" s="171">
        <v>31</v>
      </c>
      <c r="CM252" s="173">
        <f ca="1">IFERROR(CM258/CL258,0)</f>
        <v>0.91530054644808745</v>
      </c>
      <c r="CN252" s="160">
        <f t="shared" si="822"/>
        <v>45805</v>
      </c>
      <c r="CO252" s="162" t="str">
        <f t="shared" si="823"/>
        <v>水</v>
      </c>
      <c r="CP252" s="357"/>
      <c r="CQ252" s="358"/>
      <c r="CR252" s="359"/>
      <c r="CS252" s="358"/>
      <c r="CT252" s="359"/>
      <c r="CU252" s="358"/>
      <c r="CZ252" s="73">
        <v>5</v>
      </c>
      <c r="DA252" s="73">
        <v>5</v>
      </c>
      <c r="DB252" s="73">
        <v>28</v>
      </c>
      <c r="DC252" s="74">
        <f t="shared" si="799"/>
        <v>45805</v>
      </c>
      <c r="DD252" s="68" t="str">
        <f t="shared" si="839"/>
        <v>水</v>
      </c>
      <c r="DF252" s="155">
        <f t="shared" ref="DF252" si="979">$DC252</f>
        <v>45805</v>
      </c>
      <c r="DG252" s="156" t="e">
        <f ca="1">IF($CH252&gt;=設定!$E$12,"✕",IF(SS予約表!$CG252&gt;=設定!$E$12,"△","○"))</f>
        <v>#NAME?</v>
      </c>
    </row>
    <row r="253" spans="1:111" ht="29.25" customHeight="1">
      <c r="A253" s="284"/>
      <c r="B253" s="285"/>
      <c r="C253" s="286" t="s">
        <v>28</v>
      </c>
      <c r="D253" s="287">
        <v>10</v>
      </c>
      <c r="E253" s="288" t="s">
        <v>235</v>
      </c>
      <c r="F253" s="289">
        <v>10</v>
      </c>
      <c r="G253" s="288" t="s">
        <v>50</v>
      </c>
      <c r="H253" s="290"/>
      <c r="I253" s="288"/>
      <c r="J253" s="299"/>
      <c r="K253" s="300"/>
      <c r="L253" s="289"/>
      <c r="M253" s="288"/>
      <c r="N253" s="289"/>
      <c r="O253" s="291"/>
      <c r="P253" s="289"/>
      <c r="Q253" s="291"/>
      <c r="R253" s="289"/>
      <c r="S253" s="291"/>
      <c r="T253" s="289"/>
      <c r="U253" s="291"/>
      <c r="V253" s="289"/>
      <c r="W253" s="291"/>
      <c r="X253" s="292"/>
      <c r="Y253" s="293"/>
      <c r="Z253" s="294"/>
      <c r="AA253" s="295"/>
      <c r="AB253" s="296"/>
      <c r="AC253" s="297"/>
      <c r="AD253" s="298"/>
      <c r="AE253" s="289"/>
      <c r="AF253" s="288"/>
      <c r="AG253" s="289"/>
      <c r="AH253" s="291"/>
      <c r="AI253" s="289"/>
      <c r="AJ253" s="288"/>
      <c r="AK253" s="299"/>
      <c r="AL253" s="300"/>
      <c r="AM253" s="289"/>
      <c r="AN253" s="291"/>
      <c r="AO253" s="289"/>
      <c r="AP253" s="291"/>
      <c r="AQ253" s="289"/>
      <c r="AR253" s="291"/>
      <c r="AS253" s="289"/>
      <c r="AT253" s="291"/>
      <c r="AU253" s="289"/>
      <c r="AV253" s="288"/>
      <c r="AW253" s="289"/>
      <c r="AX253" s="291"/>
      <c r="AY253" s="303"/>
      <c r="AZ253" s="304"/>
      <c r="BA253" s="294"/>
      <c r="BB253" s="295"/>
      <c r="BC253" s="296"/>
      <c r="BD253" s="284"/>
      <c r="BE253" s="298"/>
      <c r="BF253" s="305"/>
      <c r="BG253" s="302"/>
      <c r="BH253" s="301"/>
      <c r="BI253" s="302"/>
      <c r="BJ253" s="301"/>
      <c r="BK253" s="302"/>
      <c r="BL253" s="301"/>
      <c r="BM253" s="302"/>
      <c r="BN253" s="301"/>
      <c r="BO253" s="302"/>
      <c r="BP253" s="301"/>
      <c r="BQ253" s="302"/>
      <c r="BR253" s="301"/>
      <c r="BS253" s="302"/>
      <c r="BT253" s="301"/>
      <c r="BU253" s="302"/>
      <c r="BV253" s="301"/>
      <c r="BW253" s="302"/>
      <c r="BX253" s="301"/>
      <c r="BY253" s="302"/>
      <c r="BZ253" s="306"/>
      <c r="CA253" s="304"/>
      <c r="CB253" s="294"/>
      <c r="CC253" s="295"/>
      <c r="CD253" s="296"/>
      <c r="CE253" s="284"/>
      <c r="CF253" s="298"/>
      <c r="CG253" s="307"/>
      <c r="CH253" s="308"/>
      <c r="CI253" s="309"/>
      <c r="CJ253" s="310"/>
      <c r="CK253" s="311"/>
      <c r="CL253" s="172"/>
      <c r="CM253" s="174"/>
      <c r="CN253" s="161"/>
      <c r="CO253" s="163"/>
      <c r="CP253" s="315"/>
      <c r="CQ253" s="316"/>
      <c r="CR253" s="317"/>
      <c r="CS253" s="316"/>
      <c r="CT253" s="317"/>
      <c r="CU253" s="316"/>
      <c r="CZ253" s="73">
        <v>5</v>
      </c>
      <c r="DA253" s="73">
        <v>5</v>
      </c>
      <c r="DB253" s="73">
        <v>28</v>
      </c>
      <c r="DC253" s="74">
        <f t="shared" si="799"/>
        <v>45805</v>
      </c>
      <c r="DD253" s="68" t="str">
        <f t="shared" si="839"/>
        <v>水</v>
      </c>
      <c r="DF253" s="156"/>
      <c r="DG253" s="156"/>
    </row>
    <row r="254" spans="1:111" ht="28.5" customHeight="1">
      <c r="A254" s="327">
        <f t="shared" si="808"/>
        <v>45806</v>
      </c>
      <c r="B254" s="365" t="str">
        <f t="shared" si="809"/>
        <v>木</v>
      </c>
      <c r="C254" s="329" t="s">
        <v>27</v>
      </c>
      <c r="D254" s="405">
        <v>15</v>
      </c>
      <c r="E254" s="453"/>
      <c r="F254" s="431"/>
      <c r="G254" s="439"/>
      <c r="H254" s="482"/>
      <c r="I254" s="439"/>
      <c r="J254" s="335"/>
      <c r="K254" s="347"/>
      <c r="L254" s="431"/>
      <c r="M254" s="439"/>
      <c r="N254" s="431"/>
      <c r="O254" s="432"/>
      <c r="P254" s="431"/>
      <c r="Q254" s="432"/>
      <c r="R254" s="431"/>
      <c r="S254" s="432"/>
      <c r="T254" s="431"/>
      <c r="U254" s="432"/>
      <c r="V254" s="431"/>
      <c r="W254" s="432"/>
      <c r="X254" s="483"/>
      <c r="Y254" s="485"/>
      <c r="Z254" s="342">
        <f t="shared" ref="Z254" ca="1" si="980">UDayCou(1,ROW())</f>
        <v>6</v>
      </c>
      <c r="AA254" s="343">
        <f t="shared" ref="AA254" ca="1" si="981">UNightCou(1,ROW())</f>
        <v>5</v>
      </c>
      <c r="AB254" s="344">
        <f t="shared" ref="AB254" ca="1" si="982">UNewCou(1,ROW())</f>
        <v>1</v>
      </c>
      <c r="AC254" s="345">
        <f t="shared" si="813"/>
        <v>45806</v>
      </c>
      <c r="AD254" s="371" t="str">
        <f t="shared" si="814"/>
        <v>木</v>
      </c>
      <c r="AE254" s="431"/>
      <c r="AF254" s="439"/>
      <c r="AG254" s="431"/>
      <c r="AH254" s="432"/>
      <c r="AI254" s="431">
        <v>15</v>
      </c>
      <c r="AJ254" s="453"/>
      <c r="AK254" s="335"/>
      <c r="AL254" s="347"/>
      <c r="AM254" s="431"/>
      <c r="AN254" s="432"/>
      <c r="AO254" s="431"/>
      <c r="AP254" s="432"/>
      <c r="AQ254" s="431"/>
      <c r="AR254" s="432"/>
      <c r="AS254" s="431"/>
      <c r="AT254" s="432"/>
      <c r="AU254" s="431"/>
      <c r="AV254" s="439"/>
      <c r="AW254" s="431"/>
      <c r="AX254" s="432"/>
      <c r="AY254" s="340"/>
      <c r="AZ254" s="341"/>
      <c r="BA254" s="342">
        <f ca="1">UDayCou(2,ROW())</f>
        <v>3</v>
      </c>
      <c r="BB254" s="343">
        <f ca="1">UNightCou(2,ROW())</f>
        <v>2</v>
      </c>
      <c r="BC254" s="344">
        <f ca="1">UNewCou(2,ROW())</f>
        <v>0</v>
      </c>
      <c r="BD254" s="327">
        <f t="shared" si="815"/>
        <v>45806</v>
      </c>
      <c r="BE254" s="371" t="str">
        <f t="shared" si="816"/>
        <v>木</v>
      </c>
      <c r="BF254" s="350"/>
      <c r="BG254" s="351"/>
      <c r="BH254" s="330"/>
      <c r="BI254" s="351"/>
      <c r="BJ254" s="330"/>
      <c r="BK254" s="351"/>
      <c r="BL254" s="330"/>
      <c r="BM254" s="351"/>
      <c r="BN254" s="330"/>
      <c r="BO254" s="351"/>
      <c r="BP254" s="330"/>
      <c r="BQ254" s="351"/>
      <c r="BR254" s="330"/>
      <c r="BS254" s="351"/>
      <c r="BT254" s="330"/>
      <c r="BU254" s="351"/>
      <c r="BV254" s="330"/>
      <c r="BW254" s="351"/>
      <c r="BX254" s="330"/>
      <c r="BY254" s="351"/>
      <c r="BZ254" s="389"/>
      <c r="CA254" s="341"/>
      <c r="CB254" s="342">
        <f ca="1">UDayCou(3,ROW())</f>
        <v>0</v>
      </c>
      <c r="CC254" s="343">
        <f ca="1">UNightCou(3,ROW())</f>
        <v>0</v>
      </c>
      <c r="CD254" s="344">
        <f ca="1">UNewCou(3,ROW())</f>
        <v>0</v>
      </c>
      <c r="CE254" s="327">
        <f t="shared" si="817"/>
        <v>45806</v>
      </c>
      <c r="CF254" s="371" t="str">
        <f t="shared" si="818"/>
        <v>木</v>
      </c>
      <c r="CG254" s="352">
        <f t="shared" ref="CG254" ca="1" si="983">Z254+BA254+CB254</f>
        <v>9</v>
      </c>
      <c r="CH254" s="353">
        <f t="shared" ref="CH254" ca="1" si="984">AA254+BB254+CC254</f>
        <v>7</v>
      </c>
      <c r="CI254" s="354">
        <f t="shared" ref="CI254" ca="1" si="985">AB254+BC254+CD254</f>
        <v>1</v>
      </c>
      <c r="CJ254" s="355">
        <f ca="1">COUNTIF(INDIRECT("D302:CA303"),"*●*")</f>
        <v>0</v>
      </c>
      <c r="CK254" s="356">
        <f ca="1">COUNTIF(INDIRECT("D302:CA303"),"*㋷*")</f>
        <v>0</v>
      </c>
      <c r="CL254" s="26" t="s">
        <v>32</v>
      </c>
      <c r="CM254" s="154" t="s">
        <v>33</v>
      </c>
      <c r="CN254" s="160">
        <f t="shared" si="822"/>
        <v>45806</v>
      </c>
      <c r="CO254" s="162" t="str">
        <f t="shared" si="823"/>
        <v>木</v>
      </c>
      <c r="CP254" s="357"/>
      <c r="CQ254" s="358"/>
      <c r="CR254" s="359"/>
      <c r="CS254" s="358"/>
      <c r="CT254" s="359"/>
      <c r="CU254" s="358"/>
      <c r="CZ254" s="73">
        <v>5</v>
      </c>
      <c r="DA254" s="73">
        <v>5</v>
      </c>
      <c r="DB254" s="73">
        <v>29</v>
      </c>
      <c r="DC254" s="74">
        <f t="shared" si="799"/>
        <v>45806</v>
      </c>
      <c r="DD254" s="68" t="str">
        <f t="shared" si="839"/>
        <v>木</v>
      </c>
      <c r="DF254" s="155">
        <f t="shared" ref="DF254" si="986">$DC254</f>
        <v>45806</v>
      </c>
      <c r="DG254" s="156" t="e">
        <f ca="1">IF($CH254&gt;=設定!$E$12,"✕",IF(SS予約表!$CG254&gt;=設定!$E$12,"△","○"))</f>
        <v>#NAME?</v>
      </c>
    </row>
    <row r="255" spans="1:111" ht="29.25" customHeight="1">
      <c r="A255" s="284"/>
      <c r="B255" s="285"/>
      <c r="C255" s="286" t="s">
        <v>28</v>
      </c>
      <c r="D255" s="287">
        <v>10</v>
      </c>
      <c r="E255" s="288" t="s">
        <v>161</v>
      </c>
      <c r="F255" s="289"/>
      <c r="G255" s="288"/>
      <c r="H255" s="290"/>
      <c r="I255" s="288"/>
      <c r="J255" s="299"/>
      <c r="K255" s="300"/>
      <c r="L255" s="289"/>
      <c r="M255" s="288"/>
      <c r="N255" s="289"/>
      <c r="O255" s="291"/>
      <c r="P255" s="289"/>
      <c r="Q255" s="291"/>
      <c r="R255" s="289">
        <v>10</v>
      </c>
      <c r="S255" s="288" t="s">
        <v>138</v>
      </c>
      <c r="T255" s="289"/>
      <c r="U255" s="291"/>
      <c r="V255" s="289"/>
      <c r="W255" s="291"/>
      <c r="X255" s="292"/>
      <c r="Y255" s="293"/>
      <c r="Z255" s="294"/>
      <c r="AA255" s="295"/>
      <c r="AB255" s="296"/>
      <c r="AC255" s="297"/>
      <c r="AD255" s="298"/>
      <c r="AE255" s="289"/>
      <c r="AF255" s="288"/>
      <c r="AG255" s="289"/>
      <c r="AH255" s="291"/>
      <c r="AI255" s="289"/>
      <c r="AJ255" s="291"/>
      <c r="AK255" s="299"/>
      <c r="AL255" s="300"/>
      <c r="AM255" s="289"/>
      <c r="AN255" s="291"/>
      <c r="AO255" s="289"/>
      <c r="AP255" s="291"/>
      <c r="AQ255" s="289"/>
      <c r="AR255" s="291"/>
      <c r="AS255" s="289"/>
      <c r="AT255" s="291"/>
      <c r="AU255" s="289"/>
      <c r="AV255" s="288"/>
      <c r="AW255" s="289"/>
      <c r="AX255" s="291"/>
      <c r="AY255" s="303"/>
      <c r="AZ255" s="304"/>
      <c r="BA255" s="294"/>
      <c r="BB255" s="295"/>
      <c r="BC255" s="296"/>
      <c r="BD255" s="284"/>
      <c r="BE255" s="298"/>
      <c r="BF255" s="305"/>
      <c r="BG255" s="302"/>
      <c r="BH255" s="301"/>
      <c r="BI255" s="302"/>
      <c r="BJ255" s="301"/>
      <c r="BK255" s="302"/>
      <c r="BL255" s="301"/>
      <c r="BM255" s="302"/>
      <c r="BN255" s="301"/>
      <c r="BO255" s="302"/>
      <c r="BP255" s="301"/>
      <c r="BQ255" s="302"/>
      <c r="BR255" s="301"/>
      <c r="BS255" s="302"/>
      <c r="BT255" s="301"/>
      <c r="BU255" s="302"/>
      <c r="BV255" s="301"/>
      <c r="BW255" s="302"/>
      <c r="BX255" s="301"/>
      <c r="BY255" s="302"/>
      <c r="BZ255" s="306"/>
      <c r="CA255" s="304"/>
      <c r="CB255" s="294"/>
      <c r="CC255" s="295"/>
      <c r="CD255" s="296"/>
      <c r="CE255" s="284"/>
      <c r="CF255" s="298"/>
      <c r="CG255" s="307"/>
      <c r="CH255" s="308"/>
      <c r="CI255" s="309"/>
      <c r="CJ255" s="310"/>
      <c r="CK255" s="311"/>
      <c r="CL255" s="175">
        <f ca="1">SUM(CG198:CG259)</f>
        <v>366</v>
      </c>
      <c r="CM255" s="177">
        <f ca="1">SUM(CI198:CI259)</f>
        <v>31</v>
      </c>
      <c r="CN255" s="161"/>
      <c r="CO255" s="163"/>
      <c r="CP255" s="315"/>
      <c r="CQ255" s="316"/>
      <c r="CR255" s="317"/>
      <c r="CS255" s="316"/>
      <c r="CT255" s="317"/>
      <c r="CU255" s="316"/>
      <c r="CZ255" s="73">
        <v>5</v>
      </c>
      <c r="DA255" s="73">
        <v>5</v>
      </c>
      <c r="DB255" s="73">
        <v>29</v>
      </c>
      <c r="DC255" s="74">
        <f t="shared" si="799"/>
        <v>45806</v>
      </c>
      <c r="DD255" s="68" t="str">
        <f t="shared" si="839"/>
        <v>木</v>
      </c>
      <c r="DF255" s="156"/>
      <c r="DG255" s="156"/>
    </row>
    <row r="256" spans="1:111" ht="28.5" customHeight="1">
      <c r="A256" s="327">
        <f t="shared" si="808"/>
        <v>45807</v>
      </c>
      <c r="B256" s="365" t="str">
        <f t="shared" si="809"/>
        <v>金</v>
      </c>
      <c r="C256" s="329" t="s">
        <v>27</v>
      </c>
      <c r="D256" s="405"/>
      <c r="E256" s="439"/>
      <c r="F256" s="431">
        <v>15</v>
      </c>
      <c r="G256" s="453"/>
      <c r="H256" s="482"/>
      <c r="I256" s="439"/>
      <c r="J256" s="335"/>
      <c r="K256" s="347"/>
      <c r="L256" s="431"/>
      <c r="M256" s="439"/>
      <c r="N256" s="431"/>
      <c r="O256" s="432"/>
      <c r="P256" s="431"/>
      <c r="Q256" s="432"/>
      <c r="R256" s="431"/>
      <c r="S256" s="439"/>
      <c r="T256" s="431"/>
      <c r="U256" s="432"/>
      <c r="V256" s="431"/>
      <c r="W256" s="432"/>
      <c r="X256" s="483"/>
      <c r="Y256" s="485"/>
      <c r="Z256" s="342">
        <f t="shared" ref="Z256" ca="1" si="987">UDayCou(1,ROW())</f>
        <v>6</v>
      </c>
      <c r="AA256" s="343">
        <f t="shared" ref="AA256" ca="1" si="988">UNightCou(1,ROW())</f>
        <v>5</v>
      </c>
      <c r="AB256" s="344">
        <f t="shared" ref="AB256" ca="1" si="989">UNewCou(1,ROW())</f>
        <v>1</v>
      </c>
      <c r="AC256" s="345">
        <f t="shared" si="813"/>
        <v>45807</v>
      </c>
      <c r="AD256" s="371" t="str">
        <f t="shared" si="814"/>
        <v>金</v>
      </c>
      <c r="AE256" s="431"/>
      <c r="AF256" s="439"/>
      <c r="AG256" s="431"/>
      <c r="AH256" s="432"/>
      <c r="AI256" s="431"/>
      <c r="AJ256" s="432"/>
      <c r="AK256" s="335"/>
      <c r="AL256" s="347"/>
      <c r="AM256" s="431"/>
      <c r="AN256" s="432"/>
      <c r="AO256" s="431"/>
      <c r="AP256" s="432"/>
      <c r="AQ256" s="431"/>
      <c r="AR256" s="432"/>
      <c r="AS256" s="431"/>
      <c r="AT256" s="432"/>
      <c r="AU256" s="431"/>
      <c r="AV256" s="439"/>
      <c r="AW256" s="431"/>
      <c r="AX256" s="432"/>
      <c r="AY256" s="340"/>
      <c r="AZ256" s="341"/>
      <c r="BA256" s="342">
        <f ca="1">UDayCou(2,ROW())</f>
        <v>2</v>
      </c>
      <c r="BB256" s="343">
        <f ca="1">UNightCou(2,ROW())</f>
        <v>2</v>
      </c>
      <c r="BC256" s="344">
        <f ca="1">UNewCou(2,ROW())</f>
        <v>0</v>
      </c>
      <c r="BD256" s="327">
        <f t="shared" si="815"/>
        <v>45807</v>
      </c>
      <c r="BE256" s="371" t="str">
        <f t="shared" si="816"/>
        <v>金</v>
      </c>
      <c r="BF256" s="350"/>
      <c r="BG256" s="351"/>
      <c r="BH256" s="330"/>
      <c r="BI256" s="351"/>
      <c r="BJ256" s="330"/>
      <c r="BK256" s="351"/>
      <c r="BL256" s="330"/>
      <c r="BM256" s="351"/>
      <c r="BN256" s="330"/>
      <c r="BO256" s="351"/>
      <c r="BP256" s="330"/>
      <c r="BQ256" s="351"/>
      <c r="BR256" s="330"/>
      <c r="BS256" s="351"/>
      <c r="BT256" s="330"/>
      <c r="BU256" s="351"/>
      <c r="BV256" s="330"/>
      <c r="BW256" s="351"/>
      <c r="BX256" s="330"/>
      <c r="BY256" s="351"/>
      <c r="BZ256" s="389"/>
      <c r="CA256" s="341"/>
      <c r="CB256" s="342">
        <f ca="1">UDayCou(3,ROW())</f>
        <v>0</v>
      </c>
      <c r="CC256" s="343">
        <f ca="1">UNightCou(3,ROW())</f>
        <v>0</v>
      </c>
      <c r="CD256" s="344">
        <f ca="1">UNewCou(3,ROW())</f>
        <v>0</v>
      </c>
      <c r="CE256" s="327">
        <f t="shared" si="817"/>
        <v>45807</v>
      </c>
      <c r="CF256" s="371" t="str">
        <f t="shared" si="818"/>
        <v>金</v>
      </c>
      <c r="CG256" s="352">
        <f t="shared" ref="CG256" ca="1" si="990">Z256+BA256+CB256</f>
        <v>8</v>
      </c>
      <c r="CH256" s="353">
        <f t="shared" ref="CH256" ca="1" si="991">AA256+BB256+CC256</f>
        <v>7</v>
      </c>
      <c r="CI256" s="354">
        <f t="shared" ref="CI256" ca="1" si="992">AB256+BC256+CD256</f>
        <v>1</v>
      </c>
      <c r="CJ256" s="355">
        <f ca="1">COUNTIF(INDIRECT("D304:CA305"),"*●*")</f>
        <v>0</v>
      </c>
      <c r="CK256" s="356">
        <f ca="1">COUNTIF(INDIRECT("D304:CA305"),"*㋷*")</f>
        <v>0</v>
      </c>
      <c r="CL256" s="176"/>
      <c r="CM256" s="178"/>
      <c r="CN256" s="160">
        <f t="shared" si="822"/>
        <v>45807</v>
      </c>
      <c r="CO256" s="162" t="str">
        <f t="shared" si="823"/>
        <v>金</v>
      </c>
      <c r="CP256" s="357"/>
      <c r="CQ256" s="358"/>
      <c r="CR256" s="359"/>
      <c r="CS256" s="358"/>
      <c r="CT256" s="359"/>
      <c r="CU256" s="358"/>
      <c r="CZ256" s="73">
        <v>5</v>
      </c>
      <c r="DA256" s="73">
        <v>5</v>
      </c>
      <c r="DB256" s="73">
        <v>30</v>
      </c>
      <c r="DC256" s="74">
        <f t="shared" si="799"/>
        <v>45807</v>
      </c>
      <c r="DD256" s="68" t="str">
        <f t="shared" si="839"/>
        <v>金</v>
      </c>
      <c r="DF256" s="155">
        <f t="shared" ref="DF256" si="993">$DC256</f>
        <v>45807</v>
      </c>
      <c r="DG256" s="156" t="e">
        <f ca="1">IF($CH256&gt;=設定!$E$12,"✕",IF(SS予約表!$CG256&gt;=設定!$E$12,"△","○"))</f>
        <v>#NAME?</v>
      </c>
    </row>
    <row r="257" spans="1:112" ht="29.25" customHeight="1" thickBot="1">
      <c r="A257" s="284"/>
      <c r="B257" s="285"/>
      <c r="C257" s="286" t="s">
        <v>28</v>
      </c>
      <c r="D257" s="287"/>
      <c r="E257" s="288"/>
      <c r="F257" s="289">
        <v>10</v>
      </c>
      <c r="G257" s="288" t="s">
        <v>111</v>
      </c>
      <c r="H257" s="290"/>
      <c r="I257" s="288"/>
      <c r="J257" s="299"/>
      <c r="K257" s="300"/>
      <c r="L257" s="289"/>
      <c r="M257" s="288"/>
      <c r="N257" s="289"/>
      <c r="O257" s="291"/>
      <c r="P257" s="289"/>
      <c r="Q257" s="291"/>
      <c r="R257" s="289"/>
      <c r="S257" s="288"/>
      <c r="T257" s="289"/>
      <c r="U257" s="291"/>
      <c r="V257" s="289"/>
      <c r="W257" s="291"/>
      <c r="X257" s="292"/>
      <c r="Y257" s="293"/>
      <c r="Z257" s="294"/>
      <c r="AA257" s="295"/>
      <c r="AB257" s="296"/>
      <c r="AC257" s="297"/>
      <c r="AD257" s="298"/>
      <c r="AE257" s="289"/>
      <c r="AF257" s="288"/>
      <c r="AG257" s="289"/>
      <c r="AH257" s="291"/>
      <c r="AI257" s="289"/>
      <c r="AJ257" s="291"/>
      <c r="AK257" s="299"/>
      <c r="AL257" s="300"/>
      <c r="AM257" s="289"/>
      <c r="AN257" s="291"/>
      <c r="AO257" s="289"/>
      <c r="AP257" s="291"/>
      <c r="AQ257" s="289"/>
      <c r="AR257" s="291"/>
      <c r="AS257" s="289"/>
      <c r="AT257" s="291"/>
      <c r="AU257" s="289"/>
      <c r="AV257" s="288"/>
      <c r="AW257" s="289"/>
      <c r="AX257" s="291"/>
      <c r="AY257" s="303"/>
      <c r="AZ257" s="304"/>
      <c r="BA257" s="294"/>
      <c r="BB257" s="295"/>
      <c r="BC257" s="296"/>
      <c r="BD257" s="284"/>
      <c r="BE257" s="298"/>
      <c r="BF257" s="305"/>
      <c r="BG257" s="302"/>
      <c r="BH257" s="301"/>
      <c r="BI257" s="302"/>
      <c r="BJ257" s="301"/>
      <c r="BK257" s="302"/>
      <c r="BL257" s="301"/>
      <c r="BM257" s="302"/>
      <c r="BN257" s="301"/>
      <c r="BO257" s="302"/>
      <c r="BP257" s="301"/>
      <c r="BQ257" s="302"/>
      <c r="BR257" s="301"/>
      <c r="BS257" s="302"/>
      <c r="BT257" s="301"/>
      <c r="BU257" s="302"/>
      <c r="BV257" s="301"/>
      <c r="BW257" s="302"/>
      <c r="BX257" s="301"/>
      <c r="BY257" s="302"/>
      <c r="BZ257" s="306"/>
      <c r="CA257" s="304"/>
      <c r="CB257" s="294"/>
      <c r="CC257" s="295"/>
      <c r="CD257" s="296"/>
      <c r="CE257" s="284"/>
      <c r="CF257" s="298"/>
      <c r="CG257" s="307"/>
      <c r="CH257" s="308"/>
      <c r="CI257" s="309"/>
      <c r="CJ257" s="310"/>
      <c r="CK257" s="311"/>
      <c r="CL257" s="26" t="s">
        <v>34</v>
      </c>
      <c r="CM257" s="154" t="s">
        <v>35</v>
      </c>
      <c r="CN257" s="161"/>
      <c r="CO257" s="163"/>
      <c r="CP257" s="289">
        <v>10</v>
      </c>
      <c r="CQ257" s="288" t="s">
        <v>215</v>
      </c>
      <c r="CR257" s="317"/>
      <c r="CS257" s="316"/>
      <c r="CT257" s="317"/>
      <c r="CU257" s="316"/>
      <c r="CZ257" s="73">
        <v>5</v>
      </c>
      <c r="DA257" s="73">
        <v>5</v>
      </c>
      <c r="DB257" s="73">
        <v>30</v>
      </c>
      <c r="DC257" s="74">
        <f t="shared" si="799"/>
        <v>45807</v>
      </c>
      <c r="DD257" s="68" t="str">
        <f t="shared" si="839"/>
        <v>金</v>
      </c>
      <c r="DF257" s="156"/>
      <c r="DG257" s="156"/>
    </row>
    <row r="258" spans="1:112" ht="28.5" customHeight="1">
      <c r="A258" s="491">
        <f t="shared" si="808"/>
        <v>45808</v>
      </c>
      <c r="B258" s="534" t="str">
        <f t="shared" si="809"/>
        <v>土</v>
      </c>
      <c r="C258" s="493" t="s">
        <v>27</v>
      </c>
      <c r="D258" s="542"/>
      <c r="E258" s="577"/>
      <c r="F258" s="550"/>
      <c r="G258" s="577"/>
      <c r="H258" s="578"/>
      <c r="I258" s="577"/>
      <c r="J258" s="499"/>
      <c r="K258" s="511"/>
      <c r="L258" s="550"/>
      <c r="M258" s="577"/>
      <c r="N258" s="550"/>
      <c r="O258" s="551"/>
      <c r="P258" s="550"/>
      <c r="Q258" s="551"/>
      <c r="R258" s="550"/>
      <c r="S258" s="577"/>
      <c r="T258" s="550"/>
      <c r="U258" s="551"/>
      <c r="V258" s="550"/>
      <c r="W258" s="551"/>
      <c r="X258" s="581"/>
      <c r="Y258" s="580"/>
      <c r="Z258" s="506">
        <f t="shared" ref="Z258" ca="1" si="994">UDayCou(1,ROW())</f>
        <v>8</v>
      </c>
      <c r="AA258" s="507">
        <f t="shared" ref="AA258" ca="1" si="995">UNightCou(1,ROW())</f>
        <v>8</v>
      </c>
      <c r="AB258" s="508">
        <f t="shared" ref="AB258" ca="1" si="996">UNewCou(1,ROW())</f>
        <v>1</v>
      </c>
      <c r="AC258" s="509">
        <f t="shared" si="813"/>
        <v>45808</v>
      </c>
      <c r="AD258" s="536" t="str">
        <f t="shared" si="814"/>
        <v>土</v>
      </c>
      <c r="AE258" s="550">
        <v>15</v>
      </c>
      <c r="AF258" s="576"/>
      <c r="AG258" s="550"/>
      <c r="AH258" s="551"/>
      <c r="AI258" s="550"/>
      <c r="AJ258" s="551"/>
      <c r="AK258" s="499"/>
      <c r="AL258" s="511"/>
      <c r="AM258" s="550"/>
      <c r="AN258" s="551"/>
      <c r="AO258" s="550"/>
      <c r="AP258" s="551"/>
      <c r="AQ258" s="550"/>
      <c r="AR258" s="551"/>
      <c r="AS258" s="550"/>
      <c r="AT258" s="551"/>
      <c r="AU258" s="550"/>
      <c r="AV258" s="577"/>
      <c r="AW258" s="550"/>
      <c r="AX258" s="551"/>
      <c r="AY258" s="504"/>
      <c r="AZ258" s="505"/>
      <c r="BA258" s="506">
        <f ca="1">UDayCou(2,ROW())</f>
        <v>3</v>
      </c>
      <c r="BB258" s="507">
        <f ca="1">UNightCou(2,ROW())</f>
        <v>2</v>
      </c>
      <c r="BC258" s="508">
        <f ca="1">UNewCou(2,ROW())</f>
        <v>0</v>
      </c>
      <c r="BD258" s="491">
        <f t="shared" si="815"/>
        <v>45808</v>
      </c>
      <c r="BE258" s="536" t="str">
        <f t="shared" si="816"/>
        <v>土</v>
      </c>
      <c r="BF258" s="514"/>
      <c r="BG258" s="515"/>
      <c r="BH258" s="494"/>
      <c r="BI258" s="515"/>
      <c r="BJ258" s="494"/>
      <c r="BK258" s="515"/>
      <c r="BL258" s="494"/>
      <c r="BM258" s="515"/>
      <c r="BN258" s="494"/>
      <c r="BO258" s="515"/>
      <c r="BP258" s="494"/>
      <c r="BQ258" s="515"/>
      <c r="BR258" s="494"/>
      <c r="BS258" s="515"/>
      <c r="BT258" s="494"/>
      <c r="BU258" s="515"/>
      <c r="BV258" s="494"/>
      <c r="BW258" s="515"/>
      <c r="BX258" s="494"/>
      <c r="BY258" s="515"/>
      <c r="BZ258" s="530"/>
      <c r="CA258" s="505"/>
      <c r="CB258" s="506">
        <f ca="1">UDayCou(3,ROW())</f>
        <v>0</v>
      </c>
      <c r="CC258" s="507">
        <f ca="1">UNightCou(3,ROW())</f>
        <v>0</v>
      </c>
      <c r="CD258" s="508">
        <f ca="1">UNewCou(3,ROW())</f>
        <v>0</v>
      </c>
      <c r="CE258" s="491">
        <f t="shared" si="817"/>
        <v>45808</v>
      </c>
      <c r="CF258" s="536" t="str">
        <f t="shared" si="818"/>
        <v>土</v>
      </c>
      <c r="CG258" s="516">
        <f t="shared" ref="CG258" ca="1" si="997">Z258+BA258+CB258</f>
        <v>11</v>
      </c>
      <c r="CH258" s="517">
        <f t="shared" ref="CH258" ca="1" si="998">AA258+BB258+CC258</f>
        <v>10</v>
      </c>
      <c r="CI258" s="518">
        <f t="shared" ref="CI258" ca="1" si="999">AB258+BC258+CD258</f>
        <v>1</v>
      </c>
      <c r="CJ258" s="519">
        <f ca="1">COUNTIF(INDIRECT("D306:CA307"),"*●*")</f>
        <v>0</v>
      </c>
      <c r="CK258" s="520">
        <f ca="1">COUNTIF(INDIRECT("D306:CA307"),"*㋷*")</f>
        <v>0</v>
      </c>
      <c r="CL258" s="179">
        <f ca="1">CL255/CL252</f>
        <v>11.806451612903226</v>
      </c>
      <c r="CM258" s="181">
        <f ca="1">(CL255-CM255)/CL252</f>
        <v>10.806451612903226</v>
      </c>
      <c r="CN258" s="164">
        <f t="shared" si="822"/>
        <v>45808</v>
      </c>
      <c r="CO258" s="169" t="str">
        <f t="shared" si="823"/>
        <v>土</v>
      </c>
      <c r="CP258" s="550"/>
      <c r="CQ258" s="577"/>
      <c r="CR258" s="523"/>
      <c r="CS258" s="522"/>
      <c r="CT258" s="523"/>
      <c r="CU258" s="522"/>
      <c r="CZ258" s="73">
        <v>5</v>
      </c>
      <c r="DA258" s="73">
        <v>5</v>
      </c>
      <c r="DB258" s="73">
        <v>31</v>
      </c>
      <c r="DC258" s="74">
        <f t="shared" si="799"/>
        <v>45808</v>
      </c>
      <c r="DD258" s="68" t="str">
        <f t="shared" si="839"/>
        <v>土</v>
      </c>
      <c r="DF258" s="155">
        <f t="shared" ref="DF258" si="1000">$DC258</f>
        <v>45808</v>
      </c>
      <c r="DG258" s="156" t="e">
        <f ca="1">IF($CH258&gt;=設定!$E$12,"✕",IF(SS予約表!$CG258&gt;=設定!$E$12,"△","○"))</f>
        <v>#NAME?</v>
      </c>
    </row>
    <row r="259" spans="1:112" ht="29.25" customHeight="1" thickBot="1">
      <c r="A259" s="284"/>
      <c r="B259" s="285"/>
      <c r="C259" s="286" t="s">
        <v>28</v>
      </c>
      <c r="D259" s="287"/>
      <c r="E259" s="288"/>
      <c r="F259" s="289"/>
      <c r="G259" s="288"/>
      <c r="H259" s="290"/>
      <c r="I259" s="288"/>
      <c r="J259" s="289">
        <v>10</v>
      </c>
      <c r="K259" s="288" t="s">
        <v>142</v>
      </c>
      <c r="L259" s="289"/>
      <c r="M259" s="288"/>
      <c r="N259" s="487">
        <v>10</v>
      </c>
      <c r="O259" s="488" t="s">
        <v>142</v>
      </c>
      <c r="P259" s="289">
        <v>10</v>
      </c>
      <c r="Q259" s="288" t="s">
        <v>97</v>
      </c>
      <c r="R259" s="289"/>
      <c r="S259" s="288"/>
      <c r="T259" s="289"/>
      <c r="U259" s="291"/>
      <c r="V259" s="289"/>
      <c r="W259" s="291"/>
      <c r="X259" s="292"/>
      <c r="Y259" s="293"/>
      <c r="Z259" s="294"/>
      <c r="AA259" s="295"/>
      <c r="AB259" s="296"/>
      <c r="AC259" s="297"/>
      <c r="AD259" s="298"/>
      <c r="AE259" s="289"/>
      <c r="AF259" s="291"/>
      <c r="AG259" s="289"/>
      <c r="AH259" s="291"/>
      <c r="AI259" s="289"/>
      <c r="AJ259" s="291"/>
      <c r="AK259" s="299"/>
      <c r="AL259" s="300"/>
      <c r="AM259" s="289"/>
      <c r="AN259" s="291"/>
      <c r="AO259" s="289"/>
      <c r="AP259" s="291"/>
      <c r="AQ259" s="289"/>
      <c r="AR259" s="291"/>
      <c r="AS259" s="289"/>
      <c r="AT259" s="291"/>
      <c r="AU259" s="289"/>
      <c r="AV259" s="288"/>
      <c r="AW259" s="289">
        <v>10</v>
      </c>
      <c r="AX259" s="288" t="s">
        <v>166</v>
      </c>
      <c r="AY259" s="303"/>
      <c r="AZ259" s="304"/>
      <c r="BA259" s="294"/>
      <c r="BB259" s="295"/>
      <c r="BC259" s="296"/>
      <c r="BD259" s="284"/>
      <c r="BE259" s="298"/>
      <c r="BF259" s="305"/>
      <c r="BG259" s="302"/>
      <c r="BH259" s="301"/>
      <c r="BI259" s="302"/>
      <c r="BJ259" s="301"/>
      <c r="BK259" s="302"/>
      <c r="BL259" s="301"/>
      <c r="BM259" s="302"/>
      <c r="BN259" s="301"/>
      <c r="BO259" s="302"/>
      <c r="BP259" s="301"/>
      <c r="BQ259" s="302"/>
      <c r="BR259" s="301"/>
      <c r="BS259" s="302"/>
      <c r="BT259" s="301"/>
      <c r="BU259" s="302"/>
      <c r="BV259" s="301"/>
      <c r="BW259" s="302"/>
      <c r="BX259" s="301"/>
      <c r="BY259" s="302"/>
      <c r="BZ259" s="306"/>
      <c r="CA259" s="304"/>
      <c r="CB259" s="294"/>
      <c r="CC259" s="295"/>
      <c r="CD259" s="296"/>
      <c r="CE259" s="284"/>
      <c r="CF259" s="298"/>
      <c r="CG259" s="307"/>
      <c r="CH259" s="308"/>
      <c r="CI259" s="309"/>
      <c r="CJ259" s="310"/>
      <c r="CK259" s="311"/>
      <c r="CL259" s="180"/>
      <c r="CM259" s="182"/>
      <c r="CN259" s="161"/>
      <c r="CO259" s="163"/>
      <c r="CP259" s="289"/>
      <c r="CQ259" s="288"/>
      <c r="CR259" s="317"/>
      <c r="CS259" s="316"/>
      <c r="CT259" s="317"/>
      <c r="CU259" s="316"/>
      <c r="CZ259" s="73">
        <v>5</v>
      </c>
      <c r="DA259" s="73">
        <v>5</v>
      </c>
      <c r="DB259" s="73">
        <v>31</v>
      </c>
      <c r="DC259" s="74">
        <f t="shared" si="799"/>
        <v>45808</v>
      </c>
      <c r="DD259" s="68" t="str">
        <f t="shared" si="839"/>
        <v>土</v>
      </c>
      <c r="DF259" s="156"/>
      <c r="DG259" s="156"/>
    </row>
    <row r="260" spans="1:112" ht="28.5" customHeight="1">
      <c r="A260" s="491">
        <f t="shared" si="808"/>
        <v>45809</v>
      </c>
      <c r="B260" s="492" t="str">
        <f t="shared" si="809"/>
        <v>日</v>
      </c>
      <c r="C260" s="493" t="s">
        <v>27</v>
      </c>
      <c r="D260" s="542" t="s">
        <v>67</v>
      </c>
      <c r="E260" s="577" t="s">
        <v>252</v>
      </c>
      <c r="F260" s="550" t="s">
        <v>67</v>
      </c>
      <c r="G260" s="577" t="s">
        <v>253</v>
      </c>
      <c r="H260" s="578" t="s">
        <v>67</v>
      </c>
      <c r="I260" s="577" t="s">
        <v>203</v>
      </c>
      <c r="J260" s="550" t="s">
        <v>67</v>
      </c>
      <c r="K260" s="577" t="s">
        <v>254</v>
      </c>
      <c r="L260" s="550">
        <v>15</v>
      </c>
      <c r="M260" s="576" t="s">
        <v>240</v>
      </c>
      <c r="N260" s="579" t="s">
        <v>74</v>
      </c>
      <c r="O260" s="582" t="s">
        <v>254</v>
      </c>
      <c r="P260" s="550" t="s">
        <v>67</v>
      </c>
      <c r="Q260" s="577" t="s">
        <v>255</v>
      </c>
      <c r="R260" s="550" t="s">
        <v>67</v>
      </c>
      <c r="S260" s="577" t="s">
        <v>256</v>
      </c>
      <c r="T260" s="550"/>
      <c r="U260" s="551"/>
      <c r="V260" s="550"/>
      <c r="W260" s="551"/>
      <c r="X260" s="581"/>
      <c r="Y260" s="580"/>
      <c r="Z260" s="506">
        <f t="shared" ref="Z260" ca="1" si="1001">UDayCou(1,ROW())</f>
        <v>8</v>
      </c>
      <c r="AA260" s="507">
        <f t="shared" ref="AA260" ca="1" si="1002">UNightCou(1,ROW())</f>
        <v>7</v>
      </c>
      <c r="AB260" s="508">
        <f t="shared" ref="AB260" ca="1" si="1003">UNewCou(1,ROW())</f>
        <v>1</v>
      </c>
      <c r="AC260" s="509">
        <f t="shared" si="813"/>
        <v>45809</v>
      </c>
      <c r="AD260" s="510" t="str">
        <f t="shared" si="814"/>
        <v>日</v>
      </c>
      <c r="AE260" s="550"/>
      <c r="AF260" s="551"/>
      <c r="AG260" s="550"/>
      <c r="AH260" s="551"/>
      <c r="AI260" s="550"/>
      <c r="AJ260" s="551"/>
      <c r="AK260" s="499"/>
      <c r="AL260" s="511"/>
      <c r="AM260" s="550"/>
      <c r="AN260" s="551"/>
      <c r="AO260" s="550"/>
      <c r="AP260" s="551"/>
      <c r="AQ260" s="550"/>
      <c r="AR260" s="551"/>
      <c r="AS260" s="550"/>
      <c r="AT260" s="551"/>
      <c r="AU260" s="550" t="s">
        <v>67</v>
      </c>
      <c r="AV260" s="577" t="s">
        <v>80</v>
      </c>
      <c r="AW260" s="550" t="s">
        <v>67</v>
      </c>
      <c r="AX260" s="577" t="s">
        <v>243</v>
      </c>
      <c r="AY260" s="504"/>
      <c r="AZ260" s="505"/>
      <c r="BA260" s="506">
        <f ca="1">UDayCou(2,ROW())</f>
        <v>2</v>
      </c>
      <c r="BB260" s="507">
        <f ca="1">UNightCou(2,ROW())</f>
        <v>2</v>
      </c>
      <c r="BC260" s="508">
        <f ca="1">UNewCou(2,ROW())</f>
        <v>0</v>
      </c>
      <c r="BD260" s="491">
        <f t="shared" si="815"/>
        <v>45809</v>
      </c>
      <c r="BE260" s="510" t="str">
        <f t="shared" si="816"/>
        <v>日</v>
      </c>
      <c r="BF260" s="514"/>
      <c r="BG260" s="515"/>
      <c r="BH260" s="494"/>
      <c r="BI260" s="515"/>
      <c r="BJ260" s="494"/>
      <c r="BK260" s="515"/>
      <c r="BL260" s="494"/>
      <c r="BM260" s="515"/>
      <c r="BN260" s="494"/>
      <c r="BO260" s="515"/>
      <c r="BP260" s="494"/>
      <c r="BQ260" s="515"/>
      <c r="BR260" s="494"/>
      <c r="BS260" s="515"/>
      <c r="BT260" s="494"/>
      <c r="BU260" s="515"/>
      <c r="BV260" s="494"/>
      <c r="BW260" s="515"/>
      <c r="BX260" s="494"/>
      <c r="BY260" s="515"/>
      <c r="BZ260" s="530"/>
      <c r="CA260" s="505"/>
      <c r="CB260" s="506">
        <f ca="1">UDayCou(3,ROW())</f>
        <v>0</v>
      </c>
      <c r="CC260" s="507">
        <f ca="1">UNightCou(3,ROW())</f>
        <v>0</v>
      </c>
      <c r="CD260" s="508">
        <f ca="1">UNewCou(3,ROW())</f>
        <v>0</v>
      </c>
      <c r="CE260" s="491">
        <f t="shared" si="817"/>
        <v>45809</v>
      </c>
      <c r="CF260" s="510" t="str">
        <f t="shared" si="818"/>
        <v>日</v>
      </c>
      <c r="CG260" s="516">
        <f t="shared" ref="CG260" ca="1" si="1004">Z260+BA260+CB260</f>
        <v>10</v>
      </c>
      <c r="CH260" s="517">
        <f t="shared" ref="CH260" ca="1" si="1005">AA260+BB260+CC260</f>
        <v>9</v>
      </c>
      <c r="CI260" s="518">
        <f t="shared" ref="CI260" ca="1" si="1006">AB260+BC260+CD260</f>
        <v>1</v>
      </c>
      <c r="CJ260" s="519">
        <f ca="1">COUNTIF(INDIRECT("D308:CA309"),"*●*")</f>
        <v>0</v>
      </c>
      <c r="CK260" s="520">
        <f ca="1">COUNTIF(INDIRECT("D308:CA309"),"*㋷*")</f>
        <v>0</v>
      </c>
      <c r="CL260" s="76"/>
      <c r="CM260" s="77"/>
      <c r="CN260" s="164">
        <f t="shared" si="822"/>
        <v>45809</v>
      </c>
      <c r="CO260" s="166" t="str">
        <f t="shared" si="823"/>
        <v>日</v>
      </c>
      <c r="CP260" s="550">
        <v>15</v>
      </c>
      <c r="CQ260" s="576" t="s">
        <v>257</v>
      </c>
      <c r="CR260" s="523"/>
      <c r="CS260" s="522"/>
      <c r="CT260" s="523"/>
      <c r="CU260" s="522"/>
      <c r="CZ260" s="73">
        <v>6</v>
      </c>
      <c r="DA260" s="73">
        <v>6</v>
      </c>
      <c r="DB260" s="73">
        <v>1</v>
      </c>
      <c r="DC260" s="74">
        <f t="shared" si="799"/>
        <v>45809</v>
      </c>
      <c r="DD260" s="68" t="str">
        <f t="shared" si="839"/>
        <v>日</v>
      </c>
      <c r="DF260" s="155">
        <f t="shared" ref="DF260" si="1007">$DC260</f>
        <v>45809</v>
      </c>
      <c r="DG260" s="156" t="e">
        <f ca="1">IF($CH260&gt;=設定!$E$12,"✕",IF(SS予約表!$CG260&gt;=設定!$E$12,"△","○"))</f>
        <v>#NAME?</v>
      </c>
      <c r="DH260" s="68" t="s">
        <v>36</v>
      </c>
    </row>
    <row r="261" spans="1:112" ht="29.25" customHeight="1">
      <c r="A261" s="284"/>
      <c r="B261" s="285"/>
      <c r="C261" s="286" t="s">
        <v>28</v>
      </c>
      <c r="D261" s="287"/>
      <c r="E261" s="288"/>
      <c r="F261" s="289"/>
      <c r="G261" s="288"/>
      <c r="H261" s="290"/>
      <c r="I261" s="288"/>
      <c r="J261" s="289"/>
      <c r="K261" s="288"/>
      <c r="L261" s="487"/>
      <c r="M261" s="293"/>
      <c r="N261" s="487" t="s">
        <v>39</v>
      </c>
      <c r="O261" s="488"/>
      <c r="P261" s="289"/>
      <c r="Q261" s="288"/>
      <c r="R261" s="289"/>
      <c r="S261" s="288"/>
      <c r="T261" s="289"/>
      <c r="U261" s="291"/>
      <c r="V261" s="289"/>
      <c r="W261" s="291"/>
      <c r="X261" s="292"/>
      <c r="Y261" s="293"/>
      <c r="Z261" s="294"/>
      <c r="AA261" s="295"/>
      <c r="AB261" s="296"/>
      <c r="AC261" s="297"/>
      <c r="AD261" s="298"/>
      <c r="AE261" s="289"/>
      <c r="AF261" s="291"/>
      <c r="AG261" s="289"/>
      <c r="AH261" s="291"/>
      <c r="AI261" s="289"/>
      <c r="AJ261" s="291"/>
      <c r="AK261" s="289"/>
      <c r="AL261" s="291"/>
      <c r="AM261" s="289"/>
      <c r="AN261" s="291"/>
      <c r="AO261" s="289"/>
      <c r="AP261" s="291"/>
      <c r="AQ261" s="289"/>
      <c r="AR261" s="291"/>
      <c r="AS261" s="289"/>
      <c r="AT261" s="291"/>
      <c r="AU261" s="289"/>
      <c r="AV261" s="288"/>
      <c r="AW261" s="289"/>
      <c r="AX261" s="288"/>
      <c r="AY261" s="303"/>
      <c r="AZ261" s="304"/>
      <c r="BA261" s="294"/>
      <c r="BB261" s="295"/>
      <c r="BC261" s="296"/>
      <c r="BD261" s="284"/>
      <c r="BE261" s="298"/>
      <c r="BF261" s="305"/>
      <c r="BG261" s="302"/>
      <c r="BH261" s="301"/>
      <c r="BI261" s="302"/>
      <c r="BJ261" s="301"/>
      <c r="BK261" s="302"/>
      <c r="BL261" s="301"/>
      <c r="BM261" s="302"/>
      <c r="BN261" s="301"/>
      <c r="BO261" s="302"/>
      <c r="BP261" s="301"/>
      <c r="BQ261" s="302"/>
      <c r="BR261" s="301"/>
      <c r="BS261" s="302"/>
      <c r="BT261" s="301"/>
      <c r="BU261" s="302"/>
      <c r="BV261" s="301"/>
      <c r="BW261" s="302"/>
      <c r="BX261" s="301"/>
      <c r="BY261" s="302"/>
      <c r="BZ261" s="306"/>
      <c r="CA261" s="304"/>
      <c r="CB261" s="294"/>
      <c r="CC261" s="295"/>
      <c r="CD261" s="296"/>
      <c r="CE261" s="284"/>
      <c r="CF261" s="298"/>
      <c r="CG261" s="307"/>
      <c r="CH261" s="308"/>
      <c r="CI261" s="309"/>
      <c r="CJ261" s="310"/>
      <c r="CK261" s="311"/>
      <c r="CL261" s="75"/>
      <c r="CN261" s="161"/>
      <c r="CO261" s="163"/>
      <c r="CP261" s="289">
        <v>10</v>
      </c>
      <c r="CQ261" s="288" t="s">
        <v>258</v>
      </c>
      <c r="CR261" s="317"/>
      <c r="CS261" s="316"/>
      <c r="CT261" s="317"/>
      <c r="CU261" s="316"/>
      <c r="CZ261" s="73">
        <v>6</v>
      </c>
      <c r="DA261" s="73">
        <v>6</v>
      </c>
      <c r="DB261" s="73">
        <v>1</v>
      </c>
      <c r="DC261" s="74">
        <f t="shared" si="799"/>
        <v>45809</v>
      </c>
      <c r="DD261" s="68" t="str">
        <f t="shared" si="839"/>
        <v>日</v>
      </c>
      <c r="DF261" s="156"/>
      <c r="DG261" s="156"/>
    </row>
    <row r="262" spans="1:112" ht="28.5" customHeight="1">
      <c r="A262" s="327">
        <f t="shared" si="808"/>
        <v>45810</v>
      </c>
      <c r="B262" s="365" t="str">
        <f t="shared" si="809"/>
        <v>月</v>
      </c>
      <c r="C262" s="329" t="s">
        <v>27</v>
      </c>
      <c r="D262" s="405">
        <v>15</v>
      </c>
      <c r="E262" s="453"/>
      <c r="F262" s="431">
        <v>15</v>
      </c>
      <c r="G262" s="453"/>
      <c r="H262" s="482"/>
      <c r="I262" s="439"/>
      <c r="J262" s="431">
        <v>15</v>
      </c>
      <c r="K262" s="453"/>
      <c r="L262" s="431"/>
      <c r="M262" s="432"/>
      <c r="N262" s="431">
        <v>15</v>
      </c>
      <c r="O262" s="453"/>
      <c r="P262" s="431">
        <v>15</v>
      </c>
      <c r="Q262" s="453"/>
      <c r="R262" s="431"/>
      <c r="S262" s="439"/>
      <c r="T262" s="431"/>
      <c r="U262" s="432"/>
      <c r="V262" s="431"/>
      <c r="W262" s="432"/>
      <c r="X262" s="483"/>
      <c r="Y262" s="432"/>
      <c r="Z262" s="342">
        <f t="shared" ref="Z262" ca="1" si="1008">UDayCou(1,ROW())</f>
        <v>8</v>
      </c>
      <c r="AA262" s="343">
        <f t="shared" ref="AA262" ca="1" si="1009">UNightCou(1,ROW())</f>
        <v>3</v>
      </c>
      <c r="AB262" s="344">
        <f t="shared" ref="AB262" ca="1" si="1010">UNewCou(1,ROW())</f>
        <v>2</v>
      </c>
      <c r="AC262" s="345">
        <f t="shared" si="813"/>
        <v>45810</v>
      </c>
      <c r="AD262" s="371" t="str">
        <f t="shared" si="814"/>
        <v>月</v>
      </c>
      <c r="AE262" s="431"/>
      <c r="AF262" s="432"/>
      <c r="AG262" s="431"/>
      <c r="AH262" s="432"/>
      <c r="AI262" s="431"/>
      <c r="AJ262" s="432"/>
      <c r="AK262" s="431"/>
      <c r="AL262" s="432"/>
      <c r="AM262" s="431"/>
      <c r="AN262" s="432"/>
      <c r="AO262" s="431"/>
      <c r="AP262" s="432"/>
      <c r="AQ262" s="431"/>
      <c r="AR262" s="432"/>
      <c r="AS262" s="431"/>
      <c r="AT262" s="432"/>
      <c r="AU262" s="431"/>
      <c r="AV262" s="439"/>
      <c r="AW262" s="431"/>
      <c r="AX262" s="439"/>
      <c r="AY262" s="340"/>
      <c r="AZ262" s="341"/>
      <c r="BA262" s="342">
        <f ca="1">UDayCou(2,ROW())</f>
        <v>2</v>
      </c>
      <c r="BB262" s="343">
        <f ca="1">UNightCou(2,ROW())</f>
        <v>2</v>
      </c>
      <c r="BC262" s="344">
        <f ca="1">UNewCou(2,ROW())</f>
        <v>0</v>
      </c>
      <c r="BD262" s="327">
        <f t="shared" si="815"/>
        <v>45810</v>
      </c>
      <c r="BE262" s="371" t="str">
        <f t="shared" si="816"/>
        <v>月</v>
      </c>
      <c r="BF262" s="350"/>
      <c r="BG262" s="351"/>
      <c r="BH262" s="330"/>
      <c r="BI262" s="351"/>
      <c r="BJ262" s="330"/>
      <c r="BK262" s="351"/>
      <c r="BL262" s="330"/>
      <c r="BM262" s="351"/>
      <c r="BN262" s="330"/>
      <c r="BO262" s="351"/>
      <c r="BP262" s="330"/>
      <c r="BQ262" s="351"/>
      <c r="BR262" s="330"/>
      <c r="BS262" s="351"/>
      <c r="BT262" s="330"/>
      <c r="BU262" s="351"/>
      <c r="BV262" s="330"/>
      <c r="BW262" s="351"/>
      <c r="BX262" s="330"/>
      <c r="BY262" s="351"/>
      <c r="BZ262" s="389"/>
      <c r="CA262" s="341"/>
      <c r="CB262" s="342">
        <f ca="1">UDayCou(3,ROW())</f>
        <v>0</v>
      </c>
      <c r="CC262" s="343">
        <f ca="1">UNightCou(3,ROW())</f>
        <v>0</v>
      </c>
      <c r="CD262" s="344">
        <f ca="1">UNewCou(3,ROW())</f>
        <v>0</v>
      </c>
      <c r="CE262" s="327">
        <f t="shared" si="817"/>
        <v>45810</v>
      </c>
      <c r="CF262" s="371" t="str">
        <f t="shared" si="818"/>
        <v>月</v>
      </c>
      <c r="CG262" s="352">
        <f t="shared" ref="CG262" ca="1" si="1011">Z262+BA262+CB262</f>
        <v>10</v>
      </c>
      <c r="CH262" s="353">
        <f t="shared" ref="CH262" ca="1" si="1012">AA262+BB262+CC262</f>
        <v>5</v>
      </c>
      <c r="CI262" s="354">
        <f t="shared" ref="CI262" ca="1" si="1013">AB262+BC262+CD262</f>
        <v>2</v>
      </c>
      <c r="CJ262" s="355">
        <f ca="1">COUNTIF(INDIRECT("D310:CA311"),"*●*")</f>
        <v>0</v>
      </c>
      <c r="CK262" s="356">
        <f ca="1">COUNTIF(INDIRECT("D310:CA311"),"*㋷*")</f>
        <v>0</v>
      </c>
      <c r="CL262" s="75"/>
      <c r="CN262" s="160">
        <f t="shared" si="822"/>
        <v>45810</v>
      </c>
      <c r="CO262" s="162" t="str">
        <f t="shared" si="823"/>
        <v>月</v>
      </c>
      <c r="CP262" s="431">
        <v>15</v>
      </c>
      <c r="CQ262" s="453" t="s">
        <v>259</v>
      </c>
      <c r="CR262" s="359"/>
      <c r="CS262" s="358"/>
      <c r="CT262" s="359"/>
      <c r="CU262" s="358"/>
      <c r="CZ262" s="73">
        <v>6</v>
      </c>
      <c r="DA262" s="73">
        <v>6</v>
      </c>
      <c r="DB262" s="73">
        <v>2</v>
      </c>
      <c r="DC262" s="74">
        <f t="shared" si="799"/>
        <v>45810</v>
      </c>
      <c r="DD262" s="68" t="str">
        <f t="shared" si="839"/>
        <v>月</v>
      </c>
      <c r="DF262" s="155">
        <f t="shared" ref="DF262" si="1014">$DC262</f>
        <v>45810</v>
      </c>
      <c r="DG262" s="156" t="e">
        <f ca="1">IF($CH262&gt;=設定!$E$12,"✕",IF(SS予約表!$CG262&gt;=設定!$E$12,"△","○"))</f>
        <v>#NAME?</v>
      </c>
    </row>
    <row r="263" spans="1:112" ht="29.25" customHeight="1">
      <c r="A263" s="284"/>
      <c r="B263" s="285"/>
      <c r="C263" s="286" t="s">
        <v>28</v>
      </c>
      <c r="D263" s="287"/>
      <c r="E263" s="291"/>
      <c r="F263" s="299"/>
      <c r="G263" s="300"/>
      <c r="H263" s="290"/>
      <c r="I263" s="288"/>
      <c r="J263" s="289"/>
      <c r="K263" s="291"/>
      <c r="L263" s="289"/>
      <c r="M263" s="291"/>
      <c r="N263" s="289"/>
      <c r="O263" s="291"/>
      <c r="P263" s="289"/>
      <c r="Q263" s="291"/>
      <c r="R263" s="289"/>
      <c r="S263" s="288"/>
      <c r="T263" s="290">
        <v>10</v>
      </c>
      <c r="U263" s="288" t="s">
        <v>260</v>
      </c>
      <c r="V263" s="289"/>
      <c r="W263" s="291"/>
      <c r="X263" s="292"/>
      <c r="Y263" s="293"/>
      <c r="Z263" s="294"/>
      <c r="AA263" s="295"/>
      <c r="AB263" s="296"/>
      <c r="AC263" s="297"/>
      <c r="AD263" s="298"/>
      <c r="AE263" s="289"/>
      <c r="AF263" s="291"/>
      <c r="AG263" s="289"/>
      <c r="AH263" s="291"/>
      <c r="AI263" s="289"/>
      <c r="AJ263" s="291"/>
      <c r="AK263" s="289"/>
      <c r="AL263" s="291"/>
      <c r="AM263" s="289"/>
      <c r="AN263" s="291"/>
      <c r="AO263" s="289"/>
      <c r="AP263" s="291"/>
      <c r="AQ263" s="289"/>
      <c r="AR263" s="291"/>
      <c r="AS263" s="289"/>
      <c r="AT263" s="291"/>
      <c r="AU263" s="289"/>
      <c r="AV263" s="288"/>
      <c r="AW263" s="289"/>
      <c r="AX263" s="288"/>
      <c r="AY263" s="303"/>
      <c r="AZ263" s="304"/>
      <c r="BA263" s="294"/>
      <c r="BB263" s="295"/>
      <c r="BC263" s="296"/>
      <c r="BD263" s="284"/>
      <c r="BE263" s="298"/>
      <c r="BF263" s="305"/>
      <c r="BG263" s="302"/>
      <c r="BH263" s="301"/>
      <c r="BI263" s="302"/>
      <c r="BJ263" s="301"/>
      <c r="BK263" s="302"/>
      <c r="BL263" s="301"/>
      <c r="BM263" s="302"/>
      <c r="BN263" s="301"/>
      <c r="BO263" s="302"/>
      <c r="BP263" s="301"/>
      <c r="BQ263" s="302"/>
      <c r="BR263" s="301"/>
      <c r="BS263" s="302"/>
      <c r="BT263" s="301"/>
      <c r="BU263" s="302"/>
      <c r="BV263" s="301"/>
      <c r="BW263" s="302"/>
      <c r="BX263" s="301"/>
      <c r="BY263" s="302"/>
      <c r="BZ263" s="306"/>
      <c r="CA263" s="304"/>
      <c r="CB263" s="294"/>
      <c r="CC263" s="295"/>
      <c r="CD263" s="296"/>
      <c r="CE263" s="284"/>
      <c r="CF263" s="298"/>
      <c r="CG263" s="307"/>
      <c r="CH263" s="308"/>
      <c r="CI263" s="309"/>
      <c r="CJ263" s="310"/>
      <c r="CK263" s="311"/>
      <c r="CL263" s="75"/>
      <c r="CN263" s="161"/>
      <c r="CO263" s="163"/>
      <c r="CP263" s="315"/>
      <c r="CQ263" s="316" t="s">
        <v>261</v>
      </c>
      <c r="CR263" s="317"/>
      <c r="CS263" s="316"/>
      <c r="CT263" s="317"/>
      <c r="CU263" s="316"/>
      <c r="CZ263" s="73">
        <v>6</v>
      </c>
      <c r="DA263" s="73">
        <v>6</v>
      </c>
      <c r="DB263" s="73">
        <v>2</v>
      </c>
      <c r="DC263" s="74">
        <f t="shared" si="799"/>
        <v>45810</v>
      </c>
      <c r="DD263" s="68" t="str">
        <f t="shared" si="839"/>
        <v>月</v>
      </c>
      <c r="DF263" s="156"/>
      <c r="DG263" s="156"/>
    </row>
    <row r="264" spans="1:112" ht="28.5" customHeight="1">
      <c r="A264" s="327">
        <f t="shared" si="808"/>
        <v>45811</v>
      </c>
      <c r="B264" s="365" t="str">
        <f t="shared" si="809"/>
        <v>火</v>
      </c>
      <c r="C264" s="329" t="s">
        <v>27</v>
      </c>
      <c r="D264" s="405"/>
      <c r="E264" s="432"/>
      <c r="F264" s="335"/>
      <c r="G264" s="347"/>
      <c r="H264" s="482"/>
      <c r="I264" s="439"/>
      <c r="J264" s="431"/>
      <c r="K264" s="432"/>
      <c r="L264" s="431"/>
      <c r="M264" s="432"/>
      <c r="N264" s="431"/>
      <c r="O264" s="432"/>
      <c r="P264" s="431"/>
      <c r="Q264" s="432"/>
      <c r="R264" s="431">
        <v>15</v>
      </c>
      <c r="S264" s="453"/>
      <c r="T264" s="482"/>
      <c r="U264" s="439"/>
      <c r="V264" s="431"/>
      <c r="W264" s="432"/>
      <c r="X264" s="483"/>
      <c r="Y264" s="485"/>
      <c r="Z264" s="342">
        <f t="shared" ref="Z264" ca="1" si="1015">UDayCou(1,ROW())</f>
        <v>3</v>
      </c>
      <c r="AA264" s="343">
        <f t="shared" ref="AA264" ca="1" si="1016">UNightCou(1,ROW())</f>
        <v>2</v>
      </c>
      <c r="AB264" s="344">
        <f t="shared" ref="AB264" ca="1" si="1017">UNewCou(1,ROW())</f>
        <v>2</v>
      </c>
      <c r="AC264" s="345">
        <f t="shared" si="813"/>
        <v>45811</v>
      </c>
      <c r="AD264" s="371" t="str">
        <f t="shared" si="814"/>
        <v>火</v>
      </c>
      <c r="AE264" s="431"/>
      <c r="AF264" s="432"/>
      <c r="AG264" s="431"/>
      <c r="AH264" s="432"/>
      <c r="AI264" s="431"/>
      <c r="AJ264" s="432"/>
      <c r="AK264" s="431"/>
      <c r="AL264" s="432"/>
      <c r="AM264" s="431"/>
      <c r="AN264" s="432"/>
      <c r="AO264" s="431"/>
      <c r="AP264" s="432"/>
      <c r="AQ264" s="431"/>
      <c r="AR264" s="432"/>
      <c r="AS264" s="431"/>
      <c r="AT264" s="432"/>
      <c r="AU264" s="431"/>
      <c r="AV264" s="439"/>
      <c r="AW264" s="330"/>
      <c r="AX264" s="458"/>
      <c r="AY264" s="340"/>
      <c r="AZ264" s="341"/>
      <c r="BA264" s="342">
        <f ca="1">UDayCou(2,ROW())</f>
        <v>2</v>
      </c>
      <c r="BB264" s="343">
        <f ca="1">UNightCou(2,ROW())</f>
        <v>2</v>
      </c>
      <c r="BC264" s="344">
        <f ca="1">UNewCou(2,ROW())</f>
        <v>0</v>
      </c>
      <c r="BD264" s="327">
        <f t="shared" si="815"/>
        <v>45811</v>
      </c>
      <c r="BE264" s="371" t="str">
        <f t="shared" si="816"/>
        <v>火</v>
      </c>
      <c r="BF264" s="350"/>
      <c r="BG264" s="351"/>
      <c r="BH264" s="330"/>
      <c r="BI264" s="351"/>
      <c r="BJ264" s="330"/>
      <c r="BK264" s="351"/>
      <c r="BL264" s="330"/>
      <c r="BM264" s="351"/>
      <c r="BN264" s="330"/>
      <c r="BO264" s="351"/>
      <c r="BP264" s="330"/>
      <c r="BQ264" s="351"/>
      <c r="BR264" s="330"/>
      <c r="BS264" s="351"/>
      <c r="BT264" s="330"/>
      <c r="BU264" s="351"/>
      <c r="BV264" s="330"/>
      <c r="BW264" s="351"/>
      <c r="BX264" s="330"/>
      <c r="BY264" s="351"/>
      <c r="BZ264" s="389"/>
      <c r="CA264" s="341"/>
      <c r="CB264" s="342">
        <f ca="1">UDayCou(3,ROW())</f>
        <v>0</v>
      </c>
      <c r="CC264" s="343">
        <f ca="1">UNightCou(3,ROW())</f>
        <v>0</v>
      </c>
      <c r="CD264" s="344">
        <f ca="1">UNewCou(3,ROW())</f>
        <v>0</v>
      </c>
      <c r="CE264" s="327">
        <f t="shared" si="817"/>
        <v>45811</v>
      </c>
      <c r="CF264" s="371" t="str">
        <f t="shared" si="818"/>
        <v>火</v>
      </c>
      <c r="CG264" s="352">
        <f t="shared" ref="CG264" ca="1" si="1018">Z264+BA264+CB264</f>
        <v>5</v>
      </c>
      <c r="CH264" s="353">
        <f t="shared" ref="CH264" ca="1" si="1019">AA264+BB264+CC264</f>
        <v>4</v>
      </c>
      <c r="CI264" s="354">
        <f t="shared" ref="CI264" ca="1" si="1020">AB264+BC264+CD264</f>
        <v>2</v>
      </c>
      <c r="CJ264" s="355">
        <f ca="1">COUNTIF(INDIRECT("D312:CA313"),"*●*")</f>
        <v>0</v>
      </c>
      <c r="CK264" s="356">
        <f ca="1">COUNTIF(INDIRECT("D312:CA313"),"*㋷*")</f>
        <v>0</v>
      </c>
      <c r="CL264" s="75"/>
      <c r="CN264" s="160">
        <f t="shared" si="822"/>
        <v>45811</v>
      </c>
      <c r="CO264" s="162" t="str">
        <f t="shared" si="823"/>
        <v>火</v>
      </c>
      <c r="CP264" s="357"/>
      <c r="CQ264" s="358"/>
      <c r="CR264" s="359"/>
      <c r="CS264" s="358"/>
      <c r="CT264" s="359"/>
      <c r="CU264" s="358"/>
      <c r="CZ264" s="73">
        <v>6</v>
      </c>
      <c r="DA264" s="73">
        <v>6</v>
      </c>
      <c r="DB264" s="73">
        <v>3</v>
      </c>
      <c r="DC264" s="74">
        <f t="shared" si="799"/>
        <v>45811</v>
      </c>
      <c r="DD264" s="68" t="str">
        <f t="shared" si="839"/>
        <v>火</v>
      </c>
      <c r="DF264" s="155">
        <f t="shared" ref="DF264" si="1021">$DC264</f>
        <v>45811</v>
      </c>
      <c r="DG264" s="156" t="e">
        <f ca="1">IF($CH264&gt;=設定!$E$12,"✕",IF(SS予約表!$CG264&gt;=設定!$E$12,"△","○"))</f>
        <v>#NAME?</v>
      </c>
    </row>
    <row r="265" spans="1:112" ht="29.25" customHeight="1">
      <c r="A265" s="284"/>
      <c r="B265" s="285"/>
      <c r="C265" s="286" t="s">
        <v>28</v>
      </c>
      <c r="D265" s="287"/>
      <c r="E265" s="291"/>
      <c r="F265" s="299"/>
      <c r="G265" s="300"/>
      <c r="H265" s="290"/>
      <c r="I265" s="288"/>
      <c r="J265" s="289"/>
      <c r="K265" s="291"/>
      <c r="L265" s="289"/>
      <c r="M265" s="291"/>
      <c r="N265" s="289"/>
      <c r="O265" s="291"/>
      <c r="P265" s="289"/>
      <c r="Q265" s="291"/>
      <c r="R265" s="289"/>
      <c r="S265" s="291"/>
      <c r="T265" s="290"/>
      <c r="U265" s="288"/>
      <c r="V265" s="289"/>
      <c r="W265" s="291"/>
      <c r="X265" s="292"/>
      <c r="Y265" s="293"/>
      <c r="Z265" s="294"/>
      <c r="AA265" s="295"/>
      <c r="AB265" s="296"/>
      <c r="AC265" s="297"/>
      <c r="AD265" s="298"/>
      <c r="AE265" s="289"/>
      <c r="AF265" s="291"/>
      <c r="AG265" s="289"/>
      <c r="AH265" s="291"/>
      <c r="AI265" s="289"/>
      <c r="AJ265" s="291"/>
      <c r="AK265" s="301"/>
      <c r="AL265" s="302"/>
      <c r="AM265" s="289"/>
      <c r="AN265" s="291"/>
      <c r="AO265" s="289"/>
      <c r="AP265" s="291"/>
      <c r="AQ265" s="289"/>
      <c r="AR265" s="291"/>
      <c r="AS265" s="289"/>
      <c r="AT265" s="291"/>
      <c r="AU265" s="289"/>
      <c r="AV265" s="288"/>
      <c r="AW265" s="301"/>
      <c r="AX265" s="451"/>
      <c r="AY265" s="303"/>
      <c r="AZ265" s="304"/>
      <c r="BA265" s="294"/>
      <c r="BB265" s="295"/>
      <c r="BC265" s="296"/>
      <c r="BD265" s="284"/>
      <c r="BE265" s="298"/>
      <c r="BF265" s="305"/>
      <c r="BG265" s="302"/>
      <c r="BH265" s="301"/>
      <c r="BI265" s="302"/>
      <c r="BJ265" s="301"/>
      <c r="BK265" s="302"/>
      <c r="BL265" s="301"/>
      <c r="BM265" s="302"/>
      <c r="BN265" s="301"/>
      <c r="BO265" s="302"/>
      <c r="BP265" s="301"/>
      <c r="BQ265" s="302"/>
      <c r="BR265" s="301"/>
      <c r="BS265" s="302"/>
      <c r="BT265" s="301"/>
      <c r="BU265" s="302"/>
      <c r="BV265" s="301"/>
      <c r="BW265" s="302"/>
      <c r="BX265" s="301"/>
      <c r="BY265" s="302"/>
      <c r="BZ265" s="306"/>
      <c r="CA265" s="304"/>
      <c r="CB265" s="294"/>
      <c r="CC265" s="295"/>
      <c r="CD265" s="296"/>
      <c r="CE265" s="284"/>
      <c r="CF265" s="298"/>
      <c r="CG265" s="307"/>
      <c r="CH265" s="308"/>
      <c r="CI265" s="309"/>
      <c r="CJ265" s="310"/>
      <c r="CK265" s="311"/>
      <c r="CL265" s="75"/>
      <c r="CN265" s="161"/>
      <c r="CO265" s="163"/>
      <c r="CP265" s="315"/>
      <c r="CQ265" s="316"/>
      <c r="CR265" s="317"/>
      <c r="CS265" s="316"/>
      <c r="CT265" s="317"/>
      <c r="CU265" s="316"/>
      <c r="CZ265" s="73">
        <v>6</v>
      </c>
      <c r="DA265" s="73">
        <v>6</v>
      </c>
      <c r="DB265" s="73">
        <v>3</v>
      </c>
      <c r="DC265" s="74">
        <f t="shared" si="799"/>
        <v>45811</v>
      </c>
      <c r="DD265" s="68" t="str">
        <f t="shared" si="839"/>
        <v>火</v>
      </c>
      <c r="DF265" s="156"/>
      <c r="DG265" s="156"/>
    </row>
    <row r="266" spans="1:112" ht="28.5" customHeight="1">
      <c r="A266" s="327">
        <f t="shared" si="808"/>
        <v>45812</v>
      </c>
      <c r="B266" s="365" t="str">
        <f t="shared" si="809"/>
        <v>水</v>
      </c>
      <c r="C266" s="329" t="s">
        <v>27</v>
      </c>
      <c r="D266" s="405"/>
      <c r="E266" s="432"/>
      <c r="F266" s="335"/>
      <c r="G266" s="347"/>
      <c r="H266" s="482"/>
      <c r="I266" s="439"/>
      <c r="J266" s="431"/>
      <c r="K266" s="432"/>
      <c r="L266" s="431"/>
      <c r="M266" s="432"/>
      <c r="N266" s="431"/>
      <c r="O266" s="432"/>
      <c r="P266" s="431"/>
      <c r="Q266" s="432"/>
      <c r="R266" s="431"/>
      <c r="S266" s="432"/>
      <c r="T266" s="482"/>
      <c r="U266" s="439"/>
      <c r="V266" s="431"/>
      <c r="W266" s="432"/>
      <c r="X266" s="483"/>
      <c r="Y266" s="485"/>
      <c r="Z266" s="342">
        <f t="shared" ref="Z266" ca="1" si="1022">UDayCou(1,ROW())</f>
        <v>2</v>
      </c>
      <c r="AA266" s="343">
        <f t="shared" ref="AA266" ca="1" si="1023">UNightCou(1,ROW())</f>
        <v>2</v>
      </c>
      <c r="AB266" s="344">
        <f t="shared" ref="AB266" ca="1" si="1024">UNewCou(1,ROW())</f>
        <v>2</v>
      </c>
      <c r="AC266" s="345">
        <f t="shared" si="813"/>
        <v>45812</v>
      </c>
      <c r="AD266" s="371" t="str">
        <f t="shared" si="814"/>
        <v>水</v>
      </c>
      <c r="AE266" s="431"/>
      <c r="AF266" s="432"/>
      <c r="AG266" s="431"/>
      <c r="AH266" s="432"/>
      <c r="AI266" s="431"/>
      <c r="AJ266" s="432"/>
      <c r="AK266" s="330"/>
      <c r="AL266" s="351"/>
      <c r="AM266" s="431"/>
      <c r="AN266" s="432"/>
      <c r="AO266" s="431"/>
      <c r="AP266" s="432"/>
      <c r="AQ266" s="431"/>
      <c r="AR266" s="432"/>
      <c r="AS266" s="431"/>
      <c r="AT266" s="432"/>
      <c r="AU266" s="431"/>
      <c r="AV266" s="439"/>
      <c r="AW266" s="330"/>
      <c r="AX266" s="458"/>
      <c r="AY266" s="340"/>
      <c r="AZ266" s="341"/>
      <c r="BA266" s="342">
        <f ca="1">UDayCou(2,ROW())</f>
        <v>3</v>
      </c>
      <c r="BB266" s="343">
        <f ca="1">UNightCou(2,ROW())</f>
        <v>3</v>
      </c>
      <c r="BC266" s="344">
        <f ca="1">UNewCou(2,ROW())</f>
        <v>0</v>
      </c>
      <c r="BD266" s="327">
        <f t="shared" si="815"/>
        <v>45812</v>
      </c>
      <c r="BE266" s="371" t="str">
        <f t="shared" si="816"/>
        <v>水</v>
      </c>
      <c r="BF266" s="350"/>
      <c r="BG266" s="351"/>
      <c r="BH266" s="330"/>
      <c r="BI266" s="351"/>
      <c r="BJ266" s="330"/>
      <c r="BK266" s="351"/>
      <c r="BL266" s="330"/>
      <c r="BM266" s="351"/>
      <c r="BN266" s="330"/>
      <c r="BO266" s="351"/>
      <c r="BP266" s="330"/>
      <c r="BQ266" s="351"/>
      <c r="BR266" s="330"/>
      <c r="BS266" s="351"/>
      <c r="BT266" s="330"/>
      <c r="BU266" s="351"/>
      <c r="BV266" s="330"/>
      <c r="BW266" s="351"/>
      <c r="BX266" s="330"/>
      <c r="BY266" s="351"/>
      <c r="BZ266" s="389"/>
      <c r="CA266" s="341"/>
      <c r="CB266" s="342">
        <f ca="1">UDayCou(3,ROW())</f>
        <v>0</v>
      </c>
      <c r="CC266" s="343">
        <f ca="1">UNightCou(3,ROW())</f>
        <v>0</v>
      </c>
      <c r="CD266" s="344">
        <f ca="1">UNewCou(3,ROW())</f>
        <v>0</v>
      </c>
      <c r="CE266" s="327">
        <f t="shared" si="817"/>
        <v>45812</v>
      </c>
      <c r="CF266" s="371" t="str">
        <f t="shared" si="818"/>
        <v>水</v>
      </c>
      <c r="CG266" s="352">
        <f t="shared" ref="CG266" ca="1" si="1025">Z266+BA266+CB266</f>
        <v>5</v>
      </c>
      <c r="CH266" s="353">
        <f t="shared" ref="CH266" ca="1" si="1026">AA266+BB266+CC266</f>
        <v>5</v>
      </c>
      <c r="CI266" s="354">
        <f t="shared" ref="CI266" ca="1" si="1027">AB266+BC266+CD266</f>
        <v>2</v>
      </c>
      <c r="CJ266" s="355">
        <f ca="1">COUNTIF(INDIRECT("D314:CA315"),"*●*")</f>
        <v>0</v>
      </c>
      <c r="CK266" s="356">
        <f ca="1">COUNTIF(INDIRECT("D314:CA315"),"*㋷*")</f>
        <v>0</v>
      </c>
      <c r="CL266" s="75"/>
      <c r="CN266" s="160">
        <f t="shared" si="822"/>
        <v>45812</v>
      </c>
      <c r="CO266" s="162" t="str">
        <f t="shared" si="823"/>
        <v>水</v>
      </c>
      <c r="CP266" s="357"/>
      <c r="CQ266" s="358"/>
      <c r="CR266" s="359"/>
      <c r="CS266" s="358"/>
      <c r="CT266" s="359"/>
      <c r="CU266" s="358"/>
      <c r="CZ266" s="73">
        <v>6</v>
      </c>
      <c r="DA266" s="73">
        <v>6</v>
      </c>
      <c r="DB266" s="73">
        <v>4</v>
      </c>
      <c r="DC266" s="74">
        <f t="shared" si="799"/>
        <v>45812</v>
      </c>
      <c r="DD266" s="68" t="str">
        <f t="shared" si="839"/>
        <v>水</v>
      </c>
      <c r="DF266" s="155">
        <f t="shared" ref="DF266" si="1028">$DC266</f>
        <v>45812</v>
      </c>
      <c r="DG266" s="156" t="e">
        <f ca="1">IF($CH266&gt;=設定!$E$12,"✕",IF(SS予約表!$CG266&gt;=設定!$E$12,"△","○"))</f>
        <v>#NAME?</v>
      </c>
    </row>
    <row r="267" spans="1:112" ht="29.25" customHeight="1">
      <c r="A267" s="284"/>
      <c r="B267" s="285"/>
      <c r="C267" s="286" t="s">
        <v>28</v>
      </c>
      <c r="D267" s="287"/>
      <c r="E267" s="291"/>
      <c r="F267" s="299"/>
      <c r="G267" s="300"/>
      <c r="H267" s="290"/>
      <c r="I267" s="288"/>
      <c r="J267" s="289"/>
      <c r="K267" s="291"/>
      <c r="L267" s="289"/>
      <c r="M267" s="291"/>
      <c r="N267" s="289"/>
      <c r="O267" s="291"/>
      <c r="P267" s="289"/>
      <c r="Q267" s="291"/>
      <c r="R267" s="289"/>
      <c r="S267" s="291"/>
      <c r="T267" s="290"/>
      <c r="U267" s="288"/>
      <c r="V267" s="289"/>
      <c r="W267" s="291"/>
      <c r="X267" s="292"/>
      <c r="Y267" s="293"/>
      <c r="Z267" s="294"/>
      <c r="AA267" s="295"/>
      <c r="AB267" s="296"/>
      <c r="AC267" s="297"/>
      <c r="AD267" s="298"/>
      <c r="AE267" s="289">
        <v>10</v>
      </c>
      <c r="AF267" s="288" t="s">
        <v>160</v>
      </c>
      <c r="AG267" s="289"/>
      <c r="AH267" s="291"/>
      <c r="AI267" s="301"/>
      <c r="AJ267" s="302"/>
      <c r="AK267" s="301"/>
      <c r="AL267" s="302"/>
      <c r="AM267" s="289"/>
      <c r="AN267" s="291"/>
      <c r="AO267" s="289"/>
      <c r="AP267" s="291"/>
      <c r="AQ267" s="289"/>
      <c r="AR267" s="291"/>
      <c r="AS267" s="289"/>
      <c r="AT267" s="291"/>
      <c r="AU267" s="289"/>
      <c r="AV267" s="288"/>
      <c r="AW267" s="301"/>
      <c r="AX267" s="451"/>
      <c r="AY267" s="303"/>
      <c r="AZ267" s="304"/>
      <c r="BA267" s="294"/>
      <c r="BB267" s="295"/>
      <c r="BC267" s="296"/>
      <c r="BD267" s="284"/>
      <c r="BE267" s="298"/>
      <c r="BF267" s="305"/>
      <c r="BG267" s="302"/>
      <c r="BH267" s="301"/>
      <c r="BI267" s="302"/>
      <c r="BJ267" s="301"/>
      <c r="BK267" s="302"/>
      <c r="BL267" s="301"/>
      <c r="BM267" s="302"/>
      <c r="BN267" s="301"/>
      <c r="BO267" s="302"/>
      <c r="BP267" s="301"/>
      <c r="BQ267" s="302"/>
      <c r="BR267" s="301"/>
      <c r="BS267" s="302"/>
      <c r="BT267" s="301"/>
      <c r="BU267" s="302"/>
      <c r="BV267" s="301"/>
      <c r="BW267" s="302"/>
      <c r="BX267" s="301"/>
      <c r="BY267" s="302"/>
      <c r="BZ267" s="306"/>
      <c r="CA267" s="304"/>
      <c r="CB267" s="294"/>
      <c r="CC267" s="295"/>
      <c r="CD267" s="296"/>
      <c r="CE267" s="284"/>
      <c r="CF267" s="298"/>
      <c r="CG267" s="307"/>
      <c r="CH267" s="308"/>
      <c r="CI267" s="309"/>
      <c r="CJ267" s="310"/>
      <c r="CK267" s="311"/>
      <c r="CL267" s="75"/>
      <c r="CN267" s="161"/>
      <c r="CO267" s="163"/>
      <c r="CP267" s="315"/>
      <c r="CQ267" s="316"/>
      <c r="CR267" s="317"/>
      <c r="CS267" s="316"/>
      <c r="CT267" s="317"/>
      <c r="CU267" s="316"/>
      <c r="CZ267" s="73">
        <v>6</v>
      </c>
      <c r="DA267" s="73">
        <v>6</v>
      </c>
      <c r="DB267" s="73">
        <v>4</v>
      </c>
      <c r="DC267" s="74">
        <f t="shared" si="799"/>
        <v>45812</v>
      </c>
      <c r="DD267" s="68" t="str">
        <f t="shared" si="839"/>
        <v>水</v>
      </c>
      <c r="DF267" s="156"/>
      <c r="DG267" s="156"/>
    </row>
    <row r="268" spans="1:112" ht="28.5" customHeight="1">
      <c r="A268" s="327">
        <f t="shared" si="808"/>
        <v>45813</v>
      </c>
      <c r="B268" s="365" t="str">
        <f t="shared" si="809"/>
        <v>木</v>
      </c>
      <c r="C268" s="329" t="s">
        <v>27</v>
      </c>
      <c r="D268" s="405"/>
      <c r="E268" s="432"/>
      <c r="F268" s="335"/>
      <c r="G268" s="347"/>
      <c r="H268" s="482"/>
      <c r="I268" s="439"/>
      <c r="J268" s="431"/>
      <c r="K268" s="432"/>
      <c r="L268" s="431"/>
      <c r="M268" s="432"/>
      <c r="N268" s="431"/>
      <c r="O268" s="432"/>
      <c r="P268" s="431"/>
      <c r="Q268" s="432"/>
      <c r="R268" s="431"/>
      <c r="S268" s="432"/>
      <c r="T268" s="482"/>
      <c r="U268" s="439"/>
      <c r="V268" s="431"/>
      <c r="W268" s="432"/>
      <c r="X268" s="483"/>
      <c r="Y268" s="485"/>
      <c r="Z268" s="342">
        <f t="shared" ref="Z268" ca="1" si="1029">UDayCou(1,ROW())</f>
        <v>2</v>
      </c>
      <c r="AA268" s="343">
        <f t="shared" ref="AA268" ca="1" si="1030">UNightCou(1,ROW())</f>
        <v>2</v>
      </c>
      <c r="AB268" s="344">
        <f t="shared" ref="AB268" ca="1" si="1031">UNewCou(1,ROW())</f>
        <v>2</v>
      </c>
      <c r="AC268" s="345">
        <f t="shared" si="813"/>
        <v>45813</v>
      </c>
      <c r="AD268" s="371" t="str">
        <f t="shared" si="814"/>
        <v>木</v>
      </c>
      <c r="AE268" s="431"/>
      <c r="AF268" s="439"/>
      <c r="AG268" s="431"/>
      <c r="AH268" s="432"/>
      <c r="AI268" s="330"/>
      <c r="AJ268" s="351"/>
      <c r="AK268" s="330"/>
      <c r="AL268" s="351"/>
      <c r="AM268" s="431"/>
      <c r="AN268" s="432"/>
      <c r="AO268" s="330"/>
      <c r="AP268" s="351"/>
      <c r="AQ268" s="431"/>
      <c r="AR268" s="432"/>
      <c r="AS268" s="330"/>
      <c r="AT268" s="351"/>
      <c r="AU268" s="431"/>
      <c r="AV268" s="439"/>
      <c r="AW268" s="330"/>
      <c r="AX268" s="458"/>
      <c r="AY268" s="340"/>
      <c r="AZ268" s="341"/>
      <c r="BA268" s="342">
        <f ca="1">UDayCou(2,ROW())</f>
        <v>3</v>
      </c>
      <c r="BB268" s="343">
        <f ca="1">UNightCou(2,ROW())</f>
        <v>3</v>
      </c>
      <c r="BC268" s="344">
        <f ca="1">UNewCou(2,ROW())</f>
        <v>0</v>
      </c>
      <c r="BD268" s="327">
        <f t="shared" si="815"/>
        <v>45813</v>
      </c>
      <c r="BE268" s="371" t="str">
        <f t="shared" si="816"/>
        <v>木</v>
      </c>
      <c r="BF268" s="350"/>
      <c r="BG268" s="351"/>
      <c r="BH268" s="330"/>
      <c r="BI268" s="351"/>
      <c r="BJ268" s="330"/>
      <c r="BK268" s="351"/>
      <c r="BL268" s="330"/>
      <c r="BM268" s="351"/>
      <c r="BN268" s="330"/>
      <c r="BO268" s="351"/>
      <c r="BP268" s="330"/>
      <c r="BQ268" s="351"/>
      <c r="BR268" s="330"/>
      <c r="BS268" s="351"/>
      <c r="BT268" s="330"/>
      <c r="BU268" s="351"/>
      <c r="BV268" s="330"/>
      <c r="BW268" s="351"/>
      <c r="BX268" s="330"/>
      <c r="BY268" s="351"/>
      <c r="BZ268" s="389"/>
      <c r="CA268" s="341"/>
      <c r="CB268" s="342">
        <f ca="1">UDayCou(3,ROW())</f>
        <v>0</v>
      </c>
      <c r="CC268" s="343">
        <f ca="1">UNightCou(3,ROW())</f>
        <v>0</v>
      </c>
      <c r="CD268" s="344">
        <f ca="1">UNewCou(3,ROW())</f>
        <v>0</v>
      </c>
      <c r="CE268" s="327">
        <f t="shared" si="817"/>
        <v>45813</v>
      </c>
      <c r="CF268" s="371" t="str">
        <f t="shared" si="818"/>
        <v>木</v>
      </c>
      <c r="CG268" s="352">
        <f t="shared" ref="CG268" ca="1" si="1032">Z268+BA268+CB268</f>
        <v>5</v>
      </c>
      <c r="CH268" s="353">
        <f t="shared" ref="CH268" ca="1" si="1033">AA268+BB268+CC268</f>
        <v>5</v>
      </c>
      <c r="CI268" s="354">
        <f t="shared" ref="CI268" ca="1" si="1034">AB268+BC268+CD268</f>
        <v>2</v>
      </c>
      <c r="CJ268" s="355">
        <f ca="1">COUNTIF(INDIRECT("D316:CA317"),"*●*")</f>
        <v>0</v>
      </c>
      <c r="CK268" s="356">
        <f ca="1">COUNTIF(INDIRECT("D316:CA317"),"*㋷*")</f>
        <v>0</v>
      </c>
      <c r="CL268" s="75"/>
      <c r="CN268" s="160">
        <f t="shared" si="822"/>
        <v>45813</v>
      </c>
      <c r="CO268" s="162" t="str">
        <f t="shared" si="823"/>
        <v>木</v>
      </c>
      <c r="CP268" s="357"/>
      <c r="CQ268" s="358"/>
      <c r="CR268" s="359"/>
      <c r="CS268" s="358"/>
      <c r="CT268" s="359"/>
      <c r="CU268" s="358"/>
      <c r="CZ268" s="73">
        <v>6</v>
      </c>
      <c r="DA268" s="73">
        <v>6</v>
      </c>
      <c r="DB268" s="73">
        <v>5</v>
      </c>
      <c r="DC268" s="74">
        <f t="shared" ref="DC268:DC285" si="1035">DATE($A$2,$DA268,$DB268)</f>
        <v>45813</v>
      </c>
      <c r="DD268" s="68" t="str">
        <f t="shared" si="839"/>
        <v>木</v>
      </c>
      <c r="DF268" s="155">
        <f t="shared" ref="DF268" si="1036">$DC268</f>
        <v>45813</v>
      </c>
      <c r="DG268" s="156" t="e">
        <f ca="1">IF($CH268&gt;=設定!$E$12,"✕",IF(SS予約表!$CG268&gt;=設定!$E$12,"△","○"))</f>
        <v>#NAME?</v>
      </c>
    </row>
    <row r="269" spans="1:112" ht="29.25" customHeight="1" thickBot="1">
      <c r="A269" s="284"/>
      <c r="B269" s="285"/>
      <c r="C269" s="286" t="s">
        <v>28</v>
      </c>
      <c r="D269" s="287"/>
      <c r="E269" s="291"/>
      <c r="F269" s="299"/>
      <c r="G269" s="300"/>
      <c r="H269" s="290"/>
      <c r="I269" s="288"/>
      <c r="J269" s="289"/>
      <c r="K269" s="291"/>
      <c r="L269" s="289"/>
      <c r="M269" s="291"/>
      <c r="N269" s="289"/>
      <c r="O269" s="291"/>
      <c r="P269" s="289"/>
      <c r="Q269" s="291"/>
      <c r="R269" s="289"/>
      <c r="S269" s="291"/>
      <c r="T269" s="290"/>
      <c r="U269" s="288"/>
      <c r="V269" s="289"/>
      <c r="W269" s="291"/>
      <c r="X269" s="292"/>
      <c r="Y269" s="293"/>
      <c r="Z269" s="294"/>
      <c r="AA269" s="295"/>
      <c r="AB269" s="296"/>
      <c r="AC269" s="297"/>
      <c r="AD269" s="298"/>
      <c r="AE269" s="289"/>
      <c r="AF269" s="288"/>
      <c r="AG269" s="289"/>
      <c r="AH269" s="291"/>
      <c r="AI269" s="301"/>
      <c r="AJ269" s="302"/>
      <c r="AK269" s="301"/>
      <c r="AL269" s="302"/>
      <c r="AM269" s="289"/>
      <c r="AN269" s="291"/>
      <c r="AO269" s="301"/>
      <c r="AP269" s="302"/>
      <c r="AQ269" s="289"/>
      <c r="AR269" s="291"/>
      <c r="AS269" s="301"/>
      <c r="AT269" s="302"/>
      <c r="AU269" s="289"/>
      <c r="AV269" s="288"/>
      <c r="AW269" s="301"/>
      <c r="AX269" s="451"/>
      <c r="AY269" s="303"/>
      <c r="AZ269" s="304"/>
      <c r="BA269" s="294"/>
      <c r="BB269" s="295"/>
      <c r="BC269" s="296"/>
      <c r="BD269" s="284"/>
      <c r="BE269" s="298"/>
      <c r="BF269" s="305"/>
      <c r="BG269" s="302"/>
      <c r="BH269" s="301"/>
      <c r="BI269" s="302"/>
      <c r="BJ269" s="301"/>
      <c r="BK269" s="302"/>
      <c r="BL269" s="301"/>
      <c r="BM269" s="302"/>
      <c r="BN269" s="301"/>
      <c r="BO269" s="302"/>
      <c r="BP269" s="301"/>
      <c r="BQ269" s="302"/>
      <c r="BR269" s="301"/>
      <c r="BS269" s="302"/>
      <c r="BT269" s="301"/>
      <c r="BU269" s="302"/>
      <c r="BV269" s="301"/>
      <c r="BW269" s="302"/>
      <c r="BX269" s="301"/>
      <c r="BY269" s="302"/>
      <c r="BZ269" s="306"/>
      <c r="CA269" s="304"/>
      <c r="CB269" s="294"/>
      <c r="CC269" s="295"/>
      <c r="CD269" s="296"/>
      <c r="CE269" s="284"/>
      <c r="CF269" s="298"/>
      <c r="CG269" s="307"/>
      <c r="CH269" s="308"/>
      <c r="CI269" s="309"/>
      <c r="CJ269" s="310"/>
      <c r="CK269" s="311"/>
      <c r="CL269" s="75"/>
      <c r="CN269" s="161"/>
      <c r="CO269" s="163"/>
      <c r="CP269" s="315"/>
      <c r="CQ269" s="316"/>
      <c r="CR269" s="317"/>
      <c r="CS269" s="316"/>
      <c r="CT269" s="317"/>
      <c r="CU269" s="316"/>
      <c r="CZ269" s="73">
        <v>6</v>
      </c>
      <c r="DA269" s="73">
        <v>6</v>
      </c>
      <c r="DB269" s="73">
        <v>5</v>
      </c>
      <c r="DC269" s="74">
        <f t="shared" si="1035"/>
        <v>45813</v>
      </c>
      <c r="DD269" s="68" t="str">
        <f t="shared" si="839"/>
        <v>木</v>
      </c>
      <c r="DF269" s="156"/>
      <c r="DG269" s="156"/>
    </row>
    <row r="270" spans="1:112" ht="28.5" customHeight="1">
      <c r="A270" s="491">
        <f t="shared" si="808"/>
        <v>45814</v>
      </c>
      <c r="B270" s="524" t="str">
        <f t="shared" si="809"/>
        <v>金</v>
      </c>
      <c r="C270" s="493" t="s">
        <v>27</v>
      </c>
      <c r="D270" s="542"/>
      <c r="E270" s="551"/>
      <c r="F270" s="499"/>
      <c r="G270" s="511"/>
      <c r="H270" s="578"/>
      <c r="I270" s="577"/>
      <c r="J270" s="550"/>
      <c r="K270" s="551"/>
      <c r="L270" s="550"/>
      <c r="M270" s="551"/>
      <c r="N270" s="550"/>
      <c r="O270" s="551"/>
      <c r="P270" s="550"/>
      <c r="Q270" s="551"/>
      <c r="R270" s="550"/>
      <c r="S270" s="551"/>
      <c r="T270" s="583">
        <v>15</v>
      </c>
      <c r="U270" s="576"/>
      <c r="V270" s="550"/>
      <c r="W270" s="551"/>
      <c r="X270" s="581"/>
      <c r="Y270" s="580"/>
      <c r="Z270" s="506">
        <f t="shared" ref="Z270" ca="1" si="1037">UDayCou(1,ROW())</f>
        <v>3</v>
      </c>
      <c r="AA270" s="507">
        <f t="shared" ref="AA270" ca="1" si="1038">UNightCou(1,ROW())</f>
        <v>2</v>
      </c>
      <c r="AB270" s="508">
        <f t="shared" ref="AB270" ca="1" si="1039">UNewCou(1,ROW())</f>
        <v>2</v>
      </c>
      <c r="AC270" s="509">
        <f t="shared" si="813"/>
        <v>45814</v>
      </c>
      <c r="AD270" s="531" t="str">
        <f t="shared" si="814"/>
        <v>金</v>
      </c>
      <c r="AE270" s="550"/>
      <c r="AF270" s="577"/>
      <c r="AG270" s="550"/>
      <c r="AH270" s="551"/>
      <c r="AI270" s="494"/>
      <c r="AJ270" s="515"/>
      <c r="AK270" s="494"/>
      <c r="AL270" s="515"/>
      <c r="AM270" s="550"/>
      <c r="AN270" s="551"/>
      <c r="AO270" s="494"/>
      <c r="AP270" s="515"/>
      <c r="AQ270" s="550"/>
      <c r="AR270" s="551"/>
      <c r="AS270" s="494"/>
      <c r="AT270" s="515"/>
      <c r="AU270" s="550"/>
      <c r="AV270" s="577"/>
      <c r="AW270" s="494"/>
      <c r="AX270" s="584"/>
      <c r="AY270" s="504"/>
      <c r="AZ270" s="505"/>
      <c r="BA270" s="506">
        <f ca="1">UDayCou(2,ROW())</f>
        <v>3</v>
      </c>
      <c r="BB270" s="507">
        <f ca="1">UNightCou(2,ROW())</f>
        <v>3</v>
      </c>
      <c r="BC270" s="508">
        <f ca="1">UNewCou(2,ROW())</f>
        <v>0</v>
      </c>
      <c r="BD270" s="491">
        <f t="shared" si="815"/>
        <v>45814</v>
      </c>
      <c r="BE270" s="531" t="str">
        <f t="shared" si="816"/>
        <v>金</v>
      </c>
      <c r="BF270" s="514"/>
      <c r="BG270" s="515"/>
      <c r="BH270" s="494"/>
      <c r="BI270" s="515"/>
      <c r="BJ270" s="494"/>
      <c r="BK270" s="515"/>
      <c r="BL270" s="494"/>
      <c r="BM270" s="515"/>
      <c r="BN270" s="494"/>
      <c r="BO270" s="515"/>
      <c r="BP270" s="494"/>
      <c r="BQ270" s="515"/>
      <c r="BR270" s="494"/>
      <c r="BS270" s="515"/>
      <c r="BT270" s="494"/>
      <c r="BU270" s="515"/>
      <c r="BV270" s="494"/>
      <c r="BW270" s="515"/>
      <c r="BX270" s="494"/>
      <c r="BY270" s="515"/>
      <c r="BZ270" s="530"/>
      <c r="CA270" s="505"/>
      <c r="CB270" s="506">
        <f ca="1">UDayCou(3,ROW())</f>
        <v>0</v>
      </c>
      <c r="CC270" s="507">
        <f ca="1">UNightCou(3,ROW())</f>
        <v>0</v>
      </c>
      <c r="CD270" s="508">
        <f ca="1">UNewCou(3,ROW())</f>
        <v>0</v>
      </c>
      <c r="CE270" s="491">
        <f t="shared" si="817"/>
        <v>45814</v>
      </c>
      <c r="CF270" s="531" t="str">
        <f t="shared" si="818"/>
        <v>金</v>
      </c>
      <c r="CG270" s="516">
        <f t="shared" ref="CG270" ca="1" si="1040">Z270+BA270+CB270</f>
        <v>6</v>
      </c>
      <c r="CH270" s="517">
        <f t="shared" ref="CH270" ca="1" si="1041">AA270+BB270+CC270</f>
        <v>5</v>
      </c>
      <c r="CI270" s="518">
        <f t="shared" ref="CI270" ca="1" si="1042">AB270+BC270+CD270</f>
        <v>2</v>
      </c>
      <c r="CJ270" s="519">
        <f ca="1">COUNTIF(INDIRECT("D318:CA319"),"*●*")</f>
        <v>0</v>
      </c>
      <c r="CK270" s="520">
        <f ca="1">COUNTIF(INDIRECT("D318:CA319"),"*㋷*")</f>
        <v>0</v>
      </c>
      <c r="CL270" s="75"/>
      <c r="CN270" s="164">
        <f t="shared" si="822"/>
        <v>45814</v>
      </c>
      <c r="CO270" s="165" t="str">
        <f t="shared" si="823"/>
        <v>金</v>
      </c>
      <c r="CP270" s="521"/>
      <c r="CQ270" s="522"/>
      <c r="CR270" s="523"/>
      <c r="CS270" s="522"/>
      <c r="CT270" s="523"/>
      <c r="CU270" s="522"/>
      <c r="CZ270" s="73">
        <v>6</v>
      </c>
      <c r="DA270" s="73">
        <v>6</v>
      </c>
      <c r="DB270" s="73">
        <v>6</v>
      </c>
      <c r="DC270" s="74">
        <f t="shared" si="1035"/>
        <v>45814</v>
      </c>
      <c r="DD270" s="68" t="str">
        <f t="shared" si="839"/>
        <v>金</v>
      </c>
      <c r="DF270" s="155">
        <f t="shared" ref="DF270" si="1043">$DC270</f>
        <v>45814</v>
      </c>
      <c r="DG270" s="156" t="e">
        <f ca="1">IF($CH270&gt;=設定!$E$12,"✕",IF(SS予約表!$CG270&gt;=設定!$E$12,"△","○"))</f>
        <v>#NAME?</v>
      </c>
    </row>
    <row r="271" spans="1:112" ht="29.25" customHeight="1">
      <c r="A271" s="284"/>
      <c r="B271" s="285"/>
      <c r="C271" s="286" t="s">
        <v>28</v>
      </c>
      <c r="D271" s="287"/>
      <c r="E271" s="291"/>
      <c r="F271" s="299">
        <v>10</v>
      </c>
      <c r="G271" s="322" t="s">
        <v>262</v>
      </c>
      <c r="H271" s="290"/>
      <c r="I271" s="288"/>
      <c r="J271" s="289"/>
      <c r="K271" s="291"/>
      <c r="L271" s="289"/>
      <c r="M271" s="291"/>
      <c r="N271" s="289"/>
      <c r="O271" s="291"/>
      <c r="P271" s="289"/>
      <c r="Q271" s="291"/>
      <c r="R271" s="289"/>
      <c r="S271" s="291"/>
      <c r="T271" s="289"/>
      <c r="U271" s="291"/>
      <c r="V271" s="289"/>
      <c r="W271" s="291"/>
      <c r="X271" s="292"/>
      <c r="Y271" s="293"/>
      <c r="Z271" s="294"/>
      <c r="AA271" s="295"/>
      <c r="AB271" s="296"/>
      <c r="AC271" s="297"/>
      <c r="AD271" s="298"/>
      <c r="AE271" s="289"/>
      <c r="AF271" s="288"/>
      <c r="AG271" s="289"/>
      <c r="AH271" s="291"/>
      <c r="AI271" s="301"/>
      <c r="AJ271" s="302"/>
      <c r="AK271" s="301"/>
      <c r="AL271" s="302"/>
      <c r="AM271" s="289"/>
      <c r="AN271" s="291"/>
      <c r="AO271" s="301"/>
      <c r="AP271" s="302"/>
      <c r="AQ271" s="289"/>
      <c r="AR271" s="291"/>
      <c r="AS271" s="301"/>
      <c r="AT271" s="302"/>
      <c r="AU271" s="289"/>
      <c r="AV271" s="288"/>
      <c r="AW271" s="301"/>
      <c r="AX271" s="451"/>
      <c r="AY271" s="303"/>
      <c r="AZ271" s="304"/>
      <c r="BA271" s="294"/>
      <c r="BB271" s="295"/>
      <c r="BC271" s="296"/>
      <c r="BD271" s="284"/>
      <c r="BE271" s="298"/>
      <c r="BF271" s="305"/>
      <c r="BG271" s="302"/>
      <c r="BH271" s="301"/>
      <c r="BI271" s="302"/>
      <c r="BJ271" s="301"/>
      <c r="BK271" s="302"/>
      <c r="BL271" s="301"/>
      <c r="BM271" s="302"/>
      <c r="BN271" s="301"/>
      <c r="BO271" s="302"/>
      <c r="BP271" s="301"/>
      <c r="BQ271" s="302"/>
      <c r="BR271" s="301"/>
      <c r="BS271" s="302"/>
      <c r="BT271" s="301"/>
      <c r="BU271" s="302"/>
      <c r="BV271" s="301"/>
      <c r="BW271" s="302"/>
      <c r="BX271" s="301"/>
      <c r="BY271" s="302"/>
      <c r="BZ271" s="306"/>
      <c r="CA271" s="304"/>
      <c r="CB271" s="294"/>
      <c r="CC271" s="295"/>
      <c r="CD271" s="296"/>
      <c r="CE271" s="284"/>
      <c r="CF271" s="298"/>
      <c r="CG271" s="307"/>
      <c r="CH271" s="308"/>
      <c r="CI271" s="309"/>
      <c r="CJ271" s="310"/>
      <c r="CK271" s="311"/>
      <c r="CL271" s="75"/>
      <c r="CN271" s="161"/>
      <c r="CO271" s="163"/>
      <c r="CP271" s="315"/>
      <c r="CQ271" s="316"/>
      <c r="CR271" s="317"/>
      <c r="CS271" s="316"/>
      <c r="CT271" s="317"/>
      <c r="CU271" s="316"/>
      <c r="CZ271" s="73">
        <v>6</v>
      </c>
      <c r="DA271" s="73">
        <v>6</v>
      </c>
      <c r="DB271" s="73">
        <v>6</v>
      </c>
      <c r="DC271" s="74">
        <f t="shared" si="1035"/>
        <v>45814</v>
      </c>
      <c r="DD271" s="68" t="str">
        <f t="shared" si="839"/>
        <v>金</v>
      </c>
      <c r="DF271" s="156"/>
      <c r="DG271" s="156"/>
    </row>
    <row r="272" spans="1:112" ht="28.5" customHeight="1">
      <c r="A272" s="327">
        <f t="shared" ref="A272:A284" si="1044">$DC272</f>
        <v>45815</v>
      </c>
      <c r="B272" s="393" t="str">
        <f t="shared" ref="B272:B284" si="1045">TEXT($A272,"aaa")</f>
        <v>土</v>
      </c>
      <c r="C272" s="329" t="s">
        <v>27</v>
      </c>
      <c r="D272" s="405"/>
      <c r="E272" s="432"/>
      <c r="F272" s="335"/>
      <c r="G272" s="409"/>
      <c r="H272" s="482"/>
      <c r="I272" s="439"/>
      <c r="J272" s="431"/>
      <c r="K272" s="432"/>
      <c r="L272" s="431"/>
      <c r="M272" s="432"/>
      <c r="N272" s="431"/>
      <c r="O272" s="432"/>
      <c r="P272" s="431"/>
      <c r="Q272" s="432"/>
      <c r="R272" s="431"/>
      <c r="S272" s="432"/>
      <c r="T272" s="431"/>
      <c r="U272" s="432"/>
      <c r="V272" s="431"/>
      <c r="W272" s="432"/>
      <c r="X272" s="483"/>
      <c r="Y272" s="485"/>
      <c r="Z272" s="342">
        <f t="shared" ref="Z272" ca="1" si="1046">UDayCou(1,ROW())</f>
        <v>3</v>
      </c>
      <c r="AA272" s="343">
        <f t="shared" ref="AA272" ca="1" si="1047">UNightCou(1,ROW())</f>
        <v>3</v>
      </c>
      <c r="AB272" s="344">
        <f t="shared" ref="AB272" ca="1" si="1048">UNewCou(1,ROW())</f>
        <v>1</v>
      </c>
      <c r="AC272" s="345">
        <f t="shared" ref="AC272:AC284" si="1049">$A272</f>
        <v>45815</v>
      </c>
      <c r="AD272" s="394" t="str">
        <f t="shared" ref="AD272:AD284" si="1050">$B272</f>
        <v>土</v>
      </c>
      <c r="AE272" s="431"/>
      <c r="AF272" s="439"/>
      <c r="AG272" s="431"/>
      <c r="AH272" s="432"/>
      <c r="AI272" s="330"/>
      <c r="AJ272" s="351"/>
      <c r="AK272" s="330"/>
      <c r="AL272" s="351"/>
      <c r="AM272" s="431"/>
      <c r="AN272" s="432"/>
      <c r="AO272" s="330"/>
      <c r="AP272" s="351"/>
      <c r="AQ272" s="431"/>
      <c r="AR272" s="432"/>
      <c r="AS272" s="330"/>
      <c r="AT272" s="351"/>
      <c r="AU272" s="431"/>
      <c r="AV272" s="439"/>
      <c r="AW272" s="330"/>
      <c r="AX272" s="458"/>
      <c r="AY272" s="340"/>
      <c r="AZ272" s="341"/>
      <c r="BA272" s="342">
        <f ca="1">UDayCou(2,ROW())</f>
        <v>3</v>
      </c>
      <c r="BB272" s="343">
        <f ca="1">UNightCou(2,ROW())</f>
        <v>3</v>
      </c>
      <c r="BC272" s="344">
        <f ca="1">UNewCou(2,ROW())</f>
        <v>0</v>
      </c>
      <c r="BD272" s="327">
        <f t="shared" ref="BD272:BD284" si="1051">$A272</f>
        <v>45815</v>
      </c>
      <c r="BE272" s="394" t="str">
        <f t="shared" ref="BE272:BE284" si="1052">$B272</f>
        <v>土</v>
      </c>
      <c r="BF272" s="350"/>
      <c r="BG272" s="351"/>
      <c r="BH272" s="330"/>
      <c r="BI272" s="351"/>
      <c r="BJ272" s="330"/>
      <c r="BK272" s="351"/>
      <c r="BL272" s="330"/>
      <c r="BM272" s="351"/>
      <c r="BN272" s="330"/>
      <c r="BO272" s="351"/>
      <c r="BP272" s="330"/>
      <c r="BQ272" s="351"/>
      <c r="BR272" s="330"/>
      <c r="BS272" s="351"/>
      <c r="BT272" s="330"/>
      <c r="BU272" s="351"/>
      <c r="BV272" s="330"/>
      <c r="BW272" s="351"/>
      <c r="BX272" s="330"/>
      <c r="BY272" s="351"/>
      <c r="BZ272" s="389"/>
      <c r="CA272" s="341"/>
      <c r="CB272" s="342">
        <f ca="1">UDayCou(3,ROW())</f>
        <v>0</v>
      </c>
      <c r="CC272" s="343">
        <f ca="1">UNightCou(3,ROW())</f>
        <v>0</v>
      </c>
      <c r="CD272" s="344">
        <f ca="1">UNewCou(3,ROW())</f>
        <v>0</v>
      </c>
      <c r="CE272" s="327">
        <f t="shared" ref="CE272:CE284" si="1053">$A272</f>
        <v>45815</v>
      </c>
      <c r="CF272" s="394" t="str">
        <f t="shared" ref="CF272:CF284" si="1054">$B272</f>
        <v>土</v>
      </c>
      <c r="CG272" s="352">
        <f t="shared" ref="CG272" ca="1" si="1055">Z272+BA272+CB272</f>
        <v>6</v>
      </c>
      <c r="CH272" s="353">
        <f t="shared" ref="CH272" ca="1" si="1056">AA272+BB272+CC272</f>
        <v>6</v>
      </c>
      <c r="CI272" s="354">
        <f t="shared" ref="CI272" ca="1" si="1057">AB272+BC272+CD272</f>
        <v>1</v>
      </c>
      <c r="CJ272" s="355">
        <f ca="1">COUNTIF(INDIRECT("D320:CA321"),"*●*")</f>
        <v>0</v>
      </c>
      <c r="CK272" s="356">
        <f ca="1">COUNTIF(INDIRECT("D320:CA321"),"*㋷*")</f>
        <v>0</v>
      </c>
      <c r="CL272" s="75"/>
      <c r="CN272" s="160">
        <f t="shared" ref="CN272:CN284" si="1058">$A272</f>
        <v>45815</v>
      </c>
      <c r="CO272" s="167" t="str">
        <f t="shared" ref="CO272:CO284" si="1059">$B272</f>
        <v>土</v>
      </c>
      <c r="CP272" s="357"/>
      <c r="CQ272" s="358"/>
      <c r="CR272" s="359"/>
      <c r="CS272" s="358"/>
      <c r="CT272" s="359"/>
      <c r="CU272" s="358"/>
      <c r="CZ272" s="73">
        <v>6</v>
      </c>
      <c r="DA272" s="73">
        <v>6</v>
      </c>
      <c r="DB272" s="73">
        <v>7</v>
      </c>
      <c r="DC272" s="74">
        <f t="shared" si="1035"/>
        <v>45815</v>
      </c>
      <c r="DD272" s="68" t="str">
        <f t="shared" si="839"/>
        <v>土</v>
      </c>
      <c r="DF272" s="155">
        <f t="shared" ref="DF272" si="1060">$DC272</f>
        <v>45815</v>
      </c>
      <c r="DG272" s="156" t="e">
        <f ca="1">IF($CH272&gt;=設定!$E$12,"✕",IF(SS予約表!$CG272&gt;=設定!$E$12,"△","○"))</f>
        <v>#NAME?</v>
      </c>
    </row>
    <row r="273" spans="1:111" ht="29.25" customHeight="1">
      <c r="A273" s="284"/>
      <c r="B273" s="285"/>
      <c r="C273" s="286" t="s">
        <v>28</v>
      </c>
      <c r="D273" s="287">
        <v>10</v>
      </c>
      <c r="E273" s="288" t="s">
        <v>245</v>
      </c>
      <c r="F273" s="299"/>
      <c r="G273" s="322"/>
      <c r="H273" s="290"/>
      <c r="I273" s="288"/>
      <c r="J273" s="289"/>
      <c r="K273" s="291"/>
      <c r="L273" s="289"/>
      <c r="M273" s="291"/>
      <c r="N273" s="289"/>
      <c r="O273" s="291"/>
      <c r="P273" s="289"/>
      <c r="Q273" s="291"/>
      <c r="R273" s="289"/>
      <c r="S273" s="291"/>
      <c r="T273" s="289"/>
      <c r="U273" s="291"/>
      <c r="V273" s="289"/>
      <c r="W273" s="291"/>
      <c r="X273" s="292"/>
      <c r="Y273" s="293"/>
      <c r="Z273" s="294"/>
      <c r="AA273" s="295"/>
      <c r="AB273" s="296"/>
      <c r="AC273" s="297"/>
      <c r="AD273" s="298"/>
      <c r="AE273" s="289"/>
      <c r="AF273" s="288"/>
      <c r="AG273" s="289"/>
      <c r="AH273" s="291"/>
      <c r="AI273" s="301"/>
      <c r="AJ273" s="302"/>
      <c r="AK273" s="301"/>
      <c r="AL273" s="302"/>
      <c r="AM273" s="301"/>
      <c r="AN273" s="302"/>
      <c r="AO273" s="301"/>
      <c r="AP273" s="302"/>
      <c r="AQ273" s="289"/>
      <c r="AR273" s="291"/>
      <c r="AS273" s="301"/>
      <c r="AT273" s="302"/>
      <c r="AU273" s="289"/>
      <c r="AV273" s="288"/>
      <c r="AW273" s="301"/>
      <c r="AX273" s="451"/>
      <c r="AY273" s="303"/>
      <c r="AZ273" s="304"/>
      <c r="BA273" s="294"/>
      <c r="BB273" s="295"/>
      <c r="BC273" s="296"/>
      <c r="BD273" s="284"/>
      <c r="BE273" s="298"/>
      <c r="BF273" s="305"/>
      <c r="BG273" s="302"/>
      <c r="BH273" s="301"/>
      <c r="BI273" s="302"/>
      <c r="BJ273" s="301"/>
      <c r="BK273" s="302"/>
      <c r="BL273" s="301"/>
      <c r="BM273" s="302"/>
      <c r="BN273" s="301"/>
      <c r="BO273" s="302"/>
      <c r="BP273" s="301"/>
      <c r="BQ273" s="302"/>
      <c r="BR273" s="301"/>
      <c r="BS273" s="302"/>
      <c r="BT273" s="301"/>
      <c r="BU273" s="302"/>
      <c r="BV273" s="301"/>
      <c r="BW273" s="302"/>
      <c r="BX273" s="301"/>
      <c r="BY273" s="302"/>
      <c r="BZ273" s="306"/>
      <c r="CA273" s="304"/>
      <c r="CB273" s="294"/>
      <c r="CC273" s="295"/>
      <c r="CD273" s="296"/>
      <c r="CE273" s="284"/>
      <c r="CF273" s="298"/>
      <c r="CG273" s="307"/>
      <c r="CH273" s="308"/>
      <c r="CI273" s="309"/>
      <c r="CJ273" s="310"/>
      <c r="CK273" s="311"/>
      <c r="CL273" s="75"/>
      <c r="CN273" s="161"/>
      <c r="CO273" s="163"/>
      <c r="CP273" s="315"/>
      <c r="CQ273" s="316"/>
      <c r="CR273" s="317"/>
      <c r="CS273" s="316"/>
      <c r="CT273" s="317"/>
      <c r="CU273" s="316"/>
      <c r="CZ273" s="73">
        <v>6</v>
      </c>
      <c r="DA273" s="73">
        <v>6</v>
      </c>
      <c r="DB273" s="73">
        <v>7</v>
      </c>
      <c r="DC273" s="74">
        <f t="shared" si="1035"/>
        <v>45815</v>
      </c>
      <c r="DD273" s="68" t="str">
        <f t="shared" si="839"/>
        <v>土</v>
      </c>
      <c r="DF273" s="156"/>
      <c r="DG273" s="156"/>
    </row>
    <row r="274" spans="1:111" ht="28.5" customHeight="1">
      <c r="A274" s="327">
        <f t="shared" si="1044"/>
        <v>45816</v>
      </c>
      <c r="B274" s="328" t="str">
        <f t="shared" si="1045"/>
        <v>日</v>
      </c>
      <c r="C274" s="329" t="s">
        <v>27</v>
      </c>
      <c r="D274" s="405"/>
      <c r="E274" s="439"/>
      <c r="F274" s="335">
        <v>15</v>
      </c>
      <c r="G274" s="367"/>
      <c r="H274" s="482"/>
      <c r="I274" s="439"/>
      <c r="J274" s="431"/>
      <c r="K274" s="432"/>
      <c r="L274" s="431"/>
      <c r="M274" s="432"/>
      <c r="N274" s="431"/>
      <c r="O274" s="432"/>
      <c r="P274" s="431"/>
      <c r="Q274" s="432"/>
      <c r="R274" s="431"/>
      <c r="S274" s="432"/>
      <c r="T274" s="431"/>
      <c r="U274" s="432"/>
      <c r="V274" s="431"/>
      <c r="W274" s="432"/>
      <c r="X274" s="483"/>
      <c r="Y274" s="485"/>
      <c r="Z274" s="342">
        <f t="shared" ref="Z274" ca="1" si="1061">UDayCou(1,ROW())</f>
        <v>3</v>
      </c>
      <c r="AA274" s="343">
        <f t="shared" ref="AA274" ca="1" si="1062">UNightCou(1,ROW())</f>
        <v>2</v>
      </c>
      <c r="AB274" s="344">
        <f t="shared" ref="AB274" ca="1" si="1063">UNewCou(1,ROW())</f>
        <v>1</v>
      </c>
      <c r="AC274" s="345">
        <f t="shared" si="1049"/>
        <v>45816</v>
      </c>
      <c r="AD274" s="346" t="str">
        <f t="shared" si="1050"/>
        <v>日</v>
      </c>
      <c r="AE274" s="431">
        <v>15</v>
      </c>
      <c r="AF274" s="453"/>
      <c r="AG274" s="431"/>
      <c r="AH274" s="432"/>
      <c r="AI274" s="330"/>
      <c r="AJ274" s="351"/>
      <c r="AK274" s="330"/>
      <c r="AL274" s="351"/>
      <c r="AM274" s="330"/>
      <c r="AN274" s="351"/>
      <c r="AO274" s="330"/>
      <c r="AP274" s="351"/>
      <c r="AQ274" s="330"/>
      <c r="AR274" s="351"/>
      <c r="AS274" s="330"/>
      <c r="AT274" s="351"/>
      <c r="AU274" s="431"/>
      <c r="AV274" s="439"/>
      <c r="AW274" s="330"/>
      <c r="AX274" s="458"/>
      <c r="AY274" s="340"/>
      <c r="AZ274" s="341"/>
      <c r="BA274" s="342">
        <f ca="1">UDayCou(2,ROW())</f>
        <v>3</v>
      </c>
      <c r="BB274" s="343">
        <f ca="1">UNightCou(2,ROW())</f>
        <v>2</v>
      </c>
      <c r="BC274" s="344">
        <f ca="1">UNewCou(2,ROW())</f>
        <v>0</v>
      </c>
      <c r="BD274" s="327">
        <f t="shared" si="1051"/>
        <v>45816</v>
      </c>
      <c r="BE274" s="346" t="str">
        <f t="shared" si="1052"/>
        <v>日</v>
      </c>
      <c r="BF274" s="350"/>
      <c r="BG274" s="351"/>
      <c r="BH274" s="330"/>
      <c r="BI274" s="351"/>
      <c r="BJ274" s="330"/>
      <c r="BK274" s="351"/>
      <c r="BL274" s="330"/>
      <c r="BM274" s="351"/>
      <c r="BN274" s="330"/>
      <c r="BO274" s="351"/>
      <c r="BP274" s="330"/>
      <c r="BQ274" s="351"/>
      <c r="BR274" s="330"/>
      <c r="BS274" s="351"/>
      <c r="BT274" s="330"/>
      <c r="BU274" s="351"/>
      <c r="BV274" s="330"/>
      <c r="BW274" s="351"/>
      <c r="BX274" s="330"/>
      <c r="BY274" s="351"/>
      <c r="BZ274" s="389"/>
      <c r="CA274" s="341"/>
      <c r="CB274" s="342">
        <f ca="1">UDayCou(3,ROW())</f>
        <v>0</v>
      </c>
      <c r="CC274" s="343">
        <f ca="1">UNightCou(3,ROW())</f>
        <v>0</v>
      </c>
      <c r="CD274" s="344">
        <f ca="1">UNewCou(3,ROW())</f>
        <v>0</v>
      </c>
      <c r="CE274" s="327">
        <f t="shared" si="1053"/>
        <v>45816</v>
      </c>
      <c r="CF274" s="346" t="str">
        <f t="shared" si="1054"/>
        <v>日</v>
      </c>
      <c r="CG274" s="352">
        <f t="shared" ref="CG274" ca="1" si="1064">Z274+BA274+CB274</f>
        <v>6</v>
      </c>
      <c r="CH274" s="353">
        <f t="shared" ref="CH274" ca="1" si="1065">AA274+BB274+CC274</f>
        <v>4</v>
      </c>
      <c r="CI274" s="354">
        <f t="shared" ref="CI274" ca="1" si="1066">AB274+BC274+CD274</f>
        <v>1</v>
      </c>
      <c r="CJ274" s="355">
        <f ca="1">COUNTIF(INDIRECT("D322:CA323"),"*●*")</f>
        <v>0</v>
      </c>
      <c r="CK274" s="356">
        <f ca="1">COUNTIF(INDIRECT("D322:CA323"),"*㋷*")</f>
        <v>0</v>
      </c>
      <c r="CL274" s="75"/>
      <c r="CN274" s="160">
        <f t="shared" si="1058"/>
        <v>45816</v>
      </c>
      <c r="CO274" s="168" t="str">
        <f t="shared" si="1059"/>
        <v>日</v>
      </c>
      <c r="CP274" s="357"/>
      <c r="CQ274" s="358"/>
      <c r="CR274" s="359"/>
      <c r="CS274" s="358"/>
      <c r="CT274" s="359"/>
      <c r="CU274" s="358"/>
      <c r="CZ274" s="73">
        <v>6</v>
      </c>
      <c r="DA274" s="73">
        <v>6</v>
      </c>
      <c r="DB274" s="73">
        <v>8</v>
      </c>
      <c r="DC274" s="74">
        <f t="shared" si="1035"/>
        <v>45816</v>
      </c>
      <c r="DD274" s="68" t="str">
        <f t="shared" si="839"/>
        <v>日</v>
      </c>
      <c r="DF274" s="155">
        <f t="shared" ref="DF274" si="1067">$DC274</f>
        <v>45816</v>
      </c>
      <c r="DG274" s="156" t="e">
        <f ca="1">IF($CH274&gt;=設定!$E$12,"✕",IF(SS予約表!$CG274&gt;=設定!$E$12,"△","○"))</f>
        <v>#NAME?</v>
      </c>
    </row>
    <row r="275" spans="1:111" ht="29.25" customHeight="1">
      <c r="A275" s="284"/>
      <c r="B275" s="285"/>
      <c r="C275" s="286" t="s">
        <v>28</v>
      </c>
      <c r="D275" s="287"/>
      <c r="E275" s="288"/>
      <c r="F275" s="299"/>
      <c r="G275" s="300"/>
      <c r="H275" s="290"/>
      <c r="I275" s="288"/>
      <c r="J275" s="289"/>
      <c r="K275" s="291"/>
      <c r="L275" s="289"/>
      <c r="M275" s="291"/>
      <c r="N275" s="289"/>
      <c r="O275" s="291"/>
      <c r="P275" s="289"/>
      <c r="Q275" s="291"/>
      <c r="R275" s="289"/>
      <c r="S275" s="291"/>
      <c r="T275" s="289"/>
      <c r="U275" s="291"/>
      <c r="V275" s="289"/>
      <c r="W275" s="291"/>
      <c r="X275" s="292"/>
      <c r="Y275" s="293"/>
      <c r="Z275" s="294"/>
      <c r="AA275" s="295"/>
      <c r="AB275" s="296"/>
      <c r="AC275" s="297"/>
      <c r="AD275" s="298"/>
      <c r="AE275" s="289"/>
      <c r="AF275" s="291"/>
      <c r="AG275" s="289"/>
      <c r="AH275" s="291"/>
      <c r="AI275" s="301"/>
      <c r="AJ275" s="302"/>
      <c r="AK275" s="301"/>
      <c r="AL275" s="302"/>
      <c r="AM275" s="301"/>
      <c r="AN275" s="302"/>
      <c r="AO275" s="301"/>
      <c r="AP275" s="302"/>
      <c r="AQ275" s="301"/>
      <c r="AR275" s="302"/>
      <c r="AS275" s="301"/>
      <c r="AT275" s="302"/>
      <c r="AU275" s="289"/>
      <c r="AV275" s="288"/>
      <c r="AW275" s="301"/>
      <c r="AX275" s="451"/>
      <c r="AY275" s="303"/>
      <c r="AZ275" s="304"/>
      <c r="BA275" s="294"/>
      <c r="BB275" s="295"/>
      <c r="BC275" s="296"/>
      <c r="BD275" s="284"/>
      <c r="BE275" s="298"/>
      <c r="BF275" s="305"/>
      <c r="BG275" s="302"/>
      <c r="BH275" s="301"/>
      <c r="BI275" s="302"/>
      <c r="BJ275" s="301"/>
      <c r="BK275" s="302"/>
      <c r="BL275" s="301"/>
      <c r="BM275" s="302"/>
      <c r="BN275" s="301"/>
      <c r="BO275" s="302"/>
      <c r="BP275" s="301"/>
      <c r="BQ275" s="302"/>
      <c r="BR275" s="301"/>
      <c r="BS275" s="302"/>
      <c r="BT275" s="301"/>
      <c r="BU275" s="302"/>
      <c r="BV275" s="301"/>
      <c r="BW275" s="302"/>
      <c r="BX275" s="301"/>
      <c r="BY275" s="302"/>
      <c r="BZ275" s="306"/>
      <c r="CA275" s="304"/>
      <c r="CB275" s="294"/>
      <c r="CC275" s="295"/>
      <c r="CD275" s="296"/>
      <c r="CE275" s="284"/>
      <c r="CF275" s="298"/>
      <c r="CG275" s="307"/>
      <c r="CH275" s="308"/>
      <c r="CI275" s="309"/>
      <c r="CJ275" s="310"/>
      <c r="CK275" s="311"/>
      <c r="CL275" s="75"/>
      <c r="CN275" s="161"/>
      <c r="CO275" s="163"/>
      <c r="CP275" s="315"/>
      <c r="CQ275" s="316"/>
      <c r="CR275" s="317"/>
      <c r="CS275" s="316"/>
      <c r="CT275" s="317"/>
      <c r="CU275" s="316"/>
      <c r="CZ275" s="73">
        <v>6</v>
      </c>
      <c r="DA275" s="73">
        <v>6</v>
      </c>
      <c r="DB275" s="73">
        <v>8</v>
      </c>
      <c r="DC275" s="74">
        <f t="shared" si="1035"/>
        <v>45816</v>
      </c>
      <c r="DD275" s="68" t="str">
        <f t="shared" si="839"/>
        <v>日</v>
      </c>
      <c r="DF275" s="156"/>
      <c r="DG275" s="156"/>
    </row>
    <row r="276" spans="1:111" ht="28.5" customHeight="1">
      <c r="A276" s="327">
        <f t="shared" si="1044"/>
        <v>45817</v>
      </c>
      <c r="B276" s="365" t="str">
        <f t="shared" si="1045"/>
        <v>月</v>
      </c>
      <c r="C276" s="329" t="s">
        <v>27</v>
      </c>
      <c r="D276" s="405">
        <v>15</v>
      </c>
      <c r="E276" s="453"/>
      <c r="F276" s="335"/>
      <c r="G276" s="347"/>
      <c r="H276" s="482"/>
      <c r="I276" s="439"/>
      <c r="J276" s="431"/>
      <c r="K276" s="432"/>
      <c r="L276" s="431"/>
      <c r="M276" s="432"/>
      <c r="N276" s="431"/>
      <c r="O276" s="432"/>
      <c r="P276" s="431"/>
      <c r="Q276" s="432"/>
      <c r="R276" s="431"/>
      <c r="S276" s="432"/>
      <c r="T276" s="431"/>
      <c r="U276" s="432"/>
      <c r="V276" s="431"/>
      <c r="W276" s="432"/>
      <c r="X276" s="483"/>
      <c r="Y276" s="485"/>
      <c r="Z276" s="342">
        <f t="shared" ref="Z276" ca="1" si="1068">UDayCou(1,ROW())</f>
        <v>3</v>
      </c>
      <c r="AA276" s="343">
        <f t="shared" ref="AA276" ca="1" si="1069">UNightCou(1,ROW())</f>
        <v>2</v>
      </c>
      <c r="AB276" s="344">
        <f t="shared" ref="AB276" ca="1" si="1070">UNewCou(1,ROW())</f>
        <v>1</v>
      </c>
      <c r="AC276" s="345">
        <f t="shared" si="1049"/>
        <v>45817</v>
      </c>
      <c r="AD276" s="371" t="str">
        <f t="shared" si="1050"/>
        <v>月</v>
      </c>
      <c r="AE276" s="431"/>
      <c r="AF276" s="432"/>
      <c r="AG276" s="431"/>
      <c r="AH276" s="432"/>
      <c r="AI276" s="330"/>
      <c r="AJ276" s="351"/>
      <c r="AK276" s="330"/>
      <c r="AL276" s="351"/>
      <c r="AM276" s="330"/>
      <c r="AN276" s="351"/>
      <c r="AO276" s="330"/>
      <c r="AP276" s="351"/>
      <c r="AQ276" s="330"/>
      <c r="AR276" s="351"/>
      <c r="AS276" s="330"/>
      <c r="AT276" s="351"/>
      <c r="AU276" s="431"/>
      <c r="AV276" s="439"/>
      <c r="AW276" s="330">
        <v>15</v>
      </c>
      <c r="AX276" s="452"/>
      <c r="AY276" s="340"/>
      <c r="AZ276" s="341"/>
      <c r="BA276" s="342">
        <f ca="1">UDayCou(2,ROW())</f>
        <v>2</v>
      </c>
      <c r="BB276" s="343">
        <f ca="1">UNightCou(2,ROW())</f>
        <v>1</v>
      </c>
      <c r="BC276" s="344">
        <f ca="1">UNewCou(2,ROW())</f>
        <v>0</v>
      </c>
      <c r="BD276" s="327">
        <f t="shared" si="1051"/>
        <v>45817</v>
      </c>
      <c r="BE276" s="371" t="str">
        <f t="shared" si="1052"/>
        <v>月</v>
      </c>
      <c r="BF276" s="350"/>
      <c r="BG276" s="351"/>
      <c r="BH276" s="330"/>
      <c r="BI276" s="351"/>
      <c r="BJ276" s="330"/>
      <c r="BK276" s="351"/>
      <c r="BL276" s="330"/>
      <c r="BM276" s="351"/>
      <c r="BN276" s="330"/>
      <c r="BO276" s="351"/>
      <c r="BP276" s="330"/>
      <c r="BQ276" s="351"/>
      <c r="BR276" s="330"/>
      <c r="BS276" s="351"/>
      <c r="BT276" s="330"/>
      <c r="BU276" s="351"/>
      <c r="BV276" s="330"/>
      <c r="BW276" s="351"/>
      <c r="BX276" s="330"/>
      <c r="BY276" s="351"/>
      <c r="BZ276" s="389"/>
      <c r="CA276" s="341"/>
      <c r="CB276" s="342">
        <f ca="1">UDayCou(3,ROW())</f>
        <v>0</v>
      </c>
      <c r="CC276" s="343">
        <f ca="1">UNightCou(3,ROW())</f>
        <v>0</v>
      </c>
      <c r="CD276" s="344">
        <f ca="1">UNewCou(3,ROW())</f>
        <v>0</v>
      </c>
      <c r="CE276" s="327">
        <f t="shared" si="1053"/>
        <v>45817</v>
      </c>
      <c r="CF276" s="371" t="str">
        <f t="shared" si="1054"/>
        <v>月</v>
      </c>
      <c r="CG276" s="352">
        <f t="shared" ref="CG276" ca="1" si="1071">Z276+BA276+CB276</f>
        <v>5</v>
      </c>
      <c r="CH276" s="353">
        <f t="shared" ref="CH276" ca="1" si="1072">AA276+BB276+CC276</f>
        <v>3</v>
      </c>
      <c r="CI276" s="354">
        <f t="shared" ref="CI276" ca="1" si="1073">AB276+BC276+CD276</f>
        <v>1</v>
      </c>
      <c r="CJ276" s="355">
        <f ca="1">COUNTIF(INDIRECT("D324:CA325"),"*●*")</f>
        <v>0</v>
      </c>
      <c r="CK276" s="356">
        <f ca="1">COUNTIF(INDIRECT("D324:CA325"),"*㋷*")</f>
        <v>0</v>
      </c>
      <c r="CL276" s="75"/>
      <c r="CN276" s="160">
        <f t="shared" si="1058"/>
        <v>45817</v>
      </c>
      <c r="CO276" s="162" t="str">
        <f t="shared" si="1059"/>
        <v>月</v>
      </c>
      <c r="CP276" s="357"/>
      <c r="CQ276" s="358"/>
      <c r="CR276" s="359"/>
      <c r="CS276" s="358"/>
      <c r="CT276" s="359"/>
      <c r="CU276" s="358"/>
      <c r="CZ276" s="73">
        <v>6</v>
      </c>
      <c r="DA276" s="73">
        <v>6</v>
      </c>
      <c r="DB276" s="73">
        <v>9</v>
      </c>
      <c r="DC276" s="74">
        <f t="shared" si="1035"/>
        <v>45817</v>
      </c>
      <c r="DD276" s="68" t="str">
        <f t="shared" si="839"/>
        <v>月</v>
      </c>
      <c r="DF276" s="155">
        <f t="shared" ref="DF276" si="1074">$DC276</f>
        <v>45817</v>
      </c>
      <c r="DG276" s="156" t="e">
        <f ca="1">IF($CH276&gt;=設定!$E$12,"✕",IF(SS予約表!$CG276&gt;=設定!$E$12,"△","○"))</f>
        <v>#NAME?</v>
      </c>
    </row>
    <row r="277" spans="1:111" ht="29.25" customHeight="1">
      <c r="A277" s="284"/>
      <c r="B277" s="285"/>
      <c r="C277" s="286" t="s">
        <v>28</v>
      </c>
      <c r="D277" s="287">
        <v>10</v>
      </c>
      <c r="E277" s="288" t="s">
        <v>145</v>
      </c>
      <c r="F277" s="299"/>
      <c r="G277" s="300"/>
      <c r="H277" s="290"/>
      <c r="I277" s="288"/>
      <c r="J277" s="289"/>
      <c r="K277" s="291"/>
      <c r="L277" s="289"/>
      <c r="M277" s="291"/>
      <c r="N277" s="289"/>
      <c r="O277" s="291"/>
      <c r="P277" s="289"/>
      <c r="Q277" s="291"/>
      <c r="R277" s="289"/>
      <c r="S277" s="291"/>
      <c r="T277" s="289"/>
      <c r="U277" s="291"/>
      <c r="V277" s="289"/>
      <c r="W277" s="291"/>
      <c r="X277" s="292"/>
      <c r="Y277" s="293"/>
      <c r="Z277" s="294"/>
      <c r="AA277" s="295"/>
      <c r="AB277" s="296"/>
      <c r="AC277" s="297"/>
      <c r="AD277" s="298"/>
      <c r="AE277" s="289"/>
      <c r="AF277" s="291"/>
      <c r="AG277" s="289"/>
      <c r="AH277" s="291"/>
      <c r="AI277" s="301"/>
      <c r="AJ277" s="302"/>
      <c r="AK277" s="301"/>
      <c r="AL277" s="302"/>
      <c r="AM277" s="301"/>
      <c r="AN277" s="302"/>
      <c r="AO277" s="301"/>
      <c r="AP277" s="302"/>
      <c r="AQ277" s="301"/>
      <c r="AR277" s="302"/>
      <c r="AS277" s="301"/>
      <c r="AT277" s="302"/>
      <c r="AU277" s="289"/>
      <c r="AV277" s="288"/>
      <c r="AW277" s="301"/>
      <c r="AX277" s="302"/>
      <c r="AY277" s="303"/>
      <c r="AZ277" s="304"/>
      <c r="BA277" s="294"/>
      <c r="BB277" s="295"/>
      <c r="BC277" s="296"/>
      <c r="BD277" s="284"/>
      <c r="BE277" s="298"/>
      <c r="BF277" s="305"/>
      <c r="BG277" s="302"/>
      <c r="BH277" s="301"/>
      <c r="BI277" s="302"/>
      <c r="BJ277" s="301"/>
      <c r="BK277" s="302"/>
      <c r="BL277" s="301"/>
      <c r="BM277" s="302"/>
      <c r="BN277" s="301"/>
      <c r="BO277" s="302"/>
      <c r="BP277" s="301"/>
      <c r="BQ277" s="302"/>
      <c r="BR277" s="301"/>
      <c r="BS277" s="302"/>
      <c r="BT277" s="301"/>
      <c r="BU277" s="302"/>
      <c r="BV277" s="301"/>
      <c r="BW277" s="302"/>
      <c r="BX277" s="301"/>
      <c r="BY277" s="302"/>
      <c r="BZ277" s="306"/>
      <c r="CA277" s="304"/>
      <c r="CB277" s="294"/>
      <c r="CC277" s="295"/>
      <c r="CD277" s="296"/>
      <c r="CE277" s="284"/>
      <c r="CF277" s="298"/>
      <c r="CG277" s="307"/>
      <c r="CH277" s="308"/>
      <c r="CI277" s="309"/>
      <c r="CJ277" s="310"/>
      <c r="CK277" s="311"/>
      <c r="CL277" s="75"/>
      <c r="CN277" s="161"/>
      <c r="CO277" s="163"/>
      <c r="CP277" s="315"/>
      <c r="CQ277" s="316"/>
      <c r="CR277" s="317"/>
      <c r="CS277" s="316"/>
      <c r="CT277" s="317"/>
      <c r="CU277" s="316"/>
      <c r="CZ277" s="73">
        <v>6</v>
      </c>
      <c r="DA277" s="73">
        <v>6</v>
      </c>
      <c r="DB277" s="73">
        <v>9</v>
      </c>
      <c r="DC277" s="74">
        <f t="shared" si="1035"/>
        <v>45817</v>
      </c>
      <c r="DD277" s="68" t="str">
        <f t="shared" ref="DD277:DD285" si="1075">TEXT($DC277,"aaa")</f>
        <v>月</v>
      </c>
      <c r="DF277" s="156"/>
      <c r="DG277" s="156"/>
    </row>
    <row r="278" spans="1:111" ht="28.5" customHeight="1">
      <c r="A278" s="327">
        <f t="shared" si="1044"/>
        <v>45818</v>
      </c>
      <c r="B278" s="365" t="str">
        <f t="shared" si="1045"/>
        <v>火</v>
      </c>
      <c r="C278" s="329" t="s">
        <v>27</v>
      </c>
      <c r="D278" s="405"/>
      <c r="E278" s="439"/>
      <c r="F278" s="335"/>
      <c r="G278" s="347"/>
      <c r="H278" s="482"/>
      <c r="I278" s="439"/>
      <c r="J278" s="431"/>
      <c r="K278" s="432"/>
      <c r="L278" s="431"/>
      <c r="M278" s="432"/>
      <c r="N278" s="431"/>
      <c r="O278" s="432"/>
      <c r="P278" s="431"/>
      <c r="Q278" s="432"/>
      <c r="R278" s="431"/>
      <c r="S278" s="432"/>
      <c r="T278" s="431"/>
      <c r="U278" s="432"/>
      <c r="V278" s="431"/>
      <c r="W278" s="432"/>
      <c r="X278" s="483"/>
      <c r="Y278" s="485"/>
      <c r="Z278" s="342">
        <f t="shared" ref="Z278" ca="1" si="1076">UDayCou(1,ROW())</f>
        <v>2</v>
      </c>
      <c r="AA278" s="343">
        <f t="shared" ref="AA278" ca="1" si="1077">UNightCou(1,ROW())</f>
        <v>2</v>
      </c>
      <c r="AB278" s="344">
        <f t="shared" ref="AB278" ca="1" si="1078">UNewCou(1,ROW())</f>
        <v>1</v>
      </c>
      <c r="AC278" s="345">
        <f t="shared" si="1049"/>
        <v>45818</v>
      </c>
      <c r="AD278" s="371" t="str">
        <f t="shared" si="1050"/>
        <v>火</v>
      </c>
      <c r="AE278" s="431"/>
      <c r="AF278" s="432"/>
      <c r="AG278" s="431"/>
      <c r="AH278" s="432"/>
      <c r="AI278" s="330"/>
      <c r="AJ278" s="351"/>
      <c r="AK278" s="330"/>
      <c r="AL278" s="351"/>
      <c r="AM278" s="330"/>
      <c r="AN278" s="351"/>
      <c r="AO278" s="330"/>
      <c r="AP278" s="351"/>
      <c r="AQ278" s="330"/>
      <c r="AR278" s="351"/>
      <c r="AS278" s="330"/>
      <c r="AT278" s="351"/>
      <c r="AU278" s="431"/>
      <c r="AV278" s="439"/>
      <c r="AW278" s="330"/>
      <c r="AX278" s="351"/>
      <c r="AY278" s="340"/>
      <c r="AZ278" s="341"/>
      <c r="BA278" s="342">
        <f ca="1">UDayCou(2,ROW())</f>
        <v>1</v>
      </c>
      <c r="BB278" s="343">
        <f ca="1">UNightCou(2,ROW())</f>
        <v>1</v>
      </c>
      <c r="BC278" s="344">
        <f ca="1">UNewCou(2,ROW())</f>
        <v>0</v>
      </c>
      <c r="BD278" s="327">
        <f t="shared" si="1051"/>
        <v>45818</v>
      </c>
      <c r="BE278" s="371" t="str">
        <f t="shared" si="1052"/>
        <v>火</v>
      </c>
      <c r="BF278" s="350"/>
      <c r="BG278" s="351"/>
      <c r="BH278" s="330"/>
      <c r="BI278" s="351"/>
      <c r="BJ278" s="330"/>
      <c r="BK278" s="351"/>
      <c r="BL278" s="330"/>
      <c r="BM278" s="351"/>
      <c r="BN278" s="330"/>
      <c r="BO278" s="351"/>
      <c r="BP278" s="330"/>
      <c r="BQ278" s="351"/>
      <c r="BR278" s="330"/>
      <c r="BS278" s="351"/>
      <c r="BT278" s="330"/>
      <c r="BU278" s="351"/>
      <c r="BV278" s="330"/>
      <c r="BW278" s="351"/>
      <c r="BX278" s="330"/>
      <c r="BY278" s="351"/>
      <c r="BZ278" s="389"/>
      <c r="CA278" s="341"/>
      <c r="CB278" s="342">
        <f ca="1">UDayCou(3,ROW())</f>
        <v>0</v>
      </c>
      <c r="CC278" s="343">
        <f ca="1">UNightCou(3,ROW())</f>
        <v>0</v>
      </c>
      <c r="CD278" s="344">
        <f ca="1">UNewCou(3,ROW())</f>
        <v>0</v>
      </c>
      <c r="CE278" s="327">
        <f t="shared" si="1053"/>
        <v>45818</v>
      </c>
      <c r="CF278" s="371" t="str">
        <f t="shared" si="1054"/>
        <v>火</v>
      </c>
      <c r="CG278" s="352">
        <f t="shared" ref="CG278" ca="1" si="1079">Z278+BA278+CB278</f>
        <v>3</v>
      </c>
      <c r="CH278" s="353">
        <f t="shared" ref="CH278" ca="1" si="1080">AA278+BB278+CC278</f>
        <v>3</v>
      </c>
      <c r="CI278" s="354">
        <f t="shared" ref="CI278" ca="1" si="1081">AB278+BC278+CD278</f>
        <v>1</v>
      </c>
      <c r="CJ278" s="355">
        <f ca="1">COUNTIF(INDIRECT("D326:CA327"),"*●*")</f>
        <v>0</v>
      </c>
      <c r="CK278" s="356">
        <f ca="1">COUNTIF(INDIRECT("D326:CA327"),"*㋷*")</f>
        <v>0</v>
      </c>
      <c r="CL278" s="75"/>
      <c r="CN278" s="160">
        <f t="shared" si="1058"/>
        <v>45818</v>
      </c>
      <c r="CO278" s="162" t="str">
        <f t="shared" si="1059"/>
        <v>火</v>
      </c>
      <c r="CP278" s="357"/>
      <c r="CQ278" s="358"/>
      <c r="CR278" s="359"/>
      <c r="CS278" s="358"/>
      <c r="CT278" s="359"/>
      <c r="CU278" s="358"/>
      <c r="CZ278" s="73">
        <v>6</v>
      </c>
      <c r="DA278" s="73">
        <v>6</v>
      </c>
      <c r="DB278" s="73">
        <v>10</v>
      </c>
      <c r="DC278" s="74">
        <f t="shared" si="1035"/>
        <v>45818</v>
      </c>
      <c r="DD278" s="68" t="str">
        <f t="shared" si="1075"/>
        <v>火</v>
      </c>
      <c r="DF278" s="155">
        <f t="shared" ref="DF278" si="1082">$DC278</f>
        <v>45818</v>
      </c>
      <c r="DG278" s="156" t="e">
        <f ca="1">IF($CH278&gt;=設定!$E$12,"✕",IF(SS予約表!$CG278&gt;=設定!$E$12,"△","○"))</f>
        <v>#NAME?</v>
      </c>
    </row>
    <row r="279" spans="1:111" ht="29.25" customHeight="1" thickBot="1">
      <c r="A279" s="284"/>
      <c r="B279" s="285"/>
      <c r="C279" s="286" t="s">
        <v>28</v>
      </c>
      <c r="D279" s="287"/>
      <c r="E279" s="288"/>
      <c r="F279" s="299"/>
      <c r="G279" s="300"/>
      <c r="H279" s="290"/>
      <c r="I279" s="288"/>
      <c r="J279" s="289"/>
      <c r="K279" s="291"/>
      <c r="L279" s="289"/>
      <c r="M279" s="291"/>
      <c r="N279" s="289"/>
      <c r="O279" s="291"/>
      <c r="P279" s="289"/>
      <c r="Q279" s="291"/>
      <c r="R279" s="289"/>
      <c r="S279" s="291"/>
      <c r="T279" s="289"/>
      <c r="U279" s="291"/>
      <c r="V279" s="289"/>
      <c r="W279" s="291"/>
      <c r="X279" s="292"/>
      <c r="Y279" s="293"/>
      <c r="Z279" s="294"/>
      <c r="AA279" s="295"/>
      <c r="AB279" s="296"/>
      <c r="AC279" s="297"/>
      <c r="AD279" s="298"/>
      <c r="AE279" s="299"/>
      <c r="AF279" s="300"/>
      <c r="AG279" s="289"/>
      <c r="AH279" s="291"/>
      <c r="AI279" s="301"/>
      <c r="AJ279" s="302"/>
      <c r="AK279" s="301"/>
      <c r="AL279" s="302"/>
      <c r="AM279" s="301"/>
      <c r="AN279" s="302"/>
      <c r="AO279" s="301"/>
      <c r="AP279" s="302"/>
      <c r="AQ279" s="301"/>
      <c r="AR279" s="302"/>
      <c r="AS279" s="301"/>
      <c r="AT279" s="302"/>
      <c r="AU279" s="289"/>
      <c r="AV279" s="288"/>
      <c r="AW279" s="301"/>
      <c r="AX279" s="302"/>
      <c r="AY279" s="303"/>
      <c r="AZ279" s="304"/>
      <c r="BA279" s="294"/>
      <c r="BB279" s="295"/>
      <c r="BC279" s="296"/>
      <c r="BD279" s="284"/>
      <c r="BE279" s="298"/>
      <c r="BF279" s="305"/>
      <c r="BG279" s="302"/>
      <c r="BH279" s="301"/>
      <c r="BI279" s="302"/>
      <c r="BJ279" s="301"/>
      <c r="BK279" s="302"/>
      <c r="BL279" s="301"/>
      <c r="BM279" s="302"/>
      <c r="BN279" s="301"/>
      <c r="BO279" s="302"/>
      <c r="BP279" s="301"/>
      <c r="BQ279" s="302"/>
      <c r="BR279" s="301"/>
      <c r="BS279" s="302"/>
      <c r="BT279" s="301"/>
      <c r="BU279" s="302"/>
      <c r="BV279" s="301"/>
      <c r="BW279" s="302"/>
      <c r="BX279" s="301"/>
      <c r="BY279" s="302"/>
      <c r="BZ279" s="306"/>
      <c r="CA279" s="304"/>
      <c r="CB279" s="294"/>
      <c r="CC279" s="295"/>
      <c r="CD279" s="296"/>
      <c r="CE279" s="284"/>
      <c r="CF279" s="298"/>
      <c r="CG279" s="307"/>
      <c r="CH279" s="308"/>
      <c r="CI279" s="309"/>
      <c r="CJ279" s="310"/>
      <c r="CK279" s="311"/>
      <c r="CL279" s="75"/>
      <c r="CN279" s="161"/>
      <c r="CO279" s="163"/>
      <c r="CP279" s="315"/>
      <c r="CQ279" s="316"/>
      <c r="CR279" s="317"/>
      <c r="CS279" s="316"/>
      <c r="CT279" s="317"/>
      <c r="CU279" s="316"/>
      <c r="CZ279" s="73">
        <v>6</v>
      </c>
      <c r="DA279" s="73">
        <v>6</v>
      </c>
      <c r="DB279" s="73">
        <v>10</v>
      </c>
      <c r="DC279" s="74">
        <f t="shared" si="1035"/>
        <v>45818</v>
      </c>
      <c r="DD279" s="68" t="str">
        <f t="shared" si="1075"/>
        <v>火</v>
      </c>
      <c r="DF279" s="156"/>
      <c r="DG279" s="156"/>
    </row>
    <row r="280" spans="1:111" ht="28.5" customHeight="1">
      <c r="A280" s="491">
        <f t="shared" si="1044"/>
        <v>45819</v>
      </c>
      <c r="B280" s="524" t="str">
        <f t="shared" si="1045"/>
        <v>水</v>
      </c>
      <c r="C280" s="493" t="s">
        <v>27</v>
      </c>
      <c r="D280" s="542"/>
      <c r="E280" s="577"/>
      <c r="F280" s="499"/>
      <c r="G280" s="511"/>
      <c r="H280" s="578"/>
      <c r="I280" s="577"/>
      <c r="J280" s="550"/>
      <c r="K280" s="551"/>
      <c r="L280" s="550"/>
      <c r="M280" s="551"/>
      <c r="N280" s="550"/>
      <c r="O280" s="551"/>
      <c r="P280" s="550"/>
      <c r="Q280" s="551"/>
      <c r="R280" s="550"/>
      <c r="S280" s="551"/>
      <c r="T280" s="550"/>
      <c r="U280" s="551"/>
      <c r="V280" s="550"/>
      <c r="W280" s="551"/>
      <c r="X280" s="581"/>
      <c r="Y280" s="580"/>
      <c r="Z280" s="506">
        <f t="shared" ref="Z280" ca="1" si="1083">UDayCou(1,ROW())</f>
        <v>2</v>
      </c>
      <c r="AA280" s="507">
        <f t="shared" ref="AA280" ca="1" si="1084">UNightCou(1,ROW())</f>
        <v>2</v>
      </c>
      <c r="AB280" s="508">
        <f t="shared" ref="AB280" ca="1" si="1085">UNewCou(1,ROW())</f>
        <v>1</v>
      </c>
      <c r="AC280" s="509">
        <f t="shared" si="1049"/>
        <v>45819</v>
      </c>
      <c r="AD280" s="531" t="str">
        <f t="shared" si="1050"/>
        <v>水</v>
      </c>
      <c r="AE280" s="499"/>
      <c r="AF280" s="511"/>
      <c r="AG280" s="550"/>
      <c r="AH280" s="551"/>
      <c r="AI280" s="494"/>
      <c r="AJ280" s="515"/>
      <c r="AK280" s="494"/>
      <c r="AL280" s="515"/>
      <c r="AM280" s="494"/>
      <c r="AN280" s="515"/>
      <c r="AO280" s="494"/>
      <c r="AP280" s="515"/>
      <c r="AQ280" s="494"/>
      <c r="AR280" s="515"/>
      <c r="AS280" s="494"/>
      <c r="AT280" s="515"/>
      <c r="AU280" s="550"/>
      <c r="AV280" s="577"/>
      <c r="AW280" s="494"/>
      <c r="AX280" s="515"/>
      <c r="AY280" s="504"/>
      <c r="AZ280" s="505"/>
      <c r="BA280" s="506">
        <f ca="1">UDayCou(2,ROW())</f>
        <v>1</v>
      </c>
      <c r="BB280" s="507">
        <f ca="1">UNightCou(2,ROW())</f>
        <v>1</v>
      </c>
      <c r="BC280" s="508">
        <f ca="1">UNewCou(2,ROW())</f>
        <v>0</v>
      </c>
      <c r="BD280" s="491">
        <f t="shared" si="1051"/>
        <v>45819</v>
      </c>
      <c r="BE280" s="531" t="str">
        <f t="shared" si="1052"/>
        <v>水</v>
      </c>
      <c r="BF280" s="514"/>
      <c r="BG280" s="515"/>
      <c r="BH280" s="494"/>
      <c r="BI280" s="515"/>
      <c r="BJ280" s="494"/>
      <c r="BK280" s="515"/>
      <c r="BL280" s="494"/>
      <c r="BM280" s="515"/>
      <c r="BN280" s="494"/>
      <c r="BO280" s="515"/>
      <c r="BP280" s="494"/>
      <c r="BQ280" s="515"/>
      <c r="BR280" s="494"/>
      <c r="BS280" s="515"/>
      <c r="BT280" s="494"/>
      <c r="BU280" s="515"/>
      <c r="BV280" s="494"/>
      <c r="BW280" s="515"/>
      <c r="BX280" s="494"/>
      <c r="BY280" s="515"/>
      <c r="BZ280" s="530"/>
      <c r="CA280" s="505"/>
      <c r="CB280" s="506">
        <f ca="1">UDayCou(3,ROW())</f>
        <v>0</v>
      </c>
      <c r="CC280" s="507">
        <f ca="1">UNightCou(3,ROW())</f>
        <v>0</v>
      </c>
      <c r="CD280" s="508">
        <f ca="1">UNewCou(3,ROW())</f>
        <v>0</v>
      </c>
      <c r="CE280" s="491">
        <f t="shared" si="1053"/>
        <v>45819</v>
      </c>
      <c r="CF280" s="531" t="str">
        <f t="shared" si="1054"/>
        <v>水</v>
      </c>
      <c r="CG280" s="516">
        <f t="shared" ref="CG280" ca="1" si="1086">Z280+BA280+CB280</f>
        <v>3</v>
      </c>
      <c r="CH280" s="517">
        <f t="shared" ref="CH280" ca="1" si="1087">AA280+BB280+CC280</f>
        <v>3</v>
      </c>
      <c r="CI280" s="518">
        <f t="shared" ref="CI280" ca="1" si="1088">AB280+BC280+CD280</f>
        <v>1</v>
      </c>
      <c r="CJ280" s="519">
        <f ca="1">COUNTIF(INDIRECT("D328:CA329"),"*●*")</f>
        <v>0</v>
      </c>
      <c r="CK280" s="520">
        <f ca="1">COUNTIF(INDIRECT("D328:CA329"),"*㋷*")</f>
        <v>0</v>
      </c>
      <c r="CL280" s="75"/>
      <c r="CN280" s="164">
        <f t="shared" si="1058"/>
        <v>45819</v>
      </c>
      <c r="CO280" s="165" t="str">
        <f t="shared" si="1059"/>
        <v>水</v>
      </c>
      <c r="CP280" s="521"/>
      <c r="CQ280" s="522"/>
      <c r="CR280" s="523"/>
      <c r="CS280" s="522"/>
      <c r="CT280" s="523"/>
      <c r="CU280" s="522"/>
      <c r="CZ280" s="73">
        <v>6</v>
      </c>
      <c r="DA280" s="73">
        <v>6</v>
      </c>
      <c r="DB280" s="73">
        <v>11</v>
      </c>
      <c r="DC280" s="74">
        <f t="shared" si="1035"/>
        <v>45819</v>
      </c>
      <c r="DD280" s="68" t="str">
        <f t="shared" si="1075"/>
        <v>水</v>
      </c>
      <c r="DF280" s="155">
        <f t="shared" ref="DF280" si="1089">$DC280</f>
        <v>45819</v>
      </c>
      <c r="DG280" s="156" t="e">
        <f ca="1">IF($CH280&gt;=設定!$E$12,"✕",IF(SS予約表!$CG280&gt;=設定!$E$12,"△","○"))</f>
        <v>#NAME?</v>
      </c>
    </row>
    <row r="281" spans="1:111" ht="29.25" customHeight="1">
      <c r="A281" s="284"/>
      <c r="B281" s="285"/>
      <c r="C281" s="286" t="s">
        <v>28</v>
      </c>
      <c r="D281" s="287"/>
      <c r="E281" s="288"/>
      <c r="F281" s="299"/>
      <c r="G281" s="300"/>
      <c r="H281" s="290"/>
      <c r="I281" s="288"/>
      <c r="J281" s="289"/>
      <c r="K281" s="291"/>
      <c r="L281" s="289"/>
      <c r="M281" s="291"/>
      <c r="N281" s="289"/>
      <c r="O281" s="291"/>
      <c r="P281" s="289"/>
      <c r="Q281" s="291"/>
      <c r="R281" s="289"/>
      <c r="S281" s="291"/>
      <c r="T281" s="289"/>
      <c r="U281" s="291"/>
      <c r="V281" s="289"/>
      <c r="W281" s="291"/>
      <c r="X281" s="292"/>
      <c r="Y281" s="293"/>
      <c r="Z281" s="294"/>
      <c r="AA281" s="295"/>
      <c r="AB281" s="296"/>
      <c r="AC281" s="297"/>
      <c r="AD281" s="298"/>
      <c r="AE281" s="299"/>
      <c r="AF281" s="300"/>
      <c r="AG281" s="289"/>
      <c r="AH281" s="291"/>
      <c r="AI281" s="301"/>
      <c r="AJ281" s="302"/>
      <c r="AK281" s="301"/>
      <c r="AL281" s="302"/>
      <c r="AM281" s="301"/>
      <c r="AN281" s="302"/>
      <c r="AO281" s="301"/>
      <c r="AP281" s="302"/>
      <c r="AQ281" s="301"/>
      <c r="AR281" s="302"/>
      <c r="AS281" s="301"/>
      <c r="AT281" s="302"/>
      <c r="AU281" s="289"/>
      <c r="AV281" s="288"/>
      <c r="AW281" s="301"/>
      <c r="AX281" s="302"/>
      <c r="AY281" s="303"/>
      <c r="AZ281" s="304"/>
      <c r="BA281" s="294"/>
      <c r="BB281" s="295"/>
      <c r="BC281" s="296"/>
      <c r="BD281" s="284"/>
      <c r="BE281" s="298"/>
      <c r="BF281" s="305"/>
      <c r="BG281" s="302"/>
      <c r="BH281" s="301"/>
      <c r="BI281" s="302"/>
      <c r="BJ281" s="301"/>
      <c r="BK281" s="302"/>
      <c r="BL281" s="301"/>
      <c r="BM281" s="302"/>
      <c r="BN281" s="301"/>
      <c r="BO281" s="302"/>
      <c r="BP281" s="301"/>
      <c r="BQ281" s="302"/>
      <c r="BR281" s="301"/>
      <c r="BS281" s="302"/>
      <c r="BT281" s="301"/>
      <c r="BU281" s="302"/>
      <c r="BV281" s="301"/>
      <c r="BW281" s="302"/>
      <c r="BX281" s="301"/>
      <c r="BY281" s="302"/>
      <c r="BZ281" s="306"/>
      <c r="CA281" s="304"/>
      <c r="CB281" s="294"/>
      <c r="CC281" s="295"/>
      <c r="CD281" s="296"/>
      <c r="CE281" s="284"/>
      <c r="CF281" s="298"/>
      <c r="CG281" s="307"/>
      <c r="CH281" s="308"/>
      <c r="CI281" s="309"/>
      <c r="CJ281" s="310"/>
      <c r="CK281" s="311"/>
      <c r="CL281" s="75"/>
      <c r="CN281" s="161"/>
      <c r="CO281" s="163"/>
      <c r="CP281" s="315"/>
      <c r="CQ281" s="316"/>
      <c r="CR281" s="317"/>
      <c r="CS281" s="316"/>
      <c r="CT281" s="317"/>
      <c r="CU281" s="316"/>
      <c r="CZ281" s="73">
        <v>6</v>
      </c>
      <c r="DA281" s="73">
        <v>6</v>
      </c>
      <c r="DB281" s="73">
        <v>11</v>
      </c>
      <c r="DC281" s="74">
        <f t="shared" si="1035"/>
        <v>45819</v>
      </c>
      <c r="DD281" s="68" t="str">
        <f t="shared" si="1075"/>
        <v>水</v>
      </c>
      <c r="DF281" s="156"/>
      <c r="DG281" s="156"/>
    </row>
    <row r="282" spans="1:111" ht="28.5" customHeight="1">
      <c r="A282" s="327">
        <f t="shared" si="1044"/>
        <v>45820</v>
      </c>
      <c r="B282" s="365" t="str">
        <f t="shared" si="1045"/>
        <v>木</v>
      </c>
      <c r="C282" s="329" t="s">
        <v>27</v>
      </c>
      <c r="D282" s="405"/>
      <c r="E282" s="439"/>
      <c r="F282" s="335"/>
      <c r="G282" s="347"/>
      <c r="H282" s="482"/>
      <c r="I282" s="439"/>
      <c r="J282" s="431"/>
      <c r="K282" s="432"/>
      <c r="L282" s="431"/>
      <c r="M282" s="432"/>
      <c r="N282" s="431"/>
      <c r="O282" s="432"/>
      <c r="P282" s="431"/>
      <c r="Q282" s="432"/>
      <c r="R282" s="431"/>
      <c r="S282" s="432"/>
      <c r="T282" s="431"/>
      <c r="U282" s="432"/>
      <c r="V282" s="431"/>
      <c r="W282" s="432"/>
      <c r="X282" s="483"/>
      <c r="Y282" s="485"/>
      <c r="Z282" s="342">
        <f t="shared" ref="Z282" ca="1" si="1090">UDayCou(1,ROW())</f>
        <v>2</v>
      </c>
      <c r="AA282" s="343">
        <f t="shared" ref="AA282" ca="1" si="1091">UNightCou(1,ROW())</f>
        <v>2</v>
      </c>
      <c r="AB282" s="344">
        <f t="shared" ref="AB282" ca="1" si="1092">UNewCou(1,ROW())</f>
        <v>1</v>
      </c>
      <c r="AC282" s="345">
        <f t="shared" si="1049"/>
        <v>45820</v>
      </c>
      <c r="AD282" s="371" t="str">
        <f t="shared" si="1050"/>
        <v>木</v>
      </c>
      <c r="AE282" s="335"/>
      <c r="AF282" s="347"/>
      <c r="AG282" s="431"/>
      <c r="AH282" s="432"/>
      <c r="AI282" s="330"/>
      <c r="AJ282" s="351"/>
      <c r="AK282" s="330"/>
      <c r="AL282" s="351"/>
      <c r="AM282" s="330"/>
      <c r="AN282" s="351"/>
      <c r="AO282" s="330"/>
      <c r="AP282" s="351"/>
      <c r="AQ282" s="330"/>
      <c r="AR282" s="351"/>
      <c r="AS282" s="330"/>
      <c r="AT282" s="351"/>
      <c r="AU282" s="431"/>
      <c r="AV282" s="439"/>
      <c r="AW282" s="330"/>
      <c r="AX282" s="351"/>
      <c r="AY282" s="340"/>
      <c r="AZ282" s="341"/>
      <c r="BA282" s="342">
        <f ca="1">UDayCou(2,ROW())</f>
        <v>1</v>
      </c>
      <c r="BB282" s="343">
        <f ca="1">UNightCou(2,ROW())</f>
        <v>1</v>
      </c>
      <c r="BC282" s="344">
        <f ca="1">UNewCou(2,ROW())</f>
        <v>0</v>
      </c>
      <c r="BD282" s="327">
        <f t="shared" si="1051"/>
        <v>45820</v>
      </c>
      <c r="BE282" s="371" t="str">
        <f t="shared" si="1052"/>
        <v>木</v>
      </c>
      <c r="BF282" s="350"/>
      <c r="BG282" s="351"/>
      <c r="BH282" s="330"/>
      <c r="BI282" s="351"/>
      <c r="BJ282" s="330"/>
      <c r="BK282" s="351"/>
      <c r="BL282" s="330"/>
      <c r="BM282" s="351"/>
      <c r="BN282" s="330"/>
      <c r="BO282" s="351"/>
      <c r="BP282" s="330"/>
      <c r="BQ282" s="351"/>
      <c r="BR282" s="330"/>
      <c r="BS282" s="351"/>
      <c r="BT282" s="330"/>
      <c r="BU282" s="351"/>
      <c r="BV282" s="330"/>
      <c r="BW282" s="351"/>
      <c r="BX282" s="330"/>
      <c r="BY282" s="351"/>
      <c r="BZ282" s="389"/>
      <c r="CA282" s="341"/>
      <c r="CB282" s="342">
        <f ca="1">UDayCou(3,ROW())</f>
        <v>0</v>
      </c>
      <c r="CC282" s="343">
        <f ca="1">UNightCou(3,ROW())</f>
        <v>0</v>
      </c>
      <c r="CD282" s="344">
        <f ca="1">UNewCou(3,ROW())</f>
        <v>0</v>
      </c>
      <c r="CE282" s="327">
        <f t="shared" si="1053"/>
        <v>45820</v>
      </c>
      <c r="CF282" s="371" t="str">
        <f t="shared" si="1054"/>
        <v>木</v>
      </c>
      <c r="CG282" s="352">
        <f t="shared" ref="CG282" ca="1" si="1093">Z282+BA282+CB282</f>
        <v>3</v>
      </c>
      <c r="CH282" s="353">
        <f t="shared" ref="CH282" ca="1" si="1094">AA282+BB282+CC282</f>
        <v>3</v>
      </c>
      <c r="CI282" s="354">
        <f t="shared" ref="CI282" ca="1" si="1095">AB282+BC282+CD282</f>
        <v>1</v>
      </c>
      <c r="CJ282" s="355">
        <f ca="1">COUNTIF(INDIRECT("D330:CA331"),"*●*")</f>
        <v>0</v>
      </c>
      <c r="CK282" s="356">
        <f ca="1">COUNTIF(INDIRECT("D330:CA331"),"*㋷*")</f>
        <v>0</v>
      </c>
      <c r="CL282" s="75"/>
      <c r="CN282" s="160">
        <f t="shared" si="1058"/>
        <v>45820</v>
      </c>
      <c r="CO282" s="162" t="str">
        <f t="shared" si="1059"/>
        <v>木</v>
      </c>
      <c r="CP282" s="357"/>
      <c r="CQ282" s="358"/>
      <c r="CR282" s="359"/>
      <c r="CS282" s="358"/>
      <c r="CT282" s="359"/>
      <c r="CU282" s="358"/>
      <c r="CZ282" s="73">
        <v>6</v>
      </c>
      <c r="DA282" s="73">
        <v>6</v>
      </c>
      <c r="DB282" s="73">
        <v>12</v>
      </c>
      <c r="DC282" s="74">
        <f t="shared" si="1035"/>
        <v>45820</v>
      </c>
      <c r="DD282" s="68" t="str">
        <f t="shared" si="1075"/>
        <v>木</v>
      </c>
      <c r="DF282" s="155">
        <f t="shared" ref="DF282" si="1096">$DC282</f>
        <v>45820</v>
      </c>
      <c r="DG282" s="156" t="e">
        <f ca="1">IF($CH282&gt;=設定!$E$12,"✕",IF(SS予約表!$CG282&gt;=設定!$E$12,"△","○"))</f>
        <v>#NAME?</v>
      </c>
    </row>
    <row r="283" spans="1:111" ht="29.25" customHeight="1">
      <c r="A283" s="284"/>
      <c r="B283" s="285"/>
      <c r="C283" s="286" t="s">
        <v>28</v>
      </c>
      <c r="D283" s="287"/>
      <c r="E283" s="288"/>
      <c r="F283" s="299"/>
      <c r="G283" s="300"/>
      <c r="H283" s="290"/>
      <c r="I283" s="288"/>
      <c r="J283" s="289"/>
      <c r="K283" s="291"/>
      <c r="L283" s="289"/>
      <c r="M283" s="291"/>
      <c r="N283" s="289"/>
      <c r="O283" s="291"/>
      <c r="P283" s="289"/>
      <c r="Q283" s="291"/>
      <c r="R283" s="289"/>
      <c r="S283" s="291"/>
      <c r="T283" s="289"/>
      <c r="U283" s="291"/>
      <c r="V283" s="289"/>
      <c r="W283" s="291"/>
      <c r="X283" s="292"/>
      <c r="Y283" s="293"/>
      <c r="Z283" s="294"/>
      <c r="AA283" s="295"/>
      <c r="AB283" s="296"/>
      <c r="AC283" s="297"/>
      <c r="AD283" s="298"/>
      <c r="AE283" s="299"/>
      <c r="AF283" s="300"/>
      <c r="AG283" s="289"/>
      <c r="AH283" s="291"/>
      <c r="AI283" s="301"/>
      <c r="AJ283" s="302"/>
      <c r="AK283" s="301"/>
      <c r="AL283" s="302"/>
      <c r="AM283" s="301"/>
      <c r="AN283" s="302"/>
      <c r="AO283" s="301"/>
      <c r="AP283" s="302"/>
      <c r="AQ283" s="301"/>
      <c r="AR283" s="302"/>
      <c r="AS283" s="301"/>
      <c r="AT283" s="302"/>
      <c r="AU283" s="289"/>
      <c r="AV283" s="288"/>
      <c r="AW283" s="301"/>
      <c r="AX283" s="302"/>
      <c r="AY283" s="303"/>
      <c r="AZ283" s="304"/>
      <c r="BA283" s="294"/>
      <c r="BB283" s="295"/>
      <c r="BC283" s="296"/>
      <c r="BD283" s="284"/>
      <c r="BE283" s="298"/>
      <c r="BF283" s="305"/>
      <c r="BG283" s="302"/>
      <c r="BH283" s="301"/>
      <c r="BI283" s="302"/>
      <c r="BJ283" s="301"/>
      <c r="BK283" s="302"/>
      <c r="BL283" s="301"/>
      <c r="BM283" s="302"/>
      <c r="BN283" s="301"/>
      <c r="BO283" s="302"/>
      <c r="BP283" s="301"/>
      <c r="BQ283" s="302"/>
      <c r="BR283" s="301"/>
      <c r="BS283" s="302"/>
      <c r="BT283" s="301"/>
      <c r="BU283" s="302"/>
      <c r="BV283" s="301"/>
      <c r="BW283" s="302"/>
      <c r="BX283" s="301"/>
      <c r="BY283" s="302"/>
      <c r="BZ283" s="306"/>
      <c r="CA283" s="304"/>
      <c r="CB283" s="294"/>
      <c r="CC283" s="295"/>
      <c r="CD283" s="296"/>
      <c r="CE283" s="284"/>
      <c r="CF283" s="298"/>
      <c r="CG283" s="307"/>
      <c r="CH283" s="308"/>
      <c r="CI283" s="309"/>
      <c r="CJ283" s="310"/>
      <c r="CK283" s="311"/>
      <c r="CL283" s="75"/>
      <c r="CN283" s="161"/>
      <c r="CO283" s="163"/>
      <c r="CP283" s="315"/>
      <c r="CQ283" s="316"/>
      <c r="CR283" s="317"/>
      <c r="CS283" s="316"/>
      <c r="CT283" s="317"/>
      <c r="CU283" s="316"/>
      <c r="CZ283" s="73">
        <v>6</v>
      </c>
      <c r="DA283" s="73">
        <v>6</v>
      </c>
      <c r="DB283" s="73">
        <v>12</v>
      </c>
      <c r="DC283" s="74">
        <f t="shared" si="1035"/>
        <v>45820</v>
      </c>
      <c r="DD283" s="68" t="str">
        <f t="shared" si="1075"/>
        <v>木</v>
      </c>
      <c r="DF283" s="156"/>
      <c r="DG283" s="156"/>
    </row>
    <row r="284" spans="1:111" ht="28.5" customHeight="1">
      <c r="A284" s="327">
        <f t="shared" si="1044"/>
        <v>45821</v>
      </c>
      <c r="B284" s="365" t="str">
        <f t="shared" si="1045"/>
        <v>金</v>
      </c>
      <c r="C284" s="329" t="s">
        <v>27</v>
      </c>
      <c r="D284" s="405"/>
      <c r="E284" s="439"/>
      <c r="F284" s="335"/>
      <c r="G284" s="347"/>
      <c r="H284" s="482"/>
      <c r="I284" s="439"/>
      <c r="J284" s="431"/>
      <c r="K284" s="432"/>
      <c r="L284" s="431"/>
      <c r="M284" s="432"/>
      <c r="N284" s="431"/>
      <c r="O284" s="432"/>
      <c r="P284" s="431"/>
      <c r="Q284" s="432"/>
      <c r="R284" s="431"/>
      <c r="S284" s="432"/>
      <c r="T284" s="431"/>
      <c r="U284" s="432"/>
      <c r="V284" s="431"/>
      <c r="W284" s="432"/>
      <c r="X284" s="483"/>
      <c r="Y284" s="485"/>
      <c r="Z284" s="342">
        <f t="shared" ref="Z284" ca="1" si="1097">UDayCou(1,ROW())</f>
        <v>3</v>
      </c>
      <c r="AA284" s="343">
        <f t="shared" ref="AA284" ca="1" si="1098">UNightCou(1,ROW())</f>
        <v>3</v>
      </c>
      <c r="AB284" s="344">
        <f t="shared" ref="AB284" ca="1" si="1099">UNewCou(1,ROW())</f>
        <v>1</v>
      </c>
      <c r="AC284" s="345">
        <f t="shared" si="1049"/>
        <v>45821</v>
      </c>
      <c r="AD284" s="371" t="str">
        <f t="shared" si="1050"/>
        <v>金</v>
      </c>
      <c r="AE284" s="335"/>
      <c r="AF284" s="347"/>
      <c r="AG284" s="431"/>
      <c r="AH284" s="432"/>
      <c r="AI284" s="330"/>
      <c r="AJ284" s="351"/>
      <c r="AK284" s="330"/>
      <c r="AL284" s="351"/>
      <c r="AM284" s="330"/>
      <c r="AN284" s="351"/>
      <c r="AO284" s="330"/>
      <c r="AP284" s="351"/>
      <c r="AQ284" s="330"/>
      <c r="AR284" s="351"/>
      <c r="AS284" s="330"/>
      <c r="AT284" s="351"/>
      <c r="AU284" s="431"/>
      <c r="AV284" s="439"/>
      <c r="AW284" s="330"/>
      <c r="AX284" s="351"/>
      <c r="AY284" s="340"/>
      <c r="AZ284" s="341"/>
      <c r="BA284" s="342">
        <f ca="1">UDayCou(2,ROW())</f>
        <v>1</v>
      </c>
      <c r="BB284" s="343">
        <f ca="1">UNightCou(2,ROW())</f>
        <v>1</v>
      </c>
      <c r="BC284" s="344">
        <f ca="1">UNewCou(2,ROW())</f>
        <v>0</v>
      </c>
      <c r="BD284" s="327">
        <f t="shared" si="1051"/>
        <v>45821</v>
      </c>
      <c r="BE284" s="371" t="str">
        <f t="shared" si="1052"/>
        <v>金</v>
      </c>
      <c r="BF284" s="350"/>
      <c r="BG284" s="351"/>
      <c r="BH284" s="330"/>
      <c r="BI284" s="351"/>
      <c r="BJ284" s="330"/>
      <c r="BK284" s="351"/>
      <c r="BL284" s="330"/>
      <c r="BM284" s="351"/>
      <c r="BN284" s="330"/>
      <c r="BO284" s="351"/>
      <c r="BP284" s="330"/>
      <c r="BQ284" s="351"/>
      <c r="BR284" s="330"/>
      <c r="BS284" s="351"/>
      <c r="BT284" s="330"/>
      <c r="BU284" s="351"/>
      <c r="BV284" s="330"/>
      <c r="BW284" s="351"/>
      <c r="BX284" s="330"/>
      <c r="BY284" s="351"/>
      <c r="BZ284" s="389"/>
      <c r="CA284" s="341"/>
      <c r="CB284" s="342">
        <f ca="1">UDayCou(3,ROW())</f>
        <v>0</v>
      </c>
      <c r="CC284" s="343">
        <f ca="1">UNightCou(3,ROW())</f>
        <v>0</v>
      </c>
      <c r="CD284" s="344">
        <f ca="1">UNewCou(3,ROW())</f>
        <v>0</v>
      </c>
      <c r="CE284" s="327">
        <f t="shared" si="1053"/>
        <v>45821</v>
      </c>
      <c r="CF284" s="371" t="str">
        <f t="shared" si="1054"/>
        <v>金</v>
      </c>
      <c r="CG284" s="352">
        <f t="shared" ref="CG284" ca="1" si="1100">Z284+BA284+CB284</f>
        <v>4</v>
      </c>
      <c r="CH284" s="353">
        <f t="shared" ref="CH284" ca="1" si="1101">AA284+BB284+CC284</f>
        <v>4</v>
      </c>
      <c r="CI284" s="354">
        <f t="shared" ref="CI284" ca="1" si="1102">AB284+BC284+CD284</f>
        <v>1</v>
      </c>
      <c r="CJ284" s="355">
        <f ca="1">COUNTIF(INDIRECT("D332:CA333"),"*●*")</f>
        <v>0</v>
      </c>
      <c r="CK284" s="356">
        <f ca="1">COUNTIF(INDIRECT("D332:CA333"),"*㋷*")</f>
        <v>0</v>
      </c>
      <c r="CL284" s="75"/>
      <c r="CN284" s="160">
        <f t="shared" si="1058"/>
        <v>45821</v>
      </c>
      <c r="CO284" s="162" t="str">
        <f t="shared" si="1059"/>
        <v>金</v>
      </c>
      <c r="CP284" s="357"/>
      <c r="CQ284" s="358"/>
      <c r="CR284" s="359"/>
      <c r="CS284" s="358"/>
      <c r="CT284" s="359"/>
      <c r="CU284" s="358"/>
      <c r="CZ284" s="73">
        <v>6</v>
      </c>
      <c r="DA284" s="73">
        <v>6</v>
      </c>
      <c r="DB284" s="73">
        <v>13</v>
      </c>
      <c r="DC284" s="74">
        <f t="shared" si="1035"/>
        <v>45821</v>
      </c>
      <c r="DD284" s="68" t="str">
        <f t="shared" si="1075"/>
        <v>金</v>
      </c>
      <c r="DF284" s="155">
        <f t="shared" ref="DF284" si="1103">$DC284</f>
        <v>45821</v>
      </c>
      <c r="DG284" s="156" t="e">
        <f ca="1">IF($CH284&gt;=設定!$E$12,"✕",IF(SS予約表!$CG284&gt;=設定!$E$12,"△","○"))</f>
        <v>#NAME?</v>
      </c>
    </row>
    <row r="285" spans="1:111" ht="29.25" customHeight="1">
      <c r="A285" s="284"/>
      <c r="B285" s="285"/>
      <c r="C285" s="286" t="s">
        <v>28</v>
      </c>
      <c r="D285" s="287"/>
      <c r="E285" s="288"/>
      <c r="F285" s="289">
        <v>10</v>
      </c>
      <c r="G285" s="288" t="s">
        <v>132</v>
      </c>
      <c r="H285" s="290"/>
      <c r="I285" s="288"/>
      <c r="J285" s="289"/>
      <c r="K285" s="291"/>
      <c r="L285" s="289"/>
      <c r="M285" s="291"/>
      <c r="N285" s="289"/>
      <c r="O285" s="291"/>
      <c r="P285" s="289"/>
      <c r="Q285" s="291"/>
      <c r="R285" s="289"/>
      <c r="S285" s="291"/>
      <c r="T285" s="289"/>
      <c r="U285" s="291"/>
      <c r="V285" s="289"/>
      <c r="W285" s="291"/>
      <c r="X285" s="292"/>
      <c r="Y285" s="293"/>
      <c r="Z285" s="294"/>
      <c r="AA285" s="295"/>
      <c r="AB285" s="296"/>
      <c r="AC285" s="297"/>
      <c r="AD285" s="298"/>
      <c r="AE285" s="299"/>
      <c r="AF285" s="300"/>
      <c r="AG285" s="289"/>
      <c r="AH285" s="291"/>
      <c r="AI285" s="301"/>
      <c r="AJ285" s="302"/>
      <c r="AK285" s="301"/>
      <c r="AL285" s="302"/>
      <c r="AM285" s="301"/>
      <c r="AN285" s="302"/>
      <c r="AO285" s="301"/>
      <c r="AP285" s="302"/>
      <c r="AQ285" s="301"/>
      <c r="AR285" s="302"/>
      <c r="AS285" s="301"/>
      <c r="AT285" s="302"/>
      <c r="AU285" s="289"/>
      <c r="AV285" s="288"/>
      <c r="AW285" s="301"/>
      <c r="AX285" s="302"/>
      <c r="AY285" s="303"/>
      <c r="AZ285" s="304"/>
      <c r="BA285" s="294"/>
      <c r="BB285" s="295"/>
      <c r="BC285" s="296"/>
      <c r="BD285" s="284"/>
      <c r="BE285" s="298"/>
      <c r="BF285" s="305"/>
      <c r="BG285" s="302"/>
      <c r="BH285" s="301"/>
      <c r="BI285" s="302"/>
      <c r="BJ285" s="301"/>
      <c r="BK285" s="302"/>
      <c r="BL285" s="301"/>
      <c r="BM285" s="302"/>
      <c r="BN285" s="301"/>
      <c r="BO285" s="302"/>
      <c r="BP285" s="301"/>
      <c r="BQ285" s="302"/>
      <c r="BR285" s="301"/>
      <c r="BS285" s="302"/>
      <c r="BT285" s="301"/>
      <c r="BU285" s="302"/>
      <c r="BV285" s="301"/>
      <c r="BW285" s="302"/>
      <c r="BX285" s="301"/>
      <c r="BY285" s="302"/>
      <c r="BZ285" s="306"/>
      <c r="CA285" s="304"/>
      <c r="CB285" s="294"/>
      <c r="CC285" s="295"/>
      <c r="CD285" s="296"/>
      <c r="CE285" s="284"/>
      <c r="CF285" s="298"/>
      <c r="CG285" s="307"/>
      <c r="CH285" s="308"/>
      <c r="CI285" s="309"/>
      <c r="CJ285" s="310"/>
      <c r="CK285" s="311"/>
      <c r="CL285" s="75"/>
      <c r="CN285" s="161"/>
      <c r="CO285" s="163"/>
      <c r="CP285" s="315"/>
      <c r="CQ285" s="316"/>
      <c r="CR285" s="317"/>
      <c r="CS285" s="316"/>
      <c r="CT285" s="317"/>
      <c r="CU285" s="316"/>
      <c r="CZ285" s="73">
        <v>6</v>
      </c>
      <c r="DA285" s="73">
        <v>6</v>
      </c>
      <c r="DB285" s="73">
        <v>13</v>
      </c>
      <c r="DC285" s="74">
        <f t="shared" si="1035"/>
        <v>45821</v>
      </c>
      <c r="DD285" s="68" t="str">
        <f t="shared" si="1075"/>
        <v>金</v>
      </c>
      <c r="DF285" s="156"/>
      <c r="DG285" s="156"/>
    </row>
  </sheetData>
  <sheetProtection formatCells="0"/>
  <customSheetViews>
    <customSheetView guid="{B061BDB8-F860-4D44-941F-C2AA21ACDACC}" scale="43" showPageBreaks="1" fitToPage="1" printArea="1" hiddenRows="1" hiddenColumns="1">
      <pane xSplit="3" ySplit="3" topLeftCell="D169" activePane="bottomRight" state="frozen"/>
      <selection pane="bottomRight" activeCell="D186" sqref="D186"/>
      <rowBreaks count="13" manualBreakCount="13">
        <brk id="65" max="90" man="1"/>
        <brk id="123" max="90" man="1"/>
        <brk id="185" max="90" man="1"/>
        <brk id="245" max="90" man="1"/>
        <brk id="307" max="90" man="1"/>
        <brk id="367" max="90" man="1"/>
        <brk id="429" max="90" man="1"/>
        <brk id="491" max="90" man="1"/>
        <brk id="551" max="90" man="1"/>
        <brk id="613" max="90" man="1"/>
        <brk id="673" max="90" man="1"/>
        <brk id="735" max="90" man="1"/>
        <brk id="797" max="90" man="1"/>
      </rowBreaks>
      <pageMargins left="0" right="0" top="0" bottom="0" header="0" footer="0"/>
      <pageSetup paperSize="8" scale="29" fitToHeight="0" orientation="landscape" r:id="rId1"/>
      <headerFooter>
        <oddHeader>&amp;R&amp;"メイリオ,ボールド"&amp;28&amp;D　&amp;T</oddHeader>
      </headerFooter>
    </customSheetView>
  </customSheetViews>
  <mergeCells count="3706">
    <mergeCell ref="A282:A283"/>
    <mergeCell ref="CG282:CG283"/>
    <mergeCell ref="CH282:CH283"/>
    <mergeCell ref="CI282:CI283"/>
    <mergeCell ref="CJ282:CJ283"/>
    <mergeCell ref="CK282:CK283"/>
    <mergeCell ref="A284:A285"/>
    <mergeCell ref="CG284:CG285"/>
    <mergeCell ref="CH284:CH285"/>
    <mergeCell ref="CI284:CI285"/>
    <mergeCell ref="CJ284:CJ285"/>
    <mergeCell ref="CK284:CK285"/>
    <mergeCell ref="CL130:CL131"/>
    <mergeCell ref="CM130:CM131"/>
    <mergeCell ref="CL133:CL134"/>
    <mergeCell ref="CM133:CM134"/>
    <mergeCell ref="CL136:CL137"/>
    <mergeCell ref="CM136:CM137"/>
    <mergeCell ref="CL190:CL191"/>
    <mergeCell ref="CM190:CM191"/>
    <mergeCell ref="CL193:CL194"/>
    <mergeCell ref="CM193:CM194"/>
    <mergeCell ref="CL196:CL197"/>
    <mergeCell ref="CM196:CM197"/>
    <mergeCell ref="CL252:CL253"/>
    <mergeCell ref="CM252:CM253"/>
    <mergeCell ref="CL255:CL256"/>
    <mergeCell ref="CM255:CM256"/>
    <mergeCell ref="CL258:CL259"/>
    <mergeCell ref="CM258:CM259"/>
    <mergeCell ref="B282:B283"/>
    <mergeCell ref="Z282:Z283"/>
    <mergeCell ref="AC274:AC275"/>
    <mergeCell ref="AD274:AD275"/>
    <mergeCell ref="B276:B277"/>
    <mergeCell ref="Z276:Z277"/>
    <mergeCell ref="AA282:AA283"/>
    <mergeCell ref="AB282:AB283"/>
    <mergeCell ref="AC282:AC283"/>
    <mergeCell ref="AD282:AD283"/>
    <mergeCell ref="B284:B285"/>
    <mergeCell ref="Z284:Z285"/>
    <mergeCell ref="AA284:AA285"/>
    <mergeCell ref="AB284:AB285"/>
    <mergeCell ref="AC284:AC285"/>
    <mergeCell ref="AD284:AD285"/>
    <mergeCell ref="B278:B279"/>
    <mergeCell ref="Z278:Z279"/>
    <mergeCell ref="AA278:AA279"/>
    <mergeCell ref="AB278:AB279"/>
    <mergeCell ref="AC278:AC279"/>
    <mergeCell ref="AD278:AD279"/>
    <mergeCell ref="B280:B281"/>
    <mergeCell ref="Z280:Z281"/>
    <mergeCell ref="AA280:AA281"/>
    <mergeCell ref="AB280:AB281"/>
    <mergeCell ref="AC280:AC281"/>
    <mergeCell ref="AD280:AD281"/>
    <mergeCell ref="AA276:AA277"/>
    <mergeCell ref="AB276:AB277"/>
    <mergeCell ref="AC276:AC277"/>
    <mergeCell ref="AD276:AD277"/>
    <mergeCell ref="B274:B275"/>
    <mergeCell ref="Z274:Z275"/>
    <mergeCell ref="BA270:BA271"/>
    <mergeCell ref="BB270:BB271"/>
    <mergeCell ref="BC270:BC271"/>
    <mergeCell ref="BD270:BD271"/>
    <mergeCell ref="BE270:BE271"/>
    <mergeCell ref="BA272:BA273"/>
    <mergeCell ref="BB272:BB273"/>
    <mergeCell ref="BC272:BC273"/>
    <mergeCell ref="A278:A279"/>
    <mergeCell ref="CG278:CG279"/>
    <mergeCell ref="CH278:CH279"/>
    <mergeCell ref="CI278:CI279"/>
    <mergeCell ref="CJ278:CJ279"/>
    <mergeCell ref="CK278:CK279"/>
    <mergeCell ref="A280:A281"/>
    <mergeCell ref="CG280:CG281"/>
    <mergeCell ref="CH280:CH281"/>
    <mergeCell ref="CI280:CI281"/>
    <mergeCell ref="CJ280:CJ281"/>
    <mergeCell ref="CK280:CK281"/>
    <mergeCell ref="A274:A275"/>
    <mergeCell ref="CG274:CG275"/>
    <mergeCell ref="CH274:CH275"/>
    <mergeCell ref="CI274:CI275"/>
    <mergeCell ref="CJ274:CJ275"/>
    <mergeCell ref="CK274:CK275"/>
    <mergeCell ref="A276:A277"/>
    <mergeCell ref="CG276:CG277"/>
    <mergeCell ref="CH276:CH277"/>
    <mergeCell ref="CI276:CI277"/>
    <mergeCell ref="CJ276:CJ277"/>
    <mergeCell ref="CK276:CK277"/>
    <mergeCell ref="B264:B265"/>
    <mergeCell ref="Z264:Z265"/>
    <mergeCell ref="BA260:BA261"/>
    <mergeCell ref="BB260:BB261"/>
    <mergeCell ref="BC260:BC261"/>
    <mergeCell ref="BD260:BD261"/>
    <mergeCell ref="BE262:BE263"/>
    <mergeCell ref="BA264:BA265"/>
    <mergeCell ref="A270:A271"/>
    <mergeCell ref="CG270:CG271"/>
    <mergeCell ref="CH270:CH271"/>
    <mergeCell ref="CI270:CI271"/>
    <mergeCell ref="CJ270:CJ271"/>
    <mergeCell ref="CK270:CK271"/>
    <mergeCell ref="A272:A273"/>
    <mergeCell ref="CG272:CG273"/>
    <mergeCell ref="CH272:CH273"/>
    <mergeCell ref="CI272:CI273"/>
    <mergeCell ref="CJ272:CJ273"/>
    <mergeCell ref="CK272:CK273"/>
    <mergeCell ref="A266:A267"/>
    <mergeCell ref="CG266:CG267"/>
    <mergeCell ref="CH266:CH267"/>
    <mergeCell ref="CI266:CI267"/>
    <mergeCell ref="CJ266:CJ267"/>
    <mergeCell ref="CK266:CK267"/>
    <mergeCell ref="A268:A269"/>
    <mergeCell ref="CG268:CG269"/>
    <mergeCell ref="CH268:CH269"/>
    <mergeCell ref="CI268:CI269"/>
    <mergeCell ref="CJ268:CJ269"/>
    <mergeCell ref="CK268:CK269"/>
    <mergeCell ref="BA256:BA257"/>
    <mergeCell ref="BB256:BB257"/>
    <mergeCell ref="BC256:BC257"/>
    <mergeCell ref="BD256:BD257"/>
    <mergeCell ref="BE256:BE257"/>
    <mergeCell ref="BA258:BA259"/>
    <mergeCell ref="BB258:BB259"/>
    <mergeCell ref="BC258:BC259"/>
    <mergeCell ref="A264:A265"/>
    <mergeCell ref="CG264:CG265"/>
    <mergeCell ref="CH264:CH265"/>
    <mergeCell ref="CI264:CI265"/>
    <mergeCell ref="CJ264:CJ265"/>
    <mergeCell ref="CK264:CK265"/>
    <mergeCell ref="A258:A259"/>
    <mergeCell ref="CG258:CG259"/>
    <mergeCell ref="CH258:CH259"/>
    <mergeCell ref="CI258:CI259"/>
    <mergeCell ref="CJ258:CJ259"/>
    <mergeCell ref="CK258:CK259"/>
    <mergeCell ref="A260:A261"/>
    <mergeCell ref="CG260:CG261"/>
    <mergeCell ref="CH260:CH261"/>
    <mergeCell ref="CI260:CI261"/>
    <mergeCell ref="CJ260:CJ261"/>
    <mergeCell ref="CK260:CK261"/>
    <mergeCell ref="B262:B263"/>
    <mergeCell ref="Z262:Z263"/>
    <mergeCell ref="AA262:AA263"/>
    <mergeCell ref="AB262:AB263"/>
    <mergeCell ref="AC262:AC263"/>
    <mergeCell ref="AD262:AD263"/>
    <mergeCell ref="CJ252:CJ253"/>
    <mergeCell ref="CK252:CK253"/>
    <mergeCell ref="B250:B251"/>
    <mergeCell ref="Z250:Z251"/>
    <mergeCell ref="AA250:AA251"/>
    <mergeCell ref="AB250:AB251"/>
    <mergeCell ref="AC250:AC251"/>
    <mergeCell ref="AD250:AD251"/>
    <mergeCell ref="B252:B253"/>
    <mergeCell ref="Z252:Z253"/>
    <mergeCell ref="A262:A263"/>
    <mergeCell ref="CG262:CG263"/>
    <mergeCell ref="CH262:CH263"/>
    <mergeCell ref="CI262:CI263"/>
    <mergeCell ref="CJ262:CJ263"/>
    <mergeCell ref="CK262:CK263"/>
    <mergeCell ref="B254:B255"/>
    <mergeCell ref="Z254:Z255"/>
    <mergeCell ref="AA254:AA255"/>
    <mergeCell ref="AB254:AB255"/>
    <mergeCell ref="AC254:AC255"/>
    <mergeCell ref="AD254:AD255"/>
    <mergeCell ref="B256:B257"/>
    <mergeCell ref="Z256:Z257"/>
    <mergeCell ref="AA256:AA257"/>
    <mergeCell ref="AB256:AB257"/>
    <mergeCell ref="AC256:AC257"/>
    <mergeCell ref="AD256:AD257"/>
    <mergeCell ref="AA252:AA253"/>
    <mergeCell ref="AB252:AB253"/>
    <mergeCell ref="AC252:AC253"/>
    <mergeCell ref="AD252:AD253"/>
    <mergeCell ref="BA244:BA245"/>
    <mergeCell ref="BB244:BB245"/>
    <mergeCell ref="BC244:BC245"/>
    <mergeCell ref="BD244:BD245"/>
    <mergeCell ref="BE244:BE245"/>
    <mergeCell ref="BA246:BA247"/>
    <mergeCell ref="BB246:BB247"/>
    <mergeCell ref="BC246:BC247"/>
    <mergeCell ref="B246:B247"/>
    <mergeCell ref="Z246:Z247"/>
    <mergeCell ref="A254:A255"/>
    <mergeCell ref="CG254:CG255"/>
    <mergeCell ref="CH254:CH255"/>
    <mergeCell ref="CI254:CI255"/>
    <mergeCell ref="CJ254:CJ255"/>
    <mergeCell ref="CK254:CK255"/>
    <mergeCell ref="A256:A257"/>
    <mergeCell ref="CG256:CG257"/>
    <mergeCell ref="CH256:CH257"/>
    <mergeCell ref="CI256:CI257"/>
    <mergeCell ref="CJ256:CJ257"/>
    <mergeCell ref="CK256:CK257"/>
    <mergeCell ref="A250:A251"/>
    <mergeCell ref="CG250:CG251"/>
    <mergeCell ref="CH250:CH251"/>
    <mergeCell ref="CI250:CI251"/>
    <mergeCell ref="CJ250:CJ251"/>
    <mergeCell ref="CK250:CK251"/>
    <mergeCell ref="A252:A253"/>
    <mergeCell ref="CG252:CG253"/>
    <mergeCell ref="CH252:CH253"/>
    <mergeCell ref="CI252:CI253"/>
    <mergeCell ref="B240:B241"/>
    <mergeCell ref="Z240:Z241"/>
    <mergeCell ref="AA240:AA241"/>
    <mergeCell ref="AB240:AB241"/>
    <mergeCell ref="AC240:AC241"/>
    <mergeCell ref="AD240:AD241"/>
    <mergeCell ref="BA236:BA237"/>
    <mergeCell ref="BB236:BB237"/>
    <mergeCell ref="A246:A247"/>
    <mergeCell ref="CG246:CG247"/>
    <mergeCell ref="CH246:CH247"/>
    <mergeCell ref="CI246:CI247"/>
    <mergeCell ref="CJ246:CJ247"/>
    <mergeCell ref="CK246:CK247"/>
    <mergeCell ref="A248:A249"/>
    <mergeCell ref="CG248:CG249"/>
    <mergeCell ref="CH248:CH249"/>
    <mergeCell ref="CI248:CI249"/>
    <mergeCell ref="CJ248:CJ249"/>
    <mergeCell ref="CK248:CK249"/>
    <mergeCell ref="A242:A243"/>
    <mergeCell ref="CG242:CG243"/>
    <mergeCell ref="CH242:CH243"/>
    <mergeCell ref="CI242:CI243"/>
    <mergeCell ref="CJ242:CJ243"/>
    <mergeCell ref="CK242:CK243"/>
    <mergeCell ref="A244:A245"/>
    <mergeCell ref="CG244:CG245"/>
    <mergeCell ref="CH244:CH245"/>
    <mergeCell ref="CI244:CI245"/>
    <mergeCell ref="CJ244:CJ245"/>
    <mergeCell ref="CK244:CK245"/>
    <mergeCell ref="AC230:AC231"/>
    <mergeCell ref="AD230:AD231"/>
    <mergeCell ref="B232:B233"/>
    <mergeCell ref="Z232:Z233"/>
    <mergeCell ref="AA232:AA233"/>
    <mergeCell ref="AB232:AB233"/>
    <mergeCell ref="AC232:AC233"/>
    <mergeCell ref="AD232:AD233"/>
    <mergeCell ref="A240:A241"/>
    <mergeCell ref="CG240:CG241"/>
    <mergeCell ref="CH240:CH241"/>
    <mergeCell ref="CI240:CI241"/>
    <mergeCell ref="CJ240:CJ241"/>
    <mergeCell ref="CK240:CK241"/>
    <mergeCell ref="A234:A235"/>
    <mergeCell ref="CG234:CG235"/>
    <mergeCell ref="CH234:CH235"/>
    <mergeCell ref="CI234:CI235"/>
    <mergeCell ref="CJ234:CJ235"/>
    <mergeCell ref="CK234:CK235"/>
    <mergeCell ref="A236:A237"/>
    <mergeCell ref="CG236:CG237"/>
    <mergeCell ref="CH236:CH237"/>
    <mergeCell ref="CI236:CI237"/>
    <mergeCell ref="CJ236:CJ237"/>
    <mergeCell ref="CK236:CK237"/>
    <mergeCell ref="B238:B239"/>
    <mergeCell ref="Z238:Z239"/>
    <mergeCell ref="AA238:AA239"/>
    <mergeCell ref="AB238:AB239"/>
    <mergeCell ref="AC238:AC239"/>
    <mergeCell ref="AD238:AD239"/>
    <mergeCell ref="A238:A239"/>
    <mergeCell ref="CG238:CG239"/>
    <mergeCell ref="CH238:CH239"/>
    <mergeCell ref="CI238:CI239"/>
    <mergeCell ref="CJ238:CJ239"/>
    <mergeCell ref="CK238:CK239"/>
    <mergeCell ref="B234:B235"/>
    <mergeCell ref="Z234:Z235"/>
    <mergeCell ref="AA234:AA235"/>
    <mergeCell ref="AB234:AB235"/>
    <mergeCell ref="AC234:AC235"/>
    <mergeCell ref="AD234:AD235"/>
    <mergeCell ref="B236:B237"/>
    <mergeCell ref="Z236:Z237"/>
    <mergeCell ref="AA236:AA237"/>
    <mergeCell ref="AB236:AB237"/>
    <mergeCell ref="AC236:AC237"/>
    <mergeCell ref="AD236:AD237"/>
    <mergeCell ref="BE238:BE239"/>
    <mergeCell ref="BE234:BE235"/>
    <mergeCell ref="BC236:BC237"/>
    <mergeCell ref="BD236:BD237"/>
    <mergeCell ref="BE236:BE237"/>
    <mergeCell ref="BA238:BA239"/>
    <mergeCell ref="BB238:BB239"/>
    <mergeCell ref="BC238:BC239"/>
    <mergeCell ref="BD238:BD239"/>
    <mergeCell ref="CB236:CB237"/>
    <mergeCell ref="CC236:CC237"/>
    <mergeCell ref="CD236:CD237"/>
    <mergeCell ref="CE236:CE237"/>
    <mergeCell ref="CF236:CF237"/>
    <mergeCell ref="A230:A231"/>
    <mergeCell ref="CG230:CG231"/>
    <mergeCell ref="CH230:CH231"/>
    <mergeCell ref="CI230:CI231"/>
    <mergeCell ref="CJ230:CJ231"/>
    <mergeCell ref="CK230:CK231"/>
    <mergeCell ref="A232:A233"/>
    <mergeCell ref="CG232:CG233"/>
    <mergeCell ref="CH232:CH233"/>
    <mergeCell ref="CI232:CI233"/>
    <mergeCell ref="CJ232:CJ233"/>
    <mergeCell ref="CK232:CK233"/>
    <mergeCell ref="A226:A227"/>
    <mergeCell ref="CG226:CG227"/>
    <mergeCell ref="CH226:CH227"/>
    <mergeCell ref="CI226:CI227"/>
    <mergeCell ref="CJ226:CJ227"/>
    <mergeCell ref="CK226:CK227"/>
    <mergeCell ref="A228:A229"/>
    <mergeCell ref="CG228:CG229"/>
    <mergeCell ref="CH228:CH229"/>
    <mergeCell ref="CI228:CI229"/>
    <mergeCell ref="CJ228:CJ229"/>
    <mergeCell ref="CK228:CK229"/>
    <mergeCell ref="B226:B227"/>
    <mergeCell ref="Z226:Z227"/>
    <mergeCell ref="AA226:AA227"/>
    <mergeCell ref="AB226:AB227"/>
    <mergeCell ref="B228:B229"/>
    <mergeCell ref="Z228:Z229"/>
    <mergeCell ref="B230:B231"/>
    <mergeCell ref="Z230:Z231"/>
    <mergeCell ref="A222:A223"/>
    <mergeCell ref="CG222:CG223"/>
    <mergeCell ref="CH222:CH223"/>
    <mergeCell ref="CI222:CI223"/>
    <mergeCell ref="CJ222:CJ223"/>
    <mergeCell ref="CK222:CK223"/>
    <mergeCell ref="A224:A225"/>
    <mergeCell ref="CG224:CG225"/>
    <mergeCell ref="CH224:CH225"/>
    <mergeCell ref="CI224:CI225"/>
    <mergeCell ref="CJ224:CJ225"/>
    <mergeCell ref="CK224:CK225"/>
    <mergeCell ref="A218:A219"/>
    <mergeCell ref="CG218:CG219"/>
    <mergeCell ref="CH218:CH219"/>
    <mergeCell ref="CI218:CI219"/>
    <mergeCell ref="CJ218:CJ219"/>
    <mergeCell ref="CK218:CK219"/>
    <mergeCell ref="A220:A221"/>
    <mergeCell ref="CG220:CG221"/>
    <mergeCell ref="CH220:CH221"/>
    <mergeCell ref="CI220:CI221"/>
    <mergeCell ref="CJ220:CJ221"/>
    <mergeCell ref="CK220:CK221"/>
    <mergeCell ref="BA218:BA219"/>
    <mergeCell ref="BB218:BB219"/>
    <mergeCell ref="BC218:BC219"/>
    <mergeCell ref="BD218:BD219"/>
    <mergeCell ref="BE218:BE219"/>
    <mergeCell ref="BA220:BA221"/>
    <mergeCell ref="BB220:BB221"/>
    <mergeCell ref="BC220:BC221"/>
    <mergeCell ref="A216:A217"/>
    <mergeCell ref="CG216:CG217"/>
    <mergeCell ref="CH216:CH217"/>
    <mergeCell ref="CI216:CI217"/>
    <mergeCell ref="CJ216:CJ217"/>
    <mergeCell ref="CK216:CK217"/>
    <mergeCell ref="A210:A211"/>
    <mergeCell ref="CG210:CG211"/>
    <mergeCell ref="CH210:CH211"/>
    <mergeCell ref="CI210:CI211"/>
    <mergeCell ref="CJ210:CJ211"/>
    <mergeCell ref="CK210:CK211"/>
    <mergeCell ref="A212:A213"/>
    <mergeCell ref="CG212:CG213"/>
    <mergeCell ref="CH212:CH213"/>
    <mergeCell ref="CI212:CI213"/>
    <mergeCell ref="CJ212:CJ213"/>
    <mergeCell ref="CK212:CK213"/>
    <mergeCell ref="B214:B215"/>
    <mergeCell ref="Z214:Z215"/>
    <mergeCell ref="AA214:AA215"/>
    <mergeCell ref="AB214:AB215"/>
    <mergeCell ref="AC214:AC215"/>
    <mergeCell ref="AD214:AD215"/>
    <mergeCell ref="B216:B217"/>
    <mergeCell ref="Z216:Z217"/>
    <mergeCell ref="AA202:AA203"/>
    <mergeCell ref="AB202:AB203"/>
    <mergeCell ref="AC202:AC203"/>
    <mergeCell ref="AD202:AD203"/>
    <mergeCell ref="B204:B205"/>
    <mergeCell ref="Z204:Z205"/>
    <mergeCell ref="A214:A215"/>
    <mergeCell ref="CG214:CG215"/>
    <mergeCell ref="CH214:CH215"/>
    <mergeCell ref="CI214:CI215"/>
    <mergeCell ref="CJ214:CJ215"/>
    <mergeCell ref="CK214:CK215"/>
    <mergeCell ref="B206:B207"/>
    <mergeCell ref="Z206:Z207"/>
    <mergeCell ref="AA206:AA207"/>
    <mergeCell ref="AB206:AB207"/>
    <mergeCell ref="AC206:AC207"/>
    <mergeCell ref="AD206:AD207"/>
    <mergeCell ref="B208:B209"/>
    <mergeCell ref="Z208:Z209"/>
    <mergeCell ref="AA208:AA209"/>
    <mergeCell ref="AB208:AB209"/>
    <mergeCell ref="AC208:AC209"/>
    <mergeCell ref="AD208:AD209"/>
    <mergeCell ref="AA204:AA205"/>
    <mergeCell ref="AB204:AB205"/>
    <mergeCell ref="AC204:AC205"/>
    <mergeCell ref="AD204:AD205"/>
    <mergeCell ref="BA204:BA205"/>
    <mergeCell ref="BB204:BB205"/>
    <mergeCell ref="BC204:BC205"/>
    <mergeCell ref="BD204:BD205"/>
    <mergeCell ref="AA192:AA193"/>
    <mergeCell ref="AB192:AB193"/>
    <mergeCell ref="AC192:AC193"/>
    <mergeCell ref="AD192:AD193"/>
    <mergeCell ref="B198:B199"/>
    <mergeCell ref="Z198:Z199"/>
    <mergeCell ref="A206:A207"/>
    <mergeCell ref="CG206:CG207"/>
    <mergeCell ref="CH206:CH207"/>
    <mergeCell ref="CI206:CI207"/>
    <mergeCell ref="CJ206:CJ207"/>
    <mergeCell ref="CK206:CK207"/>
    <mergeCell ref="A208:A209"/>
    <mergeCell ref="CG208:CG209"/>
    <mergeCell ref="CH208:CH209"/>
    <mergeCell ref="CI208:CI209"/>
    <mergeCell ref="CJ208:CJ209"/>
    <mergeCell ref="CK208:CK209"/>
    <mergeCell ref="A202:A203"/>
    <mergeCell ref="CG202:CG203"/>
    <mergeCell ref="CH202:CH203"/>
    <mergeCell ref="CI202:CI203"/>
    <mergeCell ref="CJ202:CJ203"/>
    <mergeCell ref="CK202:CK203"/>
    <mergeCell ref="A204:A205"/>
    <mergeCell ref="CG204:CG205"/>
    <mergeCell ref="CH204:CH205"/>
    <mergeCell ref="CI204:CI205"/>
    <mergeCell ref="CJ204:CJ205"/>
    <mergeCell ref="CK204:CK205"/>
    <mergeCell ref="B202:B203"/>
    <mergeCell ref="Z202:Z203"/>
    <mergeCell ref="A198:A199"/>
    <mergeCell ref="CG198:CG199"/>
    <mergeCell ref="CH198:CH199"/>
    <mergeCell ref="CI198:CI199"/>
    <mergeCell ref="CJ198:CJ199"/>
    <mergeCell ref="CK198:CK199"/>
    <mergeCell ref="A200:A201"/>
    <mergeCell ref="CG200:CG201"/>
    <mergeCell ref="CH200:CH201"/>
    <mergeCell ref="CI200:CI201"/>
    <mergeCell ref="CJ200:CJ201"/>
    <mergeCell ref="CK200:CK201"/>
    <mergeCell ref="A194:A195"/>
    <mergeCell ref="CG194:CG195"/>
    <mergeCell ref="CH194:CH195"/>
    <mergeCell ref="CI194:CI195"/>
    <mergeCell ref="CJ194:CJ195"/>
    <mergeCell ref="CK194:CK195"/>
    <mergeCell ref="A196:A197"/>
    <mergeCell ref="CG196:CG197"/>
    <mergeCell ref="CH196:CH197"/>
    <mergeCell ref="CI196:CI197"/>
    <mergeCell ref="CJ196:CJ197"/>
    <mergeCell ref="CK196:CK197"/>
    <mergeCell ref="BA200:BA201"/>
    <mergeCell ref="BB200:BB201"/>
    <mergeCell ref="BC200:BC201"/>
    <mergeCell ref="BD200:BD201"/>
    <mergeCell ref="BE200:BE201"/>
    <mergeCell ref="CB198:CB199"/>
    <mergeCell ref="CC198:CC199"/>
    <mergeCell ref="CD198:CD199"/>
    <mergeCell ref="AA184:AA185"/>
    <mergeCell ref="AB184:AB185"/>
    <mergeCell ref="AC184:AC185"/>
    <mergeCell ref="AD184:AD185"/>
    <mergeCell ref="BA186:BA187"/>
    <mergeCell ref="BB186:BB187"/>
    <mergeCell ref="A192:A193"/>
    <mergeCell ref="CG192:CG193"/>
    <mergeCell ref="CH192:CH193"/>
    <mergeCell ref="CI192:CI193"/>
    <mergeCell ref="CJ192:CJ193"/>
    <mergeCell ref="CK192:CK193"/>
    <mergeCell ref="A186:A187"/>
    <mergeCell ref="CG186:CG187"/>
    <mergeCell ref="CH186:CH187"/>
    <mergeCell ref="CI186:CI187"/>
    <mergeCell ref="CJ186:CJ187"/>
    <mergeCell ref="CK186:CK187"/>
    <mergeCell ref="A188:A189"/>
    <mergeCell ref="CG188:CG189"/>
    <mergeCell ref="CH188:CH189"/>
    <mergeCell ref="CI188:CI189"/>
    <mergeCell ref="CJ188:CJ189"/>
    <mergeCell ref="CK188:CK189"/>
    <mergeCell ref="B190:B191"/>
    <mergeCell ref="Z190:Z191"/>
    <mergeCell ref="AA190:AA191"/>
    <mergeCell ref="AB190:AB191"/>
    <mergeCell ref="AC190:AC191"/>
    <mergeCell ref="AD190:AD191"/>
    <mergeCell ref="B192:B193"/>
    <mergeCell ref="Z192:Z193"/>
    <mergeCell ref="AA178:AA179"/>
    <mergeCell ref="AB178:AB179"/>
    <mergeCell ref="AC178:AC179"/>
    <mergeCell ref="AD178:AD179"/>
    <mergeCell ref="B180:B181"/>
    <mergeCell ref="Z180:Z181"/>
    <mergeCell ref="A190:A191"/>
    <mergeCell ref="CG190:CG191"/>
    <mergeCell ref="CH190:CH191"/>
    <mergeCell ref="CI190:CI191"/>
    <mergeCell ref="CJ190:CJ191"/>
    <mergeCell ref="CK190:CK191"/>
    <mergeCell ref="B186:B187"/>
    <mergeCell ref="Z186:Z187"/>
    <mergeCell ref="AA186:AA187"/>
    <mergeCell ref="AB186:AB187"/>
    <mergeCell ref="AC186:AC187"/>
    <mergeCell ref="AD186:AD187"/>
    <mergeCell ref="B188:B189"/>
    <mergeCell ref="Z188:Z189"/>
    <mergeCell ref="AA188:AA189"/>
    <mergeCell ref="AB188:AB189"/>
    <mergeCell ref="AC188:AC189"/>
    <mergeCell ref="AD188:AD189"/>
    <mergeCell ref="B182:B183"/>
    <mergeCell ref="Z182:Z183"/>
    <mergeCell ref="AA182:AA183"/>
    <mergeCell ref="AB182:AB183"/>
    <mergeCell ref="AC182:AC183"/>
    <mergeCell ref="AD182:AD183"/>
    <mergeCell ref="B184:B185"/>
    <mergeCell ref="Z184:Z185"/>
    <mergeCell ref="AC172:AC173"/>
    <mergeCell ref="AD172:AD173"/>
    <mergeCell ref="BA168:BA169"/>
    <mergeCell ref="BB168:BB169"/>
    <mergeCell ref="BC168:BC169"/>
    <mergeCell ref="BD168:BD169"/>
    <mergeCell ref="A182:A183"/>
    <mergeCell ref="CG182:CG183"/>
    <mergeCell ref="CH182:CH183"/>
    <mergeCell ref="CI182:CI183"/>
    <mergeCell ref="CJ182:CJ183"/>
    <mergeCell ref="CK182:CK183"/>
    <mergeCell ref="A184:A185"/>
    <mergeCell ref="CG184:CG185"/>
    <mergeCell ref="CH184:CH185"/>
    <mergeCell ref="CI184:CI185"/>
    <mergeCell ref="CJ184:CJ185"/>
    <mergeCell ref="CK184:CK185"/>
    <mergeCell ref="A178:A179"/>
    <mergeCell ref="CG178:CG179"/>
    <mergeCell ref="CH178:CH179"/>
    <mergeCell ref="CI178:CI179"/>
    <mergeCell ref="CJ178:CJ179"/>
    <mergeCell ref="CK178:CK179"/>
    <mergeCell ref="A180:A181"/>
    <mergeCell ref="CG180:CG181"/>
    <mergeCell ref="CH180:CH181"/>
    <mergeCell ref="CI180:CI181"/>
    <mergeCell ref="CJ180:CJ181"/>
    <mergeCell ref="CK180:CK181"/>
    <mergeCell ref="B178:B179"/>
    <mergeCell ref="Z178:Z179"/>
    <mergeCell ref="A174:A175"/>
    <mergeCell ref="CG174:CG175"/>
    <mergeCell ref="CH174:CH175"/>
    <mergeCell ref="CI174:CI175"/>
    <mergeCell ref="CJ174:CJ175"/>
    <mergeCell ref="CK174:CK175"/>
    <mergeCell ref="A176:A177"/>
    <mergeCell ref="CG176:CG177"/>
    <mergeCell ref="CH176:CH177"/>
    <mergeCell ref="CI176:CI177"/>
    <mergeCell ref="CJ176:CJ177"/>
    <mergeCell ref="CK176:CK177"/>
    <mergeCell ref="A170:A171"/>
    <mergeCell ref="CG170:CG171"/>
    <mergeCell ref="CH170:CH171"/>
    <mergeCell ref="CI170:CI171"/>
    <mergeCell ref="CJ170:CJ171"/>
    <mergeCell ref="CK170:CK171"/>
    <mergeCell ref="A172:A173"/>
    <mergeCell ref="CG172:CG173"/>
    <mergeCell ref="CH172:CH173"/>
    <mergeCell ref="CI172:CI173"/>
    <mergeCell ref="CJ172:CJ173"/>
    <mergeCell ref="CK172:CK173"/>
    <mergeCell ref="BA174:BA175"/>
    <mergeCell ref="BB174:BB175"/>
    <mergeCell ref="BC174:BC175"/>
    <mergeCell ref="BD174:BD175"/>
    <mergeCell ref="BE174:BE175"/>
    <mergeCell ref="BA176:BA177"/>
    <mergeCell ref="BB176:BB177"/>
    <mergeCell ref="BC176:BC177"/>
    <mergeCell ref="BE156:BE157"/>
    <mergeCell ref="BA166:BA167"/>
    <mergeCell ref="BB166:BB167"/>
    <mergeCell ref="BC166:BC167"/>
    <mergeCell ref="BD166:BD167"/>
    <mergeCell ref="BE166:BE167"/>
    <mergeCell ref="A168:A169"/>
    <mergeCell ref="CG168:CG169"/>
    <mergeCell ref="CH168:CH169"/>
    <mergeCell ref="CI168:CI169"/>
    <mergeCell ref="CJ168:CJ169"/>
    <mergeCell ref="CK168:CK169"/>
    <mergeCell ref="A162:A163"/>
    <mergeCell ref="CG162:CG163"/>
    <mergeCell ref="CH162:CH163"/>
    <mergeCell ref="CI162:CI163"/>
    <mergeCell ref="CJ162:CJ163"/>
    <mergeCell ref="CK162:CK163"/>
    <mergeCell ref="A164:A165"/>
    <mergeCell ref="CG164:CG165"/>
    <mergeCell ref="CH164:CH165"/>
    <mergeCell ref="CI164:CI165"/>
    <mergeCell ref="CJ164:CJ165"/>
    <mergeCell ref="CK164:CK165"/>
    <mergeCell ref="B166:B167"/>
    <mergeCell ref="Z166:Z167"/>
    <mergeCell ref="AA166:AA167"/>
    <mergeCell ref="AB166:AB167"/>
    <mergeCell ref="AC166:AC167"/>
    <mergeCell ref="AD166:AD167"/>
    <mergeCell ref="B168:B169"/>
    <mergeCell ref="Z168:Z169"/>
    <mergeCell ref="AA154:AA155"/>
    <mergeCell ref="AB154:AB155"/>
    <mergeCell ref="AC154:AC155"/>
    <mergeCell ref="AD154:AD155"/>
    <mergeCell ref="B156:B157"/>
    <mergeCell ref="Z156:Z157"/>
    <mergeCell ref="A166:A167"/>
    <mergeCell ref="CG166:CG167"/>
    <mergeCell ref="CH166:CH167"/>
    <mergeCell ref="CI166:CI167"/>
    <mergeCell ref="CJ166:CJ167"/>
    <mergeCell ref="CK166:CK167"/>
    <mergeCell ref="B158:B159"/>
    <mergeCell ref="Z158:Z159"/>
    <mergeCell ref="AA158:AA159"/>
    <mergeCell ref="AB158:AB159"/>
    <mergeCell ref="AC158:AC159"/>
    <mergeCell ref="AD158:AD159"/>
    <mergeCell ref="B160:B161"/>
    <mergeCell ref="Z160:Z161"/>
    <mergeCell ref="AA160:AA161"/>
    <mergeCell ref="AB160:AB161"/>
    <mergeCell ref="AC160:AC161"/>
    <mergeCell ref="AD160:AD161"/>
    <mergeCell ref="AA156:AA157"/>
    <mergeCell ref="AB156:AB157"/>
    <mergeCell ref="AC156:AC157"/>
    <mergeCell ref="AD156:AD157"/>
    <mergeCell ref="BA156:BA157"/>
    <mergeCell ref="BB156:BB157"/>
    <mergeCell ref="BC156:BC157"/>
    <mergeCell ref="BD156:BD157"/>
    <mergeCell ref="AA144:AA145"/>
    <mergeCell ref="AB144:AB145"/>
    <mergeCell ref="AC144:AC145"/>
    <mergeCell ref="AD144:AD145"/>
    <mergeCell ref="B150:B151"/>
    <mergeCell ref="Z150:Z151"/>
    <mergeCell ref="A158:A159"/>
    <mergeCell ref="CG158:CG159"/>
    <mergeCell ref="CH158:CH159"/>
    <mergeCell ref="CI158:CI159"/>
    <mergeCell ref="CJ158:CJ159"/>
    <mergeCell ref="CK158:CK159"/>
    <mergeCell ref="A160:A161"/>
    <mergeCell ref="CG160:CG161"/>
    <mergeCell ref="CH160:CH161"/>
    <mergeCell ref="CI160:CI161"/>
    <mergeCell ref="CJ160:CJ161"/>
    <mergeCell ref="CK160:CK161"/>
    <mergeCell ref="A154:A155"/>
    <mergeCell ref="CG154:CG155"/>
    <mergeCell ref="CH154:CH155"/>
    <mergeCell ref="CI154:CI155"/>
    <mergeCell ref="CJ154:CJ155"/>
    <mergeCell ref="CK154:CK155"/>
    <mergeCell ref="A156:A157"/>
    <mergeCell ref="CG156:CG157"/>
    <mergeCell ref="CH156:CH157"/>
    <mergeCell ref="CI156:CI157"/>
    <mergeCell ref="CJ156:CJ157"/>
    <mergeCell ref="CK156:CK157"/>
    <mergeCell ref="B154:B155"/>
    <mergeCell ref="Z154:Z155"/>
    <mergeCell ref="A150:A151"/>
    <mergeCell ref="CG150:CG151"/>
    <mergeCell ref="CH150:CH151"/>
    <mergeCell ref="CI150:CI151"/>
    <mergeCell ref="CJ150:CJ151"/>
    <mergeCell ref="CK150:CK151"/>
    <mergeCell ref="A152:A153"/>
    <mergeCell ref="CG152:CG153"/>
    <mergeCell ref="CH152:CH153"/>
    <mergeCell ref="CI152:CI153"/>
    <mergeCell ref="CJ152:CJ153"/>
    <mergeCell ref="CK152:CK153"/>
    <mergeCell ref="A146:A147"/>
    <mergeCell ref="CG146:CG147"/>
    <mergeCell ref="CH146:CH147"/>
    <mergeCell ref="CI146:CI147"/>
    <mergeCell ref="CJ146:CJ147"/>
    <mergeCell ref="CK146:CK147"/>
    <mergeCell ref="A148:A149"/>
    <mergeCell ref="CG148:CG149"/>
    <mergeCell ref="CH148:CH149"/>
    <mergeCell ref="CI148:CI149"/>
    <mergeCell ref="CJ148:CJ149"/>
    <mergeCell ref="CK148:CK149"/>
    <mergeCell ref="BA148:BA149"/>
    <mergeCell ref="BB148:BB149"/>
    <mergeCell ref="BC148:BC149"/>
    <mergeCell ref="BD148:BD149"/>
    <mergeCell ref="BE148:BE149"/>
    <mergeCell ref="BA150:BA151"/>
    <mergeCell ref="BB150:BB151"/>
    <mergeCell ref="BC150:BC151"/>
    <mergeCell ref="AA136:AA137"/>
    <mergeCell ref="AB136:AB137"/>
    <mergeCell ref="AC136:AC137"/>
    <mergeCell ref="AD136:AD137"/>
    <mergeCell ref="BA136:BA137"/>
    <mergeCell ref="BB136:BB137"/>
    <mergeCell ref="A144:A145"/>
    <mergeCell ref="CG144:CG145"/>
    <mergeCell ref="CH144:CH145"/>
    <mergeCell ref="CI144:CI145"/>
    <mergeCell ref="CJ144:CJ145"/>
    <mergeCell ref="CK144:CK145"/>
    <mergeCell ref="A138:A139"/>
    <mergeCell ref="CG138:CG139"/>
    <mergeCell ref="CH138:CH139"/>
    <mergeCell ref="CI138:CI139"/>
    <mergeCell ref="CJ138:CJ139"/>
    <mergeCell ref="CK138:CK139"/>
    <mergeCell ref="A140:A141"/>
    <mergeCell ref="CG140:CG141"/>
    <mergeCell ref="CH140:CH141"/>
    <mergeCell ref="CI140:CI141"/>
    <mergeCell ref="CJ140:CJ141"/>
    <mergeCell ref="CK140:CK141"/>
    <mergeCell ref="B142:B143"/>
    <mergeCell ref="Z142:Z143"/>
    <mergeCell ref="AA142:AA143"/>
    <mergeCell ref="AB142:AB143"/>
    <mergeCell ref="AC142:AC143"/>
    <mergeCell ref="AD142:AD143"/>
    <mergeCell ref="B144:B145"/>
    <mergeCell ref="Z144:Z145"/>
    <mergeCell ref="AA130:AA131"/>
    <mergeCell ref="AB130:AB131"/>
    <mergeCell ref="AC130:AC131"/>
    <mergeCell ref="AD130:AD131"/>
    <mergeCell ref="B132:B133"/>
    <mergeCell ref="Z132:Z133"/>
    <mergeCell ref="A142:A143"/>
    <mergeCell ref="CG142:CG143"/>
    <mergeCell ref="CH142:CH143"/>
    <mergeCell ref="CI142:CI143"/>
    <mergeCell ref="CJ142:CJ143"/>
    <mergeCell ref="CK142:CK143"/>
    <mergeCell ref="B138:B139"/>
    <mergeCell ref="Z138:Z139"/>
    <mergeCell ref="AA138:AA139"/>
    <mergeCell ref="AB138:AB139"/>
    <mergeCell ref="AC138:AC139"/>
    <mergeCell ref="AD138:AD139"/>
    <mergeCell ref="B140:B141"/>
    <mergeCell ref="Z140:Z141"/>
    <mergeCell ref="AA140:AA141"/>
    <mergeCell ref="AB140:AB141"/>
    <mergeCell ref="AC140:AC141"/>
    <mergeCell ref="AD140:AD141"/>
    <mergeCell ref="B134:B135"/>
    <mergeCell ref="Z134:Z135"/>
    <mergeCell ref="AA134:AA135"/>
    <mergeCell ref="AB134:AB135"/>
    <mergeCell ref="AC134:AC135"/>
    <mergeCell ref="AD134:AD135"/>
    <mergeCell ref="B136:B137"/>
    <mergeCell ref="Z136:Z137"/>
    <mergeCell ref="AC124:AC125"/>
    <mergeCell ref="AD124:AD125"/>
    <mergeCell ref="BA118:BA119"/>
    <mergeCell ref="BB118:BB119"/>
    <mergeCell ref="BC118:BC119"/>
    <mergeCell ref="BD118:BD119"/>
    <mergeCell ref="A134:A135"/>
    <mergeCell ref="CG134:CG135"/>
    <mergeCell ref="CH134:CH135"/>
    <mergeCell ref="CI134:CI135"/>
    <mergeCell ref="CJ134:CJ135"/>
    <mergeCell ref="CK134:CK135"/>
    <mergeCell ref="A136:A137"/>
    <mergeCell ref="CG136:CG137"/>
    <mergeCell ref="CH136:CH137"/>
    <mergeCell ref="CI136:CI137"/>
    <mergeCell ref="CJ136:CJ137"/>
    <mergeCell ref="CK136:CK137"/>
    <mergeCell ref="A130:A131"/>
    <mergeCell ref="CG130:CG131"/>
    <mergeCell ref="CH130:CH131"/>
    <mergeCell ref="CI130:CI131"/>
    <mergeCell ref="CJ130:CJ131"/>
    <mergeCell ref="CK130:CK131"/>
    <mergeCell ref="A132:A133"/>
    <mergeCell ref="CG132:CG133"/>
    <mergeCell ref="CH132:CH133"/>
    <mergeCell ref="CI132:CI133"/>
    <mergeCell ref="CJ132:CJ133"/>
    <mergeCell ref="CK132:CK133"/>
    <mergeCell ref="B130:B131"/>
    <mergeCell ref="Z130:Z131"/>
    <mergeCell ref="A126:A127"/>
    <mergeCell ref="CG126:CG127"/>
    <mergeCell ref="CH126:CH127"/>
    <mergeCell ref="CI126:CI127"/>
    <mergeCell ref="CJ126:CJ127"/>
    <mergeCell ref="CK126:CK127"/>
    <mergeCell ref="A128:A129"/>
    <mergeCell ref="CG128:CG129"/>
    <mergeCell ref="CH128:CH129"/>
    <mergeCell ref="CI128:CI129"/>
    <mergeCell ref="CJ128:CJ129"/>
    <mergeCell ref="CK128:CK129"/>
    <mergeCell ref="A122:A123"/>
    <mergeCell ref="CG122:CG123"/>
    <mergeCell ref="CH122:CH123"/>
    <mergeCell ref="CI122:CI123"/>
    <mergeCell ref="CJ122:CJ123"/>
    <mergeCell ref="CK122:CK123"/>
    <mergeCell ref="A124:A125"/>
    <mergeCell ref="CG124:CG125"/>
    <mergeCell ref="CH124:CH125"/>
    <mergeCell ref="CI124:CI125"/>
    <mergeCell ref="CJ124:CJ125"/>
    <mergeCell ref="CK124:CK125"/>
    <mergeCell ref="BA122:BA123"/>
    <mergeCell ref="BB122:BB123"/>
    <mergeCell ref="BC122:BC123"/>
    <mergeCell ref="BD122:BD123"/>
    <mergeCell ref="BE122:BE123"/>
    <mergeCell ref="BA124:BA125"/>
    <mergeCell ref="BB124:BB125"/>
    <mergeCell ref="BC124:BC125"/>
    <mergeCell ref="A120:A121"/>
    <mergeCell ref="CG120:CG121"/>
    <mergeCell ref="CH120:CH121"/>
    <mergeCell ref="CI120:CI121"/>
    <mergeCell ref="CJ120:CJ121"/>
    <mergeCell ref="CK120:CK121"/>
    <mergeCell ref="A114:A115"/>
    <mergeCell ref="CG114:CG115"/>
    <mergeCell ref="CH114:CH115"/>
    <mergeCell ref="CI114:CI115"/>
    <mergeCell ref="CJ114:CJ115"/>
    <mergeCell ref="CK114:CK115"/>
    <mergeCell ref="A116:A117"/>
    <mergeCell ref="CG116:CG117"/>
    <mergeCell ref="CH116:CH117"/>
    <mergeCell ref="CI116:CI117"/>
    <mergeCell ref="CJ116:CJ117"/>
    <mergeCell ref="CK116:CK117"/>
    <mergeCell ref="B118:B119"/>
    <mergeCell ref="Z118:Z119"/>
    <mergeCell ref="AA118:AA119"/>
    <mergeCell ref="AB118:AB119"/>
    <mergeCell ref="AC118:AC119"/>
    <mergeCell ref="AD118:AD119"/>
    <mergeCell ref="B120:B121"/>
    <mergeCell ref="Z120:Z121"/>
    <mergeCell ref="BE118:BE119"/>
    <mergeCell ref="BA120:BA121"/>
    <mergeCell ref="BB120:BB121"/>
    <mergeCell ref="BC120:BC121"/>
    <mergeCell ref="BD120:BD121"/>
    <mergeCell ref="BE120:BE121"/>
    <mergeCell ref="B108:B109"/>
    <mergeCell ref="Z108:Z109"/>
    <mergeCell ref="A118:A119"/>
    <mergeCell ref="CG118:CG119"/>
    <mergeCell ref="CH118:CH119"/>
    <mergeCell ref="CI118:CI119"/>
    <mergeCell ref="CJ118:CJ119"/>
    <mergeCell ref="CK118:CK119"/>
    <mergeCell ref="B110:B111"/>
    <mergeCell ref="Z110:Z111"/>
    <mergeCell ref="AA110:AA111"/>
    <mergeCell ref="AB110:AB111"/>
    <mergeCell ref="AC110:AC111"/>
    <mergeCell ref="AD110:AD111"/>
    <mergeCell ref="B112:B113"/>
    <mergeCell ref="Z112:Z113"/>
    <mergeCell ref="AA112:AA113"/>
    <mergeCell ref="AB112:AB113"/>
    <mergeCell ref="AC112:AC113"/>
    <mergeCell ref="AD112:AD113"/>
    <mergeCell ref="AA108:AA109"/>
    <mergeCell ref="AB108:AB109"/>
    <mergeCell ref="AC108:AC109"/>
    <mergeCell ref="AD108:AD109"/>
    <mergeCell ref="BA114:BA115"/>
    <mergeCell ref="BB114:BB115"/>
    <mergeCell ref="BC114:BC115"/>
    <mergeCell ref="BD114:BD115"/>
    <mergeCell ref="BB116:BB117"/>
    <mergeCell ref="BC116:BC117"/>
    <mergeCell ref="BD116:BD117"/>
    <mergeCell ref="BE116:BE117"/>
    <mergeCell ref="B102:B103"/>
    <mergeCell ref="Z102:Z103"/>
    <mergeCell ref="A110:A111"/>
    <mergeCell ref="CG110:CG111"/>
    <mergeCell ref="CH110:CH111"/>
    <mergeCell ref="CI110:CI111"/>
    <mergeCell ref="CJ110:CJ111"/>
    <mergeCell ref="CK110:CK111"/>
    <mergeCell ref="A112:A113"/>
    <mergeCell ref="CG112:CG113"/>
    <mergeCell ref="CH112:CH113"/>
    <mergeCell ref="CI112:CI113"/>
    <mergeCell ref="CJ112:CJ113"/>
    <mergeCell ref="CK112:CK113"/>
    <mergeCell ref="A106:A107"/>
    <mergeCell ref="CG106:CG107"/>
    <mergeCell ref="CH106:CH107"/>
    <mergeCell ref="CI106:CI107"/>
    <mergeCell ref="CJ106:CJ107"/>
    <mergeCell ref="CK106:CK107"/>
    <mergeCell ref="A108:A109"/>
    <mergeCell ref="CG108:CG109"/>
    <mergeCell ref="CH108:CH109"/>
    <mergeCell ref="CI108:CI109"/>
    <mergeCell ref="CJ108:CJ109"/>
    <mergeCell ref="CK108:CK109"/>
    <mergeCell ref="B106:B107"/>
    <mergeCell ref="Z106:Z107"/>
    <mergeCell ref="AA106:AA107"/>
    <mergeCell ref="AB106:AB107"/>
    <mergeCell ref="AC106:AC107"/>
    <mergeCell ref="AD106:AD107"/>
    <mergeCell ref="A102:A103"/>
    <mergeCell ref="CG102:CG103"/>
    <mergeCell ref="CH102:CH103"/>
    <mergeCell ref="CI102:CI103"/>
    <mergeCell ref="CJ102:CJ103"/>
    <mergeCell ref="CK102:CK103"/>
    <mergeCell ref="A104:A105"/>
    <mergeCell ref="CG104:CG105"/>
    <mergeCell ref="CH104:CH105"/>
    <mergeCell ref="CI104:CI105"/>
    <mergeCell ref="CJ104:CJ105"/>
    <mergeCell ref="CK104:CK105"/>
    <mergeCell ref="A98:A99"/>
    <mergeCell ref="CG98:CG99"/>
    <mergeCell ref="CH98:CH99"/>
    <mergeCell ref="CI98:CI99"/>
    <mergeCell ref="CJ98:CJ99"/>
    <mergeCell ref="CK98:CK99"/>
    <mergeCell ref="A100:A101"/>
    <mergeCell ref="CG100:CG101"/>
    <mergeCell ref="CH100:CH101"/>
    <mergeCell ref="CI100:CI101"/>
    <mergeCell ref="CJ100:CJ101"/>
    <mergeCell ref="CK100:CK101"/>
    <mergeCell ref="BA104:BA105"/>
    <mergeCell ref="BB104:BB105"/>
    <mergeCell ref="BC104:BC105"/>
    <mergeCell ref="BD104:BD105"/>
    <mergeCell ref="BE104:BE105"/>
    <mergeCell ref="CB102:CB103"/>
    <mergeCell ref="CC102:CC103"/>
    <mergeCell ref="CD102:CD103"/>
    <mergeCell ref="CK96:CK97"/>
    <mergeCell ref="A90:A91"/>
    <mergeCell ref="CG90:CG91"/>
    <mergeCell ref="CH90:CH91"/>
    <mergeCell ref="CI90:CI91"/>
    <mergeCell ref="CJ90:CJ91"/>
    <mergeCell ref="CK90:CK91"/>
    <mergeCell ref="A92:A93"/>
    <mergeCell ref="CG92:CG93"/>
    <mergeCell ref="CH92:CH93"/>
    <mergeCell ref="CI92:CI93"/>
    <mergeCell ref="CJ92:CJ93"/>
    <mergeCell ref="CK92:CK93"/>
    <mergeCell ref="B94:B95"/>
    <mergeCell ref="Z94:Z95"/>
    <mergeCell ref="AA94:AA95"/>
    <mergeCell ref="AB94:AB95"/>
    <mergeCell ref="AC94:AC95"/>
    <mergeCell ref="AD94:AD95"/>
    <mergeCell ref="B96:B97"/>
    <mergeCell ref="Z96:Z97"/>
    <mergeCell ref="AA96:AA97"/>
    <mergeCell ref="AB96:AB97"/>
    <mergeCell ref="AC96:AC97"/>
    <mergeCell ref="AD96:AD97"/>
    <mergeCell ref="CK94:CK95"/>
    <mergeCell ref="AC92:AC93"/>
    <mergeCell ref="AD92:AD93"/>
    <mergeCell ref="CB90:CB91"/>
    <mergeCell ref="CC90:CC91"/>
    <mergeCell ref="CD90:CD91"/>
    <mergeCell ref="CE90:CE91"/>
    <mergeCell ref="AA86:AA87"/>
    <mergeCell ref="AB86:AB87"/>
    <mergeCell ref="AC86:AC87"/>
    <mergeCell ref="AD86:AD87"/>
    <mergeCell ref="B88:B89"/>
    <mergeCell ref="Z88:Z89"/>
    <mergeCell ref="AA88:AA89"/>
    <mergeCell ref="AB88:AB89"/>
    <mergeCell ref="AC88:AC89"/>
    <mergeCell ref="AD88:AD89"/>
    <mergeCell ref="BA82:BA83"/>
    <mergeCell ref="BB82:BB83"/>
    <mergeCell ref="A96:A97"/>
    <mergeCell ref="CG96:CG97"/>
    <mergeCell ref="CH96:CH97"/>
    <mergeCell ref="CI96:CI97"/>
    <mergeCell ref="CJ96:CJ97"/>
    <mergeCell ref="A94:A95"/>
    <mergeCell ref="CG94:CG95"/>
    <mergeCell ref="CH94:CH95"/>
    <mergeCell ref="CI94:CI95"/>
    <mergeCell ref="CJ94:CJ95"/>
    <mergeCell ref="B90:B91"/>
    <mergeCell ref="Z90:Z91"/>
    <mergeCell ref="AA90:AA91"/>
    <mergeCell ref="AB90:AB91"/>
    <mergeCell ref="AC90:AC91"/>
    <mergeCell ref="AD90:AD91"/>
    <mergeCell ref="B92:B93"/>
    <mergeCell ref="Z92:Z93"/>
    <mergeCell ref="AA92:AA93"/>
    <mergeCell ref="AB92:AB93"/>
    <mergeCell ref="AC76:AC77"/>
    <mergeCell ref="AD76:AD77"/>
    <mergeCell ref="BD80:BD81"/>
    <mergeCell ref="BE80:BE81"/>
    <mergeCell ref="CB70:CB71"/>
    <mergeCell ref="CC70:CC71"/>
    <mergeCell ref="A86:A87"/>
    <mergeCell ref="CG86:CG87"/>
    <mergeCell ref="CH86:CH87"/>
    <mergeCell ref="CI86:CI87"/>
    <mergeCell ref="CJ86:CJ87"/>
    <mergeCell ref="CK86:CK87"/>
    <mergeCell ref="A88:A89"/>
    <mergeCell ref="CG88:CG89"/>
    <mergeCell ref="CH88:CH89"/>
    <mergeCell ref="CI88:CI89"/>
    <mergeCell ref="CJ88:CJ89"/>
    <mergeCell ref="CK88:CK89"/>
    <mergeCell ref="A82:A83"/>
    <mergeCell ref="CG82:CG83"/>
    <mergeCell ref="CH82:CH83"/>
    <mergeCell ref="CI82:CI83"/>
    <mergeCell ref="CJ82:CJ83"/>
    <mergeCell ref="CK82:CK83"/>
    <mergeCell ref="A84:A85"/>
    <mergeCell ref="CG84:CG85"/>
    <mergeCell ref="CH84:CH85"/>
    <mergeCell ref="CI84:CI85"/>
    <mergeCell ref="CJ84:CJ85"/>
    <mergeCell ref="CK84:CK85"/>
    <mergeCell ref="B82:B83"/>
    <mergeCell ref="Z82:Z83"/>
    <mergeCell ref="A78:A79"/>
    <mergeCell ref="CG78:CG79"/>
    <mergeCell ref="CH78:CH79"/>
    <mergeCell ref="CI78:CI79"/>
    <mergeCell ref="CJ78:CJ79"/>
    <mergeCell ref="CK78:CK79"/>
    <mergeCell ref="A80:A81"/>
    <mergeCell ref="CG80:CG81"/>
    <mergeCell ref="CH80:CH81"/>
    <mergeCell ref="CI80:CI81"/>
    <mergeCell ref="CJ80:CJ81"/>
    <mergeCell ref="CK80:CK81"/>
    <mergeCell ref="A74:A75"/>
    <mergeCell ref="CG74:CG75"/>
    <mergeCell ref="CH74:CH75"/>
    <mergeCell ref="CI74:CI75"/>
    <mergeCell ref="CJ74:CJ75"/>
    <mergeCell ref="CK74:CK75"/>
    <mergeCell ref="A76:A77"/>
    <mergeCell ref="CG76:CG77"/>
    <mergeCell ref="CH76:CH77"/>
    <mergeCell ref="CI76:CI77"/>
    <mergeCell ref="CJ76:CJ77"/>
    <mergeCell ref="CK76:CK77"/>
    <mergeCell ref="BA78:BA79"/>
    <mergeCell ref="BB78:BB79"/>
    <mergeCell ref="BC78:BC79"/>
    <mergeCell ref="BD78:BD79"/>
    <mergeCell ref="BE78:BE79"/>
    <mergeCell ref="BA80:BA81"/>
    <mergeCell ref="BB80:BB81"/>
    <mergeCell ref="BC80:BC81"/>
    <mergeCell ref="CI72:CI73"/>
    <mergeCell ref="CJ72:CJ73"/>
    <mergeCell ref="CK72:CK73"/>
    <mergeCell ref="A66:A67"/>
    <mergeCell ref="CG66:CG67"/>
    <mergeCell ref="CH66:CH67"/>
    <mergeCell ref="CI66:CI67"/>
    <mergeCell ref="CJ66:CJ67"/>
    <mergeCell ref="CK66:CK67"/>
    <mergeCell ref="A68:A69"/>
    <mergeCell ref="CG68:CG69"/>
    <mergeCell ref="CH68:CH69"/>
    <mergeCell ref="CI68:CI69"/>
    <mergeCell ref="CJ68:CJ69"/>
    <mergeCell ref="CK68:CK69"/>
    <mergeCell ref="B70:B71"/>
    <mergeCell ref="Z70:Z71"/>
    <mergeCell ref="AA70:AA71"/>
    <mergeCell ref="AB70:AB71"/>
    <mergeCell ref="AC70:AC71"/>
    <mergeCell ref="AD70:AD71"/>
    <mergeCell ref="B72:B73"/>
    <mergeCell ref="Z72:Z73"/>
    <mergeCell ref="CB72:CB73"/>
    <mergeCell ref="CI70:CI71"/>
    <mergeCell ref="CJ70:CJ71"/>
    <mergeCell ref="CK70:CK71"/>
    <mergeCell ref="CC72:CC73"/>
    <mergeCell ref="CD72:CD73"/>
    <mergeCell ref="CE72:CE73"/>
    <mergeCell ref="CF72:CF73"/>
    <mergeCell ref="AA60:AA61"/>
    <mergeCell ref="AB60:AB61"/>
    <mergeCell ref="AC60:AC61"/>
    <mergeCell ref="AD60:AD61"/>
    <mergeCell ref="BA66:BA67"/>
    <mergeCell ref="BB66:BB67"/>
    <mergeCell ref="BC66:BC67"/>
    <mergeCell ref="BD66:BD67"/>
    <mergeCell ref="BE66:BE67"/>
    <mergeCell ref="BA68:BA69"/>
    <mergeCell ref="BB68:BB69"/>
    <mergeCell ref="BC68:BC69"/>
    <mergeCell ref="BD68:BD69"/>
    <mergeCell ref="BE68:BE69"/>
    <mergeCell ref="A72:A73"/>
    <mergeCell ref="CG72:CG73"/>
    <mergeCell ref="CH72:CH73"/>
    <mergeCell ref="A70:A71"/>
    <mergeCell ref="CG70:CG71"/>
    <mergeCell ref="CH70:CH71"/>
    <mergeCell ref="B62:B63"/>
    <mergeCell ref="Z62:Z63"/>
    <mergeCell ref="AA62:AA63"/>
    <mergeCell ref="AB62:AB63"/>
    <mergeCell ref="AC62:AC63"/>
    <mergeCell ref="AD62:AD63"/>
    <mergeCell ref="B64:B65"/>
    <mergeCell ref="Z64:Z65"/>
    <mergeCell ref="AA64:AA65"/>
    <mergeCell ref="AB64:AB65"/>
    <mergeCell ref="AC64:AC65"/>
    <mergeCell ref="AD64:AD65"/>
    <mergeCell ref="A62:A63"/>
    <mergeCell ref="CG62:CG63"/>
    <mergeCell ref="CH62:CH63"/>
    <mergeCell ref="CI62:CI63"/>
    <mergeCell ref="CJ62:CJ63"/>
    <mergeCell ref="CK62:CK63"/>
    <mergeCell ref="A64:A65"/>
    <mergeCell ref="CG64:CG65"/>
    <mergeCell ref="CH64:CH65"/>
    <mergeCell ref="CI64:CI65"/>
    <mergeCell ref="CJ64:CJ65"/>
    <mergeCell ref="CK64:CK65"/>
    <mergeCell ref="A58:A59"/>
    <mergeCell ref="CG58:CG59"/>
    <mergeCell ref="CH58:CH59"/>
    <mergeCell ref="CI58:CI59"/>
    <mergeCell ref="CJ58:CJ59"/>
    <mergeCell ref="CK58:CK59"/>
    <mergeCell ref="A60:A61"/>
    <mergeCell ref="CG60:CG61"/>
    <mergeCell ref="CH60:CH61"/>
    <mergeCell ref="CI60:CI61"/>
    <mergeCell ref="CJ60:CJ61"/>
    <mergeCell ref="CK60:CK61"/>
    <mergeCell ref="B58:B59"/>
    <mergeCell ref="Z58:Z59"/>
    <mergeCell ref="AA58:AA59"/>
    <mergeCell ref="AB58:AB59"/>
    <mergeCell ref="AC58:AC59"/>
    <mergeCell ref="AD58:AD59"/>
    <mergeCell ref="B60:B61"/>
    <mergeCell ref="Z60:Z61"/>
    <mergeCell ref="A54:A55"/>
    <mergeCell ref="CG54:CG55"/>
    <mergeCell ref="CH54:CH55"/>
    <mergeCell ref="CI54:CI55"/>
    <mergeCell ref="CJ54:CJ55"/>
    <mergeCell ref="CK54:CK55"/>
    <mergeCell ref="A56:A57"/>
    <mergeCell ref="CG56:CG57"/>
    <mergeCell ref="CH56:CH57"/>
    <mergeCell ref="CI56:CI57"/>
    <mergeCell ref="CJ56:CJ57"/>
    <mergeCell ref="CK56:CK57"/>
    <mergeCell ref="A50:A51"/>
    <mergeCell ref="CG50:CG51"/>
    <mergeCell ref="CH50:CH51"/>
    <mergeCell ref="CI50:CI51"/>
    <mergeCell ref="CJ50:CJ51"/>
    <mergeCell ref="CK50:CK51"/>
    <mergeCell ref="A52:A53"/>
    <mergeCell ref="CG52:CG53"/>
    <mergeCell ref="CH52:CH53"/>
    <mergeCell ref="CI52:CI53"/>
    <mergeCell ref="CJ52:CJ53"/>
    <mergeCell ref="CK52:CK53"/>
    <mergeCell ref="BA52:BA53"/>
    <mergeCell ref="BB52:BB53"/>
    <mergeCell ref="BC52:BC53"/>
    <mergeCell ref="BD52:BD53"/>
    <mergeCell ref="BE52:BE53"/>
    <mergeCell ref="BA54:BA55"/>
    <mergeCell ref="BB54:BB55"/>
    <mergeCell ref="BC54:BC55"/>
    <mergeCell ref="A48:A49"/>
    <mergeCell ref="CG48:CG49"/>
    <mergeCell ref="CH48:CH49"/>
    <mergeCell ref="CI48:CI49"/>
    <mergeCell ref="CJ48:CJ49"/>
    <mergeCell ref="CK48:CK49"/>
    <mergeCell ref="A42:A43"/>
    <mergeCell ref="CG42:CG43"/>
    <mergeCell ref="CH42:CH43"/>
    <mergeCell ref="CI42:CI43"/>
    <mergeCell ref="CJ42:CJ43"/>
    <mergeCell ref="CK42:CK43"/>
    <mergeCell ref="A44:A45"/>
    <mergeCell ref="CG44:CG45"/>
    <mergeCell ref="CH44:CH45"/>
    <mergeCell ref="CI44:CI45"/>
    <mergeCell ref="CJ44:CJ45"/>
    <mergeCell ref="CK44:CK45"/>
    <mergeCell ref="B46:B47"/>
    <mergeCell ref="Z46:Z47"/>
    <mergeCell ref="AA46:AA47"/>
    <mergeCell ref="AB46:AB47"/>
    <mergeCell ref="AC46:AC47"/>
    <mergeCell ref="AD46:AD47"/>
    <mergeCell ref="B48:B49"/>
    <mergeCell ref="Z48:Z49"/>
    <mergeCell ref="AA48:AA49"/>
    <mergeCell ref="AB48:AB49"/>
    <mergeCell ref="AC48:AC49"/>
    <mergeCell ref="AD48:AD49"/>
    <mergeCell ref="A46:A47"/>
    <mergeCell ref="CG46:CG47"/>
    <mergeCell ref="CH46:CH47"/>
    <mergeCell ref="CI46:CI47"/>
    <mergeCell ref="CJ46:CJ47"/>
    <mergeCell ref="CK46:CK47"/>
    <mergeCell ref="B42:B43"/>
    <mergeCell ref="Z42:Z43"/>
    <mergeCell ref="AA42:AA43"/>
    <mergeCell ref="AB42:AB43"/>
    <mergeCell ref="AC42:AC43"/>
    <mergeCell ref="AD42:AD43"/>
    <mergeCell ref="B44:B45"/>
    <mergeCell ref="Z44:Z45"/>
    <mergeCell ref="AA44:AA45"/>
    <mergeCell ref="AB44:AB45"/>
    <mergeCell ref="AC44:AC45"/>
    <mergeCell ref="AD44:AD45"/>
    <mergeCell ref="BC44:BC45"/>
    <mergeCell ref="BD44:BD45"/>
    <mergeCell ref="BE44:BE45"/>
    <mergeCell ref="BA46:BA47"/>
    <mergeCell ref="BB46:BB47"/>
    <mergeCell ref="BC46:BC47"/>
    <mergeCell ref="BD46:BD47"/>
    <mergeCell ref="BE46:BE47"/>
    <mergeCell ref="CB46:CB47"/>
    <mergeCell ref="CC46:CC47"/>
    <mergeCell ref="CD46:CD47"/>
    <mergeCell ref="CE46:CE47"/>
    <mergeCell ref="CF46:CF47"/>
    <mergeCell ref="CI38:CI39"/>
    <mergeCell ref="CJ38:CJ39"/>
    <mergeCell ref="CK38:CK39"/>
    <mergeCell ref="A40:A41"/>
    <mergeCell ref="CG40:CG41"/>
    <mergeCell ref="CH40:CH41"/>
    <mergeCell ref="CI40:CI41"/>
    <mergeCell ref="CJ40:CJ41"/>
    <mergeCell ref="CK40:CK41"/>
    <mergeCell ref="CI34:CI35"/>
    <mergeCell ref="CJ34:CJ35"/>
    <mergeCell ref="CK34:CK35"/>
    <mergeCell ref="A36:A37"/>
    <mergeCell ref="CG36:CG37"/>
    <mergeCell ref="CH36:CH37"/>
    <mergeCell ref="CI36:CI37"/>
    <mergeCell ref="CJ36:CJ37"/>
    <mergeCell ref="CK36:CK37"/>
    <mergeCell ref="A34:A35"/>
    <mergeCell ref="CG34:CG35"/>
    <mergeCell ref="CH34:CH35"/>
    <mergeCell ref="A38:A39"/>
    <mergeCell ref="CG38:CG39"/>
    <mergeCell ref="CH38:CH39"/>
    <mergeCell ref="B34:B35"/>
    <mergeCell ref="Z34:Z35"/>
    <mergeCell ref="AA34:AA35"/>
    <mergeCell ref="AB34:AB35"/>
    <mergeCell ref="AC34:AC35"/>
    <mergeCell ref="AD34:AD35"/>
    <mergeCell ref="B36:B37"/>
    <mergeCell ref="Z36:Z37"/>
    <mergeCell ref="CI30:CI31"/>
    <mergeCell ref="CJ30:CJ31"/>
    <mergeCell ref="CK30:CK31"/>
    <mergeCell ref="A32:A33"/>
    <mergeCell ref="CG32:CG33"/>
    <mergeCell ref="CH32:CH33"/>
    <mergeCell ref="CI32:CI33"/>
    <mergeCell ref="CJ32:CJ33"/>
    <mergeCell ref="CK32:CK33"/>
    <mergeCell ref="CI26:CI27"/>
    <mergeCell ref="CJ26:CJ27"/>
    <mergeCell ref="CK26:CK27"/>
    <mergeCell ref="A28:A29"/>
    <mergeCell ref="CG28:CG29"/>
    <mergeCell ref="CH28:CH29"/>
    <mergeCell ref="CI28:CI29"/>
    <mergeCell ref="CJ28:CJ29"/>
    <mergeCell ref="CK28:CK29"/>
    <mergeCell ref="A26:A27"/>
    <mergeCell ref="CG26:CG27"/>
    <mergeCell ref="CH26:CH27"/>
    <mergeCell ref="A30:A31"/>
    <mergeCell ref="CG30:CG31"/>
    <mergeCell ref="CH30:CH31"/>
    <mergeCell ref="BA26:BA27"/>
    <mergeCell ref="BB26:BB27"/>
    <mergeCell ref="BC26:BC27"/>
    <mergeCell ref="BD26:BD27"/>
    <mergeCell ref="BE26:BE27"/>
    <mergeCell ref="BA28:BA29"/>
    <mergeCell ref="BB28:BB29"/>
    <mergeCell ref="BC28:BC29"/>
    <mergeCell ref="A24:A25"/>
    <mergeCell ref="CG24:CG25"/>
    <mergeCell ref="CH24:CH25"/>
    <mergeCell ref="CI24:CI25"/>
    <mergeCell ref="CJ24:CJ25"/>
    <mergeCell ref="CK24:CK25"/>
    <mergeCell ref="CI18:CI19"/>
    <mergeCell ref="CJ18:CJ19"/>
    <mergeCell ref="CK18:CK19"/>
    <mergeCell ref="A20:A21"/>
    <mergeCell ref="CG20:CG21"/>
    <mergeCell ref="CH20:CH21"/>
    <mergeCell ref="CI20:CI21"/>
    <mergeCell ref="CJ20:CJ21"/>
    <mergeCell ref="CK20:CK21"/>
    <mergeCell ref="A18:A19"/>
    <mergeCell ref="CG18:CG19"/>
    <mergeCell ref="CH18:CH19"/>
    <mergeCell ref="A22:A23"/>
    <mergeCell ref="CG22:CG23"/>
    <mergeCell ref="CH22:CH23"/>
    <mergeCell ref="B22:B23"/>
    <mergeCell ref="Z22:Z23"/>
    <mergeCell ref="AA22:AA23"/>
    <mergeCell ref="AB22:AB23"/>
    <mergeCell ref="AC22:AC23"/>
    <mergeCell ref="AD22:AD23"/>
    <mergeCell ref="B24:B25"/>
    <mergeCell ref="Z24:Z25"/>
    <mergeCell ref="CE22:CE23"/>
    <mergeCell ref="CF22:CF23"/>
    <mergeCell ref="CB24:CB25"/>
    <mergeCell ref="B270:B271"/>
    <mergeCell ref="Z270:Z271"/>
    <mergeCell ref="AA270:AA271"/>
    <mergeCell ref="AB270:AB271"/>
    <mergeCell ref="AC270:AC271"/>
    <mergeCell ref="AD270:AD271"/>
    <mergeCell ref="B272:B273"/>
    <mergeCell ref="Z272:Z273"/>
    <mergeCell ref="AA272:AA273"/>
    <mergeCell ref="AB272:AB273"/>
    <mergeCell ref="AC272:AC273"/>
    <mergeCell ref="AD272:AD273"/>
    <mergeCell ref="B266:B267"/>
    <mergeCell ref="Z266:Z267"/>
    <mergeCell ref="AA266:AA267"/>
    <mergeCell ref="AB266:AB267"/>
    <mergeCell ref="AC266:AC267"/>
    <mergeCell ref="AD266:AD267"/>
    <mergeCell ref="B268:B269"/>
    <mergeCell ref="Z268:Z269"/>
    <mergeCell ref="AA268:AA269"/>
    <mergeCell ref="AB268:AB269"/>
    <mergeCell ref="AC268:AC269"/>
    <mergeCell ref="AD268:AD269"/>
    <mergeCell ref="AA274:AA275"/>
    <mergeCell ref="AB274:AB275"/>
    <mergeCell ref="B218:B219"/>
    <mergeCell ref="Z218:Z219"/>
    <mergeCell ref="AA218:AA219"/>
    <mergeCell ref="AB218:AB219"/>
    <mergeCell ref="AC218:AC219"/>
    <mergeCell ref="AD218:AD219"/>
    <mergeCell ref="B220:B221"/>
    <mergeCell ref="Z220:Z221"/>
    <mergeCell ref="AA220:AA221"/>
    <mergeCell ref="AB220:AB221"/>
    <mergeCell ref="AA264:AA265"/>
    <mergeCell ref="AB264:AB265"/>
    <mergeCell ref="AC264:AC265"/>
    <mergeCell ref="AD264:AD265"/>
    <mergeCell ref="B258:B259"/>
    <mergeCell ref="Z258:Z259"/>
    <mergeCell ref="AA258:AA259"/>
    <mergeCell ref="AB258:AB259"/>
    <mergeCell ref="AC258:AC259"/>
    <mergeCell ref="AD258:AD259"/>
    <mergeCell ref="B260:B261"/>
    <mergeCell ref="Z260:Z261"/>
    <mergeCell ref="AA260:AA261"/>
    <mergeCell ref="AB260:AB261"/>
    <mergeCell ref="AC260:AC261"/>
    <mergeCell ref="AD260:AD261"/>
    <mergeCell ref="AC220:AC221"/>
    <mergeCell ref="AD220:AD221"/>
    <mergeCell ref="AC226:AC227"/>
    <mergeCell ref="AD226:AD227"/>
    <mergeCell ref="AA230:AA231"/>
    <mergeCell ref="AB230:AB231"/>
    <mergeCell ref="AA216:AA217"/>
    <mergeCell ref="AB216:AB217"/>
    <mergeCell ref="AC216:AC217"/>
    <mergeCell ref="AD216:AD217"/>
    <mergeCell ref="B210:B211"/>
    <mergeCell ref="Z210:Z211"/>
    <mergeCell ref="AA210:AA211"/>
    <mergeCell ref="AB210:AB211"/>
    <mergeCell ref="AC210:AC211"/>
    <mergeCell ref="AD210:AD211"/>
    <mergeCell ref="B212:B213"/>
    <mergeCell ref="Z212:Z213"/>
    <mergeCell ref="AA212:AA213"/>
    <mergeCell ref="AB212:AB213"/>
    <mergeCell ref="AC212:AC213"/>
    <mergeCell ref="AD212:AD213"/>
    <mergeCell ref="AA228:AA229"/>
    <mergeCell ref="AB228:AB229"/>
    <mergeCell ref="AC228:AC229"/>
    <mergeCell ref="AD228:AD229"/>
    <mergeCell ref="B222:B223"/>
    <mergeCell ref="Z222:Z223"/>
    <mergeCell ref="AA222:AA223"/>
    <mergeCell ref="AB222:AB223"/>
    <mergeCell ref="AC222:AC223"/>
    <mergeCell ref="AD222:AD223"/>
    <mergeCell ref="B224:B225"/>
    <mergeCell ref="Z224:Z225"/>
    <mergeCell ref="AA224:AA225"/>
    <mergeCell ref="AB224:AB225"/>
    <mergeCell ref="AC224:AC225"/>
    <mergeCell ref="AD224:AD225"/>
    <mergeCell ref="B170:B171"/>
    <mergeCell ref="Z170:Z171"/>
    <mergeCell ref="AA170:AA171"/>
    <mergeCell ref="AB170:AB171"/>
    <mergeCell ref="AC170:AC171"/>
    <mergeCell ref="AD170:AD171"/>
    <mergeCell ref="B172:B173"/>
    <mergeCell ref="Z172:Z173"/>
    <mergeCell ref="AA172:AA173"/>
    <mergeCell ref="AB172:AB173"/>
    <mergeCell ref="AA246:AA247"/>
    <mergeCell ref="AB246:AB247"/>
    <mergeCell ref="AC246:AC247"/>
    <mergeCell ref="AD246:AD247"/>
    <mergeCell ref="B248:B249"/>
    <mergeCell ref="Z248:Z249"/>
    <mergeCell ref="AA248:AA249"/>
    <mergeCell ref="AB248:AB249"/>
    <mergeCell ref="AC248:AC249"/>
    <mergeCell ref="AD248:AD249"/>
    <mergeCell ref="B242:B243"/>
    <mergeCell ref="Z242:Z243"/>
    <mergeCell ref="AA242:AA243"/>
    <mergeCell ref="AB242:AB243"/>
    <mergeCell ref="AC242:AC243"/>
    <mergeCell ref="AD242:AD243"/>
    <mergeCell ref="B244:B245"/>
    <mergeCell ref="Z244:Z245"/>
    <mergeCell ref="AA244:AA245"/>
    <mergeCell ref="AB244:AB245"/>
    <mergeCell ref="AC244:AC245"/>
    <mergeCell ref="AD244:AD245"/>
    <mergeCell ref="AA168:AA169"/>
    <mergeCell ref="AB168:AB169"/>
    <mergeCell ref="AC168:AC169"/>
    <mergeCell ref="AD168:AD169"/>
    <mergeCell ref="B162:B163"/>
    <mergeCell ref="Z162:Z163"/>
    <mergeCell ref="AA162:AA163"/>
    <mergeCell ref="AB162:AB163"/>
    <mergeCell ref="AC162:AC163"/>
    <mergeCell ref="AD162:AD163"/>
    <mergeCell ref="B164:B165"/>
    <mergeCell ref="Z164:Z165"/>
    <mergeCell ref="AA164:AA165"/>
    <mergeCell ref="AB164:AB165"/>
    <mergeCell ref="AC164:AC165"/>
    <mergeCell ref="AD164:AD165"/>
    <mergeCell ref="AA180:AA181"/>
    <mergeCell ref="AB180:AB181"/>
    <mergeCell ref="AC180:AC181"/>
    <mergeCell ref="AD180:AD181"/>
    <mergeCell ref="B174:B175"/>
    <mergeCell ref="Z174:Z175"/>
    <mergeCell ref="AA174:AA175"/>
    <mergeCell ref="AB174:AB175"/>
    <mergeCell ref="AC174:AC175"/>
    <mergeCell ref="AD174:AD175"/>
    <mergeCell ref="B176:B177"/>
    <mergeCell ref="Z176:Z177"/>
    <mergeCell ref="AA176:AA177"/>
    <mergeCell ref="AB176:AB177"/>
    <mergeCell ref="AC176:AC177"/>
    <mergeCell ref="AD176:AD177"/>
    <mergeCell ref="B122:B123"/>
    <mergeCell ref="Z122:Z123"/>
    <mergeCell ref="AA122:AA123"/>
    <mergeCell ref="AB122:AB123"/>
    <mergeCell ref="AC122:AC123"/>
    <mergeCell ref="AD122:AD123"/>
    <mergeCell ref="B124:B125"/>
    <mergeCell ref="Z124:Z125"/>
    <mergeCell ref="AA124:AA125"/>
    <mergeCell ref="AB124:AB125"/>
    <mergeCell ref="AA198:AA199"/>
    <mergeCell ref="AB198:AB199"/>
    <mergeCell ref="AC198:AC199"/>
    <mergeCell ref="AD198:AD199"/>
    <mergeCell ref="B200:B201"/>
    <mergeCell ref="Z200:Z201"/>
    <mergeCell ref="AA200:AA201"/>
    <mergeCell ref="AB200:AB201"/>
    <mergeCell ref="AC200:AC201"/>
    <mergeCell ref="AD200:AD201"/>
    <mergeCell ref="B194:B195"/>
    <mergeCell ref="Z194:Z195"/>
    <mergeCell ref="AA194:AA195"/>
    <mergeCell ref="AB194:AB195"/>
    <mergeCell ref="AC194:AC195"/>
    <mergeCell ref="AD194:AD195"/>
    <mergeCell ref="B196:B197"/>
    <mergeCell ref="Z196:Z197"/>
    <mergeCell ref="AA196:AA197"/>
    <mergeCell ref="AB196:AB197"/>
    <mergeCell ref="AC196:AC197"/>
    <mergeCell ref="AD196:AD197"/>
    <mergeCell ref="AA120:AA121"/>
    <mergeCell ref="AB120:AB121"/>
    <mergeCell ref="AC120:AC121"/>
    <mergeCell ref="AD120:AD121"/>
    <mergeCell ref="B114:B115"/>
    <mergeCell ref="Z114:Z115"/>
    <mergeCell ref="AA114:AA115"/>
    <mergeCell ref="AB114:AB115"/>
    <mergeCell ref="AC114:AC115"/>
    <mergeCell ref="AD114:AD115"/>
    <mergeCell ref="B116:B117"/>
    <mergeCell ref="Z116:Z117"/>
    <mergeCell ref="AA116:AA117"/>
    <mergeCell ref="AB116:AB117"/>
    <mergeCell ref="AC116:AC117"/>
    <mergeCell ref="AD116:AD117"/>
    <mergeCell ref="AA132:AA133"/>
    <mergeCell ref="AB132:AB133"/>
    <mergeCell ref="AC132:AC133"/>
    <mergeCell ref="AD132:AD133"/>
    <mergeCell ref="B126:B127"/>
    <mergeCell ref="Z126:Z127"/>
    <mergeCell ref="AA126:AA127"/>
    <mergeCell ref="AB126:AB127"/>
    <mergeCell ref="AC126:AC127"/>
    <mergeCell ref="AD126:AD127"/>
    <mergeCell ref="B128:B129"/>
    <mergeCell ref="Z128:Z129"/>
    <mergeCell ref="AA128:AA129"/>
    <mergeCell ref="AB128:AB129"/>
    <mergeCell ref="AC128:AC129"/>
    <mergeCell ref="AD128:AD129"/>
    <mergeCell ref="B74:B75"/>
    <mergeCell ref="Z74:Z75"/>
    <mergeCell ref="AA74:AA75"/>
    <mergeCell ref="AB74:AB75"/>
    <mergeCell ref="AC74:AC75"/>
    <mergeCell ref="AD74:AD75"/>
    <mergeCell ref="B76:B77"/>
    <mergeCell ref="Z76:Z77"/>
    <mergeCell ref="AA76:AA77"/>
    <mergeCell ref="AB76:AB77"/>
    <mergeCell ref="AA150:AA151"/>
    <mergeCell ref="AB150:AB151"/>
    <mergeCell ref="AC150:AC151"/>
    <mergeCell ref="AD150:AD151"/>
    <mergeCell ref="B152:B153"/>
    <mergeCell ref="Z152:Z153"/>
    <mergeCell ref="AA152:AA153"/>
    <mergeCell ref="AB152:AB153"/>
    <mergeCell ref="AC152:AC153"/>
    <mergeCell ref="AD152:AD153"/>
    <mergeCell ref="B146:B147"/>
    <mergeCell ref="Z146:Z147"/>
    <mergeCell ref="AA146:AA147"/>
    <mergeCell ref="AB146:AB147"/>
    <mergeCell ref="AC146:AC147"/>
    <mergeCell ref="AD146:AD147"/>
    <mergeCell ref="B148:B149"/>
    <mergeCell ref="Z148:Z149"/>
    <mergeCell ref="AA148:AA149"/>
    <mergeCell ref="AB148:AB149"/>
    <mergeCell ref="AC148:AC149"/>
    <mergeCell ref="AD148:AD149"/>
    <mergeCell ref="AA72:AA73"/>
    <mergeCell ref="AB72:AB73"/>
    <mergeCell ref="AC72:AC73"/>
    <mergeCell ref="AD72:AD73"/>
    <mergeCell ref="B66:B67"/>
    <mergeCell ref="Z66:Z67"/>
    <mergeCell ref="AA66:AA67"/>
    <mergeCell ref="AB66:AB67"/>
    <mergeCell ref="AC66:AC67"/>
    <mergeCell ref="AD66:AD67"/>
    <mergeCell ref="B68:B69"/>
    <mergeCell ref="Z68:Z69"/>
    <mergeCell ref="AA68:AA69"/>
    <mergeCell ref="AB68:AB69"/>
    <mergeCell ref="AC68:AC69"/>
    <mergeCell ref="AD68:AD69"/>
    <mergeCell ref="AA84:AA85"/>
    <mergeCell ref="AB84:AB85"/>
    <mergeCell ref="AC84:AC85"/>
    <mergeCell ref="AD84:AD85"/>
    <mergeCell ref="B78:B79"/>
    <mergeCell ref="Z78:Z79"/>
    <mergeCell ref="AA78:AA79"/>
    <mergeCell ref="AB78:AB79"/>
    <mergeCell ref="AC78:AC79"/>
    <mergeCell ref="AD78:AD79"/>
    <mergeCell ref="B80:B81"/>
    <mergeCell ref="Z80:Z81"/>
    <mergeCell ref="AA80:AA81"/>
    <mergeCell ref="AB80:AB81"/>
    <mergeCell ref="AC80:AC81"/>
    <mergeCell ref="AD80:AD81"/>
    <mergeCell ref="AA102:AA103"/>
    <mergeCell ref="AB102:AB103"/>
    <mergeCell ref="AC102:AC103"/>
    <mergeCell ref="AD102:AD103"/>
    <mergeCell ref="B104:B105"/>
    <mergeCell ref="Z104:Z105"/>
    <mergeCell ref="AA104:AA105"/>
    <mergeCell ref="AB104:AB105"/>
    <mergeCell ref="AC104:AC105"/>
    <mergeCell ref="AD104:AD105"/>
    <mergeCell ref="B98:B99"/>
    <mergeCell ref="Z98:Z99"/>
    <mergeCell ref="AA98:AA99"/>
    <mergeCell ref="AB98:AB99"/>
    <mergeCell ref="AC98:AC99"/>
    <mergeCell ref="AD98:AD99"/>
    <mergeCell ref="B100:B101"/>
    <mergeCell ref="Z100:Z101"/>
    <mergeCell ref="AA100:AA101"/>
    <mergeCell ref="AB100:AB101"/>
    <mergeCell ref="AC100:AC101"/>
    <mergeCell ref="AD100:AD101"/>
    <mergeCell ref="AA82:AA83"/>
    <mergeCell ref="AB82:AB83"/>
    <mergeCell ref="AC82:AC83"/>
    <mergeCell ref="AD82:AD83"/>
    <mergeCell ref="B84:B85"/>
    <mergeCell ref="Z84:Z85"/>
    <mergeCell ref="B86:B87"/>
    <mergeCell ref="Z86:Z87"/>
    <mergeCell ref="B38:B39"/>
    <mergeCell ref="Z38:Z39"/>
    <mergeCell ref="AA38:AA39"/>
    <mergeCell ref="AB38:AB39"/>
    <mergeCell ref="AC38:AC39"/>
    <mergeCell ref="AD38:AD39"/>
    <mergeCell ref="B40:B41"/>
    <mergeCell ref="Z40:Z41"/>
    <mergeCell ref="AA40:AA41"/>
    <mergeCell ref="B18:B19"/>
    <mergeCell ref="Z18:Z19"/>
    <mergeCell ref="AA18:AA19"/>
    <mergeCell ref="AB18:AB19"/>
    <mergeCell ref="AC18:AC19"/>
    <mergeCell ref="AD18:AD19"/>
    <mergeCell ref="B20:B21"/>
    <mergeCell ref="Z20:Z21"/>
    <mergeCell ref="AA20:AA21"/>
    <mergeCell ref="AB20:AB21"/>
    <mergeCell ref="AC20:AC21"/>
    <mergeCell ref="AD20:AD21"/>
    <mergeCell ref="AB40:AB41"/>
    <mergeCell ref="AC40:AC41"/>
    <mergeCell ref="AD40:AD41"/>
    <mergeCell ref="AA36:AA37"/>
    <mergeCell ref="AB36:AB37"/>
    <mergeCell ref="AC36:AC37"/>
    <mergeCell ref="AD36:AD37"/>
    <mergeCell ref="B30:B31"/>
    <mergeCell ref="Z30:Z31"/>
    <mergeCell ref="AA30:AA31"/>
    <mergeCell ref="AB30:AB31"/>
    <mergeCell ref="AA54:AA55"/>
    <mergeCell ref="AB54:AB55"/>
    <mergeCell ref="AC54:AC55"/>
    <mergeCell ref="AD54:AD55"/>
    <mergeCell ref="B56:B57"/>
    <mergeCell ref="Z56:Z57"/>
    <mergeCell ref="AA56:AA57"/>
    <mergeCell ref="AB56:AB57"/>
    <mergeCell ref="AC56:AC57"/>
    <mergeCell ref="AD56:AD57"/>
    <mergeCell ref="B50:B51"/>
    <mergeCell ref="Z50:Z51"/>
    <mergeCell ref="AA50:AA51"/>
    <mergeCell ref="AB50:AB51"/>
    <mergeCell ref="AC50:AC51"/>
    <mergeCell ref="AD50:AD51"/>
    <mergeCell ref="B52:B53"/>
    <mergeCell ref="Z52:Z53"/>
    <mergeCell ref="AA52:AA53"/>
    <mergeCell ref="AB52:AB53"/>
    <mergeCell ref="AC52:AC53"/>
    <mergeCell ref="AD52:AD53"/>
    <mergeCell ref="B54:B55"/>
    <mergeCell ref="Z54:Z55"/>
    <mergeCell ref="BD28:BD29"/>
    <mergeCell ref="BE28:BE29"/>
    <mergeCell ref="BA30:BA31"/>
    <mergeCell ref="BB30:BB31"/>
    <mergeCell ref="BC30:BC31"/>
    <mergeCell ref="BD30:BD31"/>
    <mergeCell ref="BE30:BE31"/>
    <mergeCell ref="BA32:BA33"/>
    <mergeCell ref="BB32:BB33"/>
    <mergeCell ref="BC32:BC33"/>
    <mergeCell ref="BD32:BD33"/>
    <mergeCell ref="BE32:BE33"/>
    <mergeCell ref="BA34:BA35"/>
    <mergeCell ref="BB34:BB35"/>
    <mergeCell ref="BC34:BC35"/>
    <mergeCell ref="BD34:BD35"/>
    <mergeCell ref="BE34:BE35"/>
    <mergeCell ref="AC30:AC31"/>
    <mergeCell ref="AD30:AD31"/>
    <mergeCell ref="B32:B33"/>
    <mergeCell ref="Z32:Z33"/>
    <mergeCell ref="AA32:AA33"/>
    <mergeCell ref="AB32:AB33"/>
    <mergeCell ref="AC32:AC33"/>
    <mergeCell ref="AD32:AD33"/>
    <mergeCell ref="B26:B27"/>
    <mergeCell ref="Z26:Z27"/>
    <mergeCell ref="AA26:AA27"/>
    <mergeCell ref="AB26:AB27"/>
    <mergeCell ref="AC26:AC27"/>
    <mergeCell ref="AD26:AD27"/>
    <mergeCell ref="B28:B29"/>
    <mergeCell ref="Z28:Z29"/>
    <mergeCell ref="AA28:AA29"/>
    <mergeCell ref="AB28:AB29"/>
    <mergeCell ref="AC28:AC29"/>
    <mergeCell ref="AD28:AD29"/>
    <mergeCell ref="CK10:CK11"/>
    <mergeCell ref="CG4:CG5"/>
    <mergeCell ref="CH4:CH5"/>
    <mergeCell ref="CI4:CI5"/>
    <mergeCell ref="CJ4:CJ5"/>
    <mergeCell ref="CK4:CK5"/>
    <mergeCell ref="CG6:CG7"/>
    <mergeCell ref="CH6:CH7"/>
    <mergeCell ref="AA24:AA25"/>
    <mergeCell ref="AB24:AB25"/>
    <mergeCell ref="AC24:AC25"/>
    <mergeCell ref="AD24:AD25"/>
    <mergeCell ref="CI22:CI23"/>
    <mergeCell ref="CJ22:CJ23"/>
    <mergeCell ref="CK22:CK23"/>
    <mergeCell ref="CI6:CI7"/>
    <mergeCell ref="CJ6:CJ7"/>
    <mergeCell ref="CK6:CK7"/>
    <mergeCell ref="CG16:CG17"/>
    <mergeCell ref="BA22:BA23"/>
    <mergeCell ref="BB22:BB23"/>
    <mergeCell ref="BC22:BC23"/>
    <mergeCell ref="BD22:BD23"/>
    <mergeCell ref="BE22:BE23"/>
    <mergeCell ref="BA24:BA25"/>
    <mergeCell ref="BB24:BB25"/>
    <mergeCell ref="BC24:BC25"/>
    <mergeCell ref="BD24:BD25"/>
    <mergeCell ref="BE24:BE25"/>
    <mergeCell ref="CB20:CB21"/>
    <mergeCell ref="CC20:CC21"/>
    <mergeCell ref="CD20:CD21"/>
    <mergeCell ref="CL16:CL17"/>
    <mergeCell ref="CL13:CL14"/>
    <mergeCell ref="CM13:CM14"/>
    <mergeCell ref="CM16:CM17"/>
    <mergeCell ref="CL10:CL11"/>
    <mergeCell ref="CM10:CM11"/>
    <mergeCell ref="A2:C3"/>
    <mergeCell ref="D2:AB2"/>
    <mergeCell ref="CH16:CH17"/>
    <mergeCell ref="CI16:CI17"/>
    <mergeCell ref="CJ16:CJ17"/>
    <mergeCell ref="CK16:CK17"/>
    <mergeCell ref="CG2:CK2"/>
    <mergeCell ref="CG12:CG13"/>
    <mergeCell ref="CH12:CH13"/>
    <mergeCell ref="CI12:CI13"/>
    <mergeCell ref="CJ12:CJ13"/>
    <mergeCell ref="CK12:CK13"/>
    <mergeCell ref="CG14:CG15"/>
    <mergeCell ref="CH14:CH15"/>
    <mergeCell ref="CI14:CI15"/>
    <mergeCell ref="CJ14:CJ15"/>
    <mergeCell ref="CK14:CK15"/>
    <mergeCell ref="CG8:CG9"/>
    <mergeCell ref="CH8:CH9"/>
    <mergeCell ref="CI8:CI9"/>
    <mergeCell ref="CJ8:CJ9"/>
    <mergeCell ref="CK8:CK9"/>
    <mergeCell ref="CG10:CG11"/>
    <mergeCell ref="CH10:CH11"/>
    <mergeCell ref="CI10:CI11"/>
    <mergeCell ref="CJ10:CJ11"/>
    <mergeCell ref="AB12:AB13"/>
    <mergeCell ref="AC12:AC13"/>
    <mergeCell ref="AD12:AD13"/>
    <mergeCell ref="AE2:BC2"/>
    <mergeCell ref="BD2:BE3"/>
    <mergeCell ref="A4:A5"/>
    <mergeCell ref="B4:B5"/>
    <mergeCell ref="Z4:Z5"/>
    <mergeCell ref="AA4:AA5"/>
    <mergeCell ref="AB4:AB5"/>
    <mergeCell ref="AC4:AC5"/>
    <mergeCell ref="AD4:AD5"/>
    <mergeCell ref="A10:A11"/>
    <mergeCell ref="B10:B11"/>
    <mergeCell ref="Z10:Z11"/>
    <mergeCell ref="AA10:AA11"/>
    <mergeCell ref="AB10:AB11"/>
    <mergeCell ref="AC10:AC11"/>
    <mergeCell ref="AD6:AD7"/>
    <mergeCell ref="A8:A9"/>
    <mergeCell ref="B8:B9"/>
    <mergeCell ref="Z8:Z9"/>
    <mergeCell ref="AA8:AA9"/>
    <mergeCell ref="AB8:AB9"/>
    <mergeCell ref="AC8:AC9"/>
    <mergeCell ref="AD8:AD9"/>
    <mergeCell ref="A6:A7"/>
    <mergeCell ref="B6:B7"/>
    <mergeCell ref="Z6:Z7"/>
    <mergeCell ref="AA6:AA7"/>
    <mergeCell ref="BC12:BC13"/>
    <mergeCell ref="BD12:BD13"/>
    <mergeCell ref="DG4:DG5"/>
    <mergeCell ref="DG6:DG7"/>
    <mergeCell ref="DG8:DG9"/>
    <mergeCell ref="DG10:DG11"/>
    <mergeCell ref="DG12:DG13"/>
    <mergeCell ref="DG14:DG15"/>
    <mergeCell ref="DG16:DG17"/>
    <mergeCell ref="DG18:DG19"/>
    <mergeCell ref="DG20:DG21"/>
    <mergeCell ref="DG22:DG23"/>
    <mergeCell ref="AB6:AB7"/>
    <mergeCell ref="AC6:AC7"/>
    <mergeCell ref="AC2:AD3"/>
    <mergeCell ref="AD14:AD15"/>
    <mergeCell ref="A16:A17"/>
    <mergeCell ref="B16:B17"/>
    <mergeCell ref="Z16:Z17"/>
    <mergeCell ref="AA16:AA17"/>
    <mergeCell ref="AB16:AB17"/>
    <mergeCell ref="AC16:AC17"/>
    <mergeCell ref="AD16:AD17"/>
    <mergeCell ref="A14:A15"/>
    <mergeCell ref="B14:B15"/>
    <mergeCell ref="Z14:Z15"/>
    <mergeCell ref="AA14:AA15"/>
    <mergeCell ref="AB14:AB15"/>
    <mergeCell ref="AC14:AC15"/>
    <mergeCell ref="AD10:AD11"/>
    <mergeCell ref="A12:A13"/>
    <mergeCell ref="B12:B13"/>
    <mergeCell ref="Z12:Z13"/>
    <mergeCell ref="AA12:AA13"/>
    <mergeCell ref="DG24:DG25"/>
    <mergeCell ref="DG26:DG27"/>
    <mergeCell ref="DG28:DG29"/>
    <mergeCell ref="DG30:DG31"/>
    <mergeCell ref="DG32:DG33"/>
    <mergeCell ref="DG34:DG35"/>
    <mergeCell ref="DG36:DG37"/>
    <mergeCell ref="DG38:DG39"/>
    <mergeCell ref="DG40:DG41"/>
    <mergeCell ref="DG42:DG43"/>
    <mergeCell ref="DG44:DG45"/>
    <mergeCell ref="DG46:DG47"/>
    <mergeCell ref="DG48:DG49"/>
    <mergeCell ref="DG50:DG51"/>
    <mergeCell ref="DG52:DG53"/>
    <mergeCell ref="DG54:DG55"/>
    <mergeCell ref="DG56:DG57"/>
    <mergeCell ref="DG58:DG59"/>
    <mergeCell ref="DG60:DG61"/>
    <mergeCell ref="DG62:DG63"/>
    <mergeCell ref="DG64:DG65"/>
    <mergeCell ref="DG66:DG67"/>
    <mergeCell ref="DG68:DG69"/>
    <mergeCell ref="DG70:DG71"/>
    <mergeCell ref="DG72:DG73"/>
    <mergeCell ref="DG74:DG75"/>
    <mergeCell ref="DG76:DG77"/>
    <mergeCell ref="DG78:DG79"/>
    <mergeCell ref="DG80:DG81"/>
    <mergeCell ref="DG82:DG83"/>
    <mergeCell ref="DG84:DG85"/>
    <mergeCell ref="DG86:DG87"/>
    <mergeCell ref="DG88:DG89"/>
    <mergeCell ref="DG90:DG91"/>
    <mergeCell ref="DG92:DG93"/>
    <mergeCell ref="DG94:DG95"/>
    <mergeCell ref="DG96:DG97"/>
    <mergeCell ref="DG98:DG99"/>
    <mergeCell ref="DG100:DG101"/>
    <mergeCell ref="DG102:DG103"/>
    <mergeCell ref="DG104:DG105"/>
    <mergeCell ref="DG106:DG107"/>
    <mergeCell ref="DG108:DG109"/>
    <mergeCell ref="DG110:DG111"/>
    <mergeCell ref="DG112:DG113"/>
    <mergeCell ref="DG114:DG115"/>
    <mergeCell ref="DG116:DG117"/>
    <mergeCell ref="DG118:DG119"/>
    <mergeCell ref="DG120:DG121"/>
    <mergeCell ref="DG122:DG123"/>
    <mergeCell ref="DG124:DG125"/>
    <mergeCell ref="DG126:DG127"/>
    <mergeCell ref="DG128:DG129"/>
    <mergeCell ref="DG130:DG131"/>
    <mergeCell ref="DG132:DG133"/>
    <mergeCell ref="DG134:DG135"/>
    <mergeCell ref="DG136:DG137"/>
    <mergeCell ref="DG138:DG139"/>
    <mergeCell ref="DG140:DG141"/>
    <mergeCell ref="DG142:DG143"/>
    <mergeCell ref="DG144:DG145"/>
    <mergeCell ref="DG146:DG147"/>
    <mergeCell ref="DG148:DG149"/>
    <mergeCell ref="DG150:DG151"/>
    <mergeCell ref="DG152:DG153"/>
    <mergeCell ref="DG154:DG155"/>
    <mergeCell ref="DG156:DG157"/>
    <mergeCell ref="DG158:DG159"/>
    <mergeCell ref="DG226:DG227"/>
    <mergeCell ref="DG160:DG161"/>
    <mergeCell ref="DG162:DG163"/>
    <mergeCell ref="DG164:DG165"/>
    <mergeCell ref="DG166:DG167"/>
    <mergeCell ref="DG168:DG169"/>
    <mergeCell ref="DG170:DG171"/>
    <mergeCell ref="DG172:DG173"/>
    <mergeCell ref="DG174:DG175"/>
    <mergeCell ref="DG176:DG177"/>
    <mergeCell ref="DG178:DG179"/>
    <mergeCell ref="DG180:DG181"/>
    <mergeCell ref="DG182:DG183"/>
    <mergeCell ref="DG184:DG185"/>
    <mergeCell ref="DG186:DG187"/>
    <mergeCell ref="DG188:DG189"/>
    <mergeCell ref="DG190:DG191"/>
    <mergeCell ref="DG192:DG193"/>
    <mergeCell ref="DG280:DG281"/>
    <mergeCell ref="DG282:DG283"/>
    <mergeCell ref="DG284:DG285"/>
    <mergeCell ref="DG228:DG229"/>
    <mergeCell ref="DG230:DG231"/>
    <mergeCell ref="DG232:DG233"/>
    <mergeCell ref="DG234:DG235"/>
    <mergeCell ref="DG236:DG237"/>
    <mergeCell ref="DG238:DG239"/>
    <mergeCell ref="DG240:DG241"/>
    <mergeCell ref="DG242:DG243"/>
    <mergeCell ref="DG244:DG245"/>
    <mergeCell ref="DG246:DG247"/>
    <mergeCell ref="DG248:DG249"/>
    <mergeCell ref="DG250:DG251"/>
    <mergeCell ref="DG252:DG253"/>
    <mergeCell ref="DG254:DG255"/>
    <mergeCell ref="DG256:DG257"/>
    <mergeCell ref="DG258:DG259"/>
    <mergeCell ref="DG260:DG261"/>
    <mergeCell ref="BA4:BA5"/>
    <mergeCell ref="BB4:BB5"/>
    <mergeCell ref="BC4:BC5"/>
    <mergeCell ref="BD4:BD5"/>
    <mergeCell ref="BE4:BE5"/>
    <mergeCell ref="DG262:DG263"/>
    <mergeCell ref="DG264:DG265"/>
    <mergeCell ref="DG266:DG267"/>
    <mergeCell ref="DG268:DG269"/>
    <mergeCell ref="DG270:DG271"/>
    <mergeCell ref="DG272:DG273"/>
    <mergeCell ref="DG274:DG275"/>
    <mergeCell ref="DG276:DG277"/>
    <mergeCell ref="DG278:DG279"/>
    <mergeCell ref="DG194:DG195"/>
    <mergeCell ref="DG196:DG197"/>
    <mergeCell ref="DG198:DG199"/>
    <mergeCell ref="DG200:DG201"/>
    <mergeCell ref="DG202:DG203"/>
    <mergeCell ref="DG204:DG205"/>
    <mergeCell ref="DG206:DG207"/>
    <mergeCell ref="DG208:DG209"/>
    <mergeCell ref="DG210:DG211"/>
    <mergeCell ref="DG212:DG213"/>
    <mergeCell ref="DG214:DG215"/>
    <mergeCell ref="DG216:DG217"/>
    <mergeCell ref="DG218:DG219"/>
    <mergeCell ref="DG220:DG221"/>
    <mergeCell ref="DG222:DG223"/>
    <mergeCell ref="BA44:BA45"/>
    <mergeCell ref="BB44:BB45"/>
    <mergeCell ref="DG224:DG225"/>
    <mergeCell ref="BB48:BB49"/>
    <mergeCell ref="BC48:BC49"/>
    <mergeCell ref="BD48:BD49"/>
    <mergeCell ref="BE48:BE49"/>
    <mergeCell ref="BA6:BA7"/>
    <mergeCell ref="BB6:BB7"/>
    <mergeCell ref="BC6:BC7"/>
    <mergeCell ref="BD6:BD7"/>
    <mergeCell ref="BE6:BE7"/>
    <mergeCell ref="BA8:BA9"/>
    <mergeCell ref="BB8:BB9"/>
    <mergeCell ref="BC8:BC9"/>
    <mergeCell ref="BD8:BD9"/>
    <mergeCell ref="BE8:BE9"/>
    <mergeCell ref="BA10:BA11"/>
    <mergeCell ref="BB10:BB11"/>
    <mergeCell ref="BC10:BC11"/>
    <mergeCell ref="BD10:BD11"/>
    <mergeCell ref="BE10:BE11"/>
    <mergeCell ref="BA12:BA13"/>
    <mergeCell ref="BB12:BB13"/>
    <mergeCell ref="BA14:BA15"/>
    <mergeCell ref="BB14:BB15"/>
    <mergeCell ref="BC14:BC15"/>
    <mergeCell ref="BD14:BD15"/>
    <mergeCell ref="BE14:BE15"/>
    <mergeCell ref="BA16:BA17"/>
    <mergeCell ref="BB16:BB17"/>
    <mergeCell ref="BC16:BC17"/>
    <mergeCell ref="BD16:BD17"/>
    <mergeCell ref="BE16:BE17"/>
    <mergeCell ref="BE12:BE13"/>
    <mergeCell ref="BA18:BA19"/>
    <mergeCell ref="BB18:BB19"/>
    <mergeCell ref="BC18:BC19"/>
    <mergeCell ref="BD18:BD19"/>
    <mergeCell ref="BE18:BE19"/>
    <mergeCell ref="BA20:BA21"/>
    <mergeCell ref="BB20:BB21"/>
    <mergeCell ref="BC20:BC21"/>
    <mergeCell ref="BD20:BD21"/>
    <mergeCell ref="BE20:BE21"/>
    <mergeCell ref="BB64:BB65"/>
    <mergeCell ref="BC64:BC65"/>
    <mergeCell ref="BD64:BD65"/>
    <mergeCell ref="BE64:BE65"/>
    <mergeCell ref="BD54:BD55"/>
    <mergeCell ref="BE54:BE55"/>
    <mergeCell ref="BA56:BA57"/>
    <mergeCell ref="BB56:BB57"/>
    <mergeCell ref="BC56:BC57"/>
    <mergeCell ref="BD56:BD57"/>
    <mergeCell ref="BE56:BE57"/>
    <mergeCell ref="BA58:BA59"/>
    <mergeCell ref="BB58:BB59"/>
    <mergeCell ref="BC58:BC59"/>
    <mergeCell ref="BD58:BD59"/>
    <mergeCell ref="BE58:BE59"/>
    <mergeCell ref="BA60:BA61"/>
    <mergeCell ref="BB60:BB61"/>
    <mergeCell ref="BC60:BC61"/>
    <mergeCell ref="BD60:BD61"/>
    <mergeCell ref="BE60:BE61"/>
    <mergeCell ref="BA48:BA49"/>
    <mergeCell ref="BE76:BE77"/>
    <mergeCell ref="BA50:BA51"/>
    <mergeCell ref="BB50:BB51"/>
    <mergeCell ref="BC50:BC51"/>
    <mergeCell ref="BD50:BD51"/>
    <mergeCell ref="BE50:BE51"/>
    <mergeCell ref="BA36:BA37"/>
    <mergeCell ref="BB36:BB37"/>
    <mergeCell ref="BC36:BC37"/>
    <mergeCell ref="BD36:BD37"/>
    <mergeCell ref="BE36:BE37"/>
    <mergeCell ref="BA38:BA39"/>
    <mergeCell ref="BB38:BB39"/>
    <mergeCell ref="BC38:BC39"/>
    <mergeCell ref="BD38:BD39"/>
    <mergeCell ref="BE38:BE39"/>
    <mergeCell ref="BA40:BA41"/>
    <mergeCell ref="BB40:BB41"/>
    <mergeCell ref="BC40:BC41"/>
    <mergeCell ref="BD40:BD41"/>
    <mergeCell ref="BE40:BE41"/>
    <mergeCell ref="BA42:BA43"/>
    <mergeCell ref="BB42:BB43"/>
    <mergeCell ref="BC42:BC43"/>
    <mergeCell ref="BD42:BD43"/>
    <mergeCell ref="BE42:BE43"/>
    <mergeCell ref="BA62:BA63"/>
    <mergeCell ref="BB62:BB63"/>
    <mergeCell ref="BC62:BC63"/>
    <mergeCell ref="BD62:BD63"/>
    <mergeCell ref="BE62:BE63"/>
    <mergeCell ref="BA64:BA65"/>
    <mergeCell ref="BC82:BC83"/>
    <mergeCell ref="BD82:BD83"/>
    <mergeCell ref="BE82:BE83"/>
    <mergeCell ref="BA84:BA85"/>
    <mergeCell ref="BB84:BB85"/>
    <mergeCell ref="BC84:BC85"/>
    <mergeCell ref="BD84:BD85"/>
    <mergeCell ref="BE84:BE85"/>
    <mergeCell ref="BA86:BA87"/>
    <mergeCell ref="BB86:BB87"/>
    <mergeCell ref="BC86:BC87"/>
    <mergeCell ref="BD86:BD87"/>
    <mergeCell ref="BE86:BE87"/>
    <mergeCell ref="BA70:BA71"/>
    <mergeCell ref="BB70:BB71"/>
    <mergeCell ref="BC70:BC71"/>
    <mergeCell ref="BD70:BD71"/>
    <mergeCell ref="BE70:BE71"/>
    <mergeCell ref="BA72:BA73"/>
    <mergeCell ref="BB72:BB73"/>
    <mergeCell ref="BC72:BC73"/>
    <mergeCell ref="BD72:BD73"/>
    <mergeCell ref="BE72:BE73"/>
    <mergeCell ref="BA74:BA75"/>
    <mergeCell ref="BB74:BB75"/>
    <mergeCell ref="BC74:BC75"/>
    <mergeCell ref="BD74:BD75"/>
    <mergeCell ref="BE74:BE75"/>
    <mergeCell ref="BA76:BA77"/>
    <mergeCell ref="BB76:BB77"/>
    <mergeCell ref="BC76:BC77"/>
    <mergeCell ref="BD76:BD77"/>
    <mergeCell ref="BA88:BA89"/>
    <mergeCell ref="BB88:BB89"/>
    <mergeCell ref="BC88:BC89"/>
    <mergeCell ref="BD88:BD89"/>
    <mergeCell ref="BE88:BE89"/>
    <mergeCell ref="BA90:BA91"/>
    <mergeCell ref="BB90:BB91"/>
    <mergeCell ref="BC90:BC91"/>
    <mergeCell ref="BD90:BD91"/>
    <mergeCell ref="BE90:BE91"/>
    <mergeCell ref="BA92:BA93"/>
    <mergeCell ref="BB92:BB93"/>
    <mergeCell ref="BC92:BC93"/>
    <mergeCell ref="BD92:BD93"/>
    <mergeCell ref="BE92:BE93"/>
    <mergeCell ref="BA94:BA95"/>
    <mergeCell ref="BB94:BB95"/>
    <mergeCell ref="BC94:BC95"/>
    <mergeCell ref="BD94:BD95"/>
    <mergeCell ref="BE94:BE95"/>
    <mergeCell ref="BA132:BA133"/>
    <mergeCell ref="BB132:BB133"/>
    <mergeCell ref="BC132:BC133"/>
    <mergeCell ref="BD132:BD133"/>
    <mergeCell ref="BE132:BE133"/>
    <mergeCell ref="BA134:BA135"/>
    <mergeCell ref="BB134:BB135"/>
    <mergeCell ref="BC134:BC135"/>
    <mergeCell ref="BD134:BD135"/>
    <mergeCell ref="BE134:BE135"/>
    <mergeCell ref="BA96:BA97"/>
    <mergeCell ref="BB96:BB97"/>
    <mergeCell ref="BC96:BC97"/>
    <mergeCell ref="BD96:BD97"/>
    <mergeCell ref="BE96:BE97"/>
    <mergeCell ref="BA98:BA99"/>
    <mergeCell ref="BB98:BB99"/>
    <mergeCell ref="BC98:BC99"/>
    <mergeCell ref="BD98:BD99"/>
    <mergeCell ref="BE98:BE99"/>
    <mergeCell ref="BA100:BA101"/>
    <mergeCell ref="BB100:BB101"/>
    <mergeCell ref="BC100:BC101"/>
    <mergeCell ref="BD100:BD101"/>
    <mergeCell ref="BE100:BE101"/>
    <mergeCell ref="BA102:BA103"/>
    <mergeCell ref="BB102:BB103"/>
    <mergeCell ref="BC102:BC103"/>
    <mergeCell ref="BD102:BD103"/>
    <mergeCell ref="BE102:BE103"/>
    <mergeCell ref="BE114:BE115"/>
    <mergeCell ref="BA116:BA117"/>
    <mergeCell ref="BA106:BA107"/>
    <mergeCell ref="BB106:BB107"/>
    <mergeCell ref="BC106:BC107"/>
    <mergeCell ref="BD106:BD107"/>
    <mergeCell ref="BE106:BE107"/>
    <mergeCell ref="BA108:BA109"/>
    <mergeCell ref="BB108:BB109"/>
    <mergeCell ref="BC108:BC109"/>
    <mergeCell ref="BD108:BD109"/>
    <mergeCell ref="BE108:BE109"/>
    <mergeCell ref="BA110:BA111"/>
    <mergeCell ref="BB110:BB111"/>
    <mergeCell ref="BC110:BC111"/>
    <mergeCell ref="BD110:BD111"/>
    <mergeCell ref="BE110:BE111"/>
    <mergeCell ref="BA112:BA113"/>
    <mergeCell ref="BB112:BB113"/>
    <mergeCell ref="BC112:BC113"/>
    <mergeCell ref="BD112:BD113"/>
    <mergeCell ref="BE112:BE113"/>
    <mergeCell ref="BA152:BA153"/>
    <mergeCell ref="BB152:BB153"/>
    <mergeCell ref="BC152:BC153"/>
    <mergeCell ref="BD152:BD153"/>
    <mergeCell ref="BE152:BE153"/>
    <mergeCell ref="BA154:BA155"/>
    <mergeCell ref="BB154:BB155"/>
    <mergeCell ref="BC154:BC155"/>
    <mergeCell ref="BD154:BD155"/>
    <mergeCell ref="BE154:BE155"/>
    <mergeCell ref="BA140:BA141"/>
    <mergeCell ref="BB140:BB141"/>
    <mergeCell ref="BC140:BC141"/>
    <mergeCell ref="BD140:BD141"/>
    <mergeCell ref="BE140:BE141"/>
    <mergeCell ref="BA142:BA143"/>
    <mergeCell ref="BB142:BB143"/>
    <mergeCell ref="BC142:BC143"/>
    <mergeCell ref="BD142:BD143"/>
    <mergeCell ref="BE142:BE143"/>
    <mergeCell ref="BA144:BA145"/>
    <mergeCell ref="BB144:BB145"/>
    <mergeCell ref="BC144:BC145"/>
    <mergeCell ref="BD144:BD145"/>
    <mergeCell ref="BE144:BE145"/>
    <mergeCell ref="BA146:BA147"/>
    <mergeCell ref="BB146:BB147"/>
    <mergeCell ref="BC146:BC147"/>
    <mergeCell ref="BD146:BD147"/>
    <mergeCell ref="BE146:BE147"/>
    <mergeCell ref="BA184:BA185"/>
    <mergeCell ref="BB184:BB185"/>
    <mergeCell ref="BC184:BC185"/>
    <mergeCell ref="BD184:BD185"/>
    <mergeCell ref="BE184:BE185"/>
    <mergeCell ref="BC136:BC137"/>
    <mergeCell ref="BD136:BD137"/>
    <mergeCell ref="BE136:BE137"/>
    <mergeCell ref="BA138:BA139"/>
    <mergeCell ref="BB138:BB139"/>
    <mergeCell ref="BC138:BC139"/>
    <mergeCell ref="BD138:BD139"/>
    <mergeCell ref="BE138:BE139"/>
    <mergeCell ref="BD124:BD125"/>
    <mergeCell ref="BE124:BE125"/>
    <mergeCell ref="BA126:BA127"/>
    <mergeCell ref="BB126:BB127"/>
    <mergeCell ref="BC126:BC127"/>
    <mergeCell ref="BD126:BD127"/>
    <mergeCell ref="BE126:BE127"/>
    <mergeCell ref="BA128:BA129"/>
    <mergeCell ref="BB128:BB129"/>
    <mergeCell ref="BC128:BC129"/>
    <mergeCell ref="BD128:BD129"/>
    <mergeCell ref="BE128:BE129"/>
    <mergeCell ref="BA130:BA131"/>
    <mergeCell ref="BB130:BB131"/>
    <mergeCell ref="BC130:BC131"/>
    <mergeCell ref="BD130:BD131"/>
    <mergeCell ref="BE130:BE131"/>
    <mergeCell ref="BD150:BD151"/>
    <mergeCell ref="BE150:BE151"/>
    <mergeCell ref="BE168:BE169"/>
    <mergeCell ref="BA170:BA171"/>
    <mergeCell ref="BB170:BB171"/>
    <mergeCell ref="BC170:BC171"/>
    <mergeCell ref="BD170:BD171"/>
    <mergeCell ref="BE170:BE171"/>
    <mergeCell ref="BA172:BA173"/>
    <mergeCell ref="BB172:BB173"/>
    <mergeCell ref="BC172:BC173"/>
    <mergeCell ref="BD172:BD173"/>
    <mergeCell ref="BE172:BE173"/>
    <mergeCell ref="BA158:BA159"/>
    <mergeCell ref="BB158:BB159"/>
    <mergeCell ref="BC158:BC159"/>
    <mergeCell ref="BD158:BD159"/>
    <mergeCell ref="BE158:BE159"/>
    <mergeCell ref="BA160:BA161"/>
    <mergeCell ref="BB160:BB161"/>
    <mergeCell ref="BC160:BC161"/>
    <mergeCell ref="BD160:BD161"/>
    <mergeCell ref="BE160:BE161"/>
    <mergeCell ref="BA162:BA163"/>
    <mergeCell ref="BB162:BB163"/>
    <mergeCell ref="BC162:BC163"/>
    <mergeCell ref="BD162:BD163"/>
    <mergeCell ref="BE162:BE163"/>
    <mergeCell ref="BA164:BA165"/>
    <mergeCell ref="BB164:BB165"/>
    <mergeCell ref="BC164:BC165"/>
    <mergeCell ref="BD164:BD165"/>
    <mergeCell ref="BE164:BE165"/>
    <mergeCell ref="BD176:BD177"/>
    <mergeCell ref="BE176:BE177"/>
    <mergeCell ref="BA178:BA179"/>
    <mergeCell ref="BB178:BB179"/>
    <mergeCell ref="BC178:BC179"/>
    <mergeCell ref="BD178:BD179"/>
    <mergeCell ref="BE178:BE179"/>
    <mergeCell ref="BA180:BA181"/>
    <mergeCell ref="BB180:BB181"/>
    <mergeCell ref="BC180:BC181"/>
    <mergeCell ref="BD180:BD181"/>
    <mergeCell ref="BE180:BE181"/>
    <mergeCell ref="BA182:BA183"/>
    <mergeCell ref="BB182:BB183"/>
    <mergeCell ref="BC182:BC183"/>
    <mergeCell ref="BD182:BD183"/>
    <mergeCell ref="BE182:BE183"/>
    <mergeCell ref="BC186:BC187"/>
    <mergeCell ref="BD186:BD187"/>
    <mergeCell ref="BE186:BE187"/>
    <mergeCell ref="BA188:BA189"/>
    <mergeCell ref="BB188:BB189"/>
    <mergeCell ref="BC188:BC189"/>
    <mergeCell ref="BD188:BD189"/>
    <mergeCell ref="BE188:BE189"/>
    <mergeCell ref="BA190:BA191"/>
    <mergeCell ref="BB190:BB191"/>
    <mergeCell ref="BC190:BC191"/>
    <mergeCell ref="BD190:BD191"/>
    <mergeCell ref="BE190:BE191"/>
    <mergeCell ref="BA202:BA203"/>
    <mergeCell ref="BB202:BB203"/>
    <mergeCell ref="BC202:BC203"/>
    <mergeCell ref="BD202:BD203"/>
    <mergeCell ref="BE202:BE203"/>
    <mergeCell ref="BA208:BA209"/>
    <mergeCell ref="BB208:BB209"/>
    <mergeCell ref="BC208:BC209"/>
    <mergeCell ref="BD208:BD209"/>
    <mergeCell ref="BE208:BE209"/>
    <mergeCell ref="BA192:BA193"/>
    <mergeCell ref="BB192:BB193"/>
    <mergeCell ref="BC192:BC193"/>
    <mergeCell ref="BD192:BD193"/>
    <mergeCell ref="BE192:BE193"/>
    <mergeCell ref="BA194:BA195"/>
    <mergeCell ref="BB194:BB195"/>
    <mergeCell ref="BC194:BC195"/>
    <mergeCell ref="BD194:BD195"/>
    <mergeCell ref="BE194:BE195"/>
    <mergeCell ref="BA196:BA197"/>
    <mergeCell ref="BB196:BB197"/>
    <mergeCell ref="BC196:BC197"/>
    <mergeCell ref="BD196:BD197"/>
    <mergeCell ref="BE196:BE197"/>
    <mergeCell ref="BA198:BA199"/>
    <mergeCell ref="BB198:BB199"/>
    <mergeCell ref="BE204:BE205"/>
    <mergeCell ref="BA206:BA207"/>
    <mergeCell ref="BB206:BB207"/>
    <mergeCell ref="BC206:BC207"/>
    <mergeCell ref="BD206:BD207"/>
    <mergeCell ref="BE206:BE207"/>
    <mergeCell ref="BC226:BC227"/>
    <mergeCell ref="BD226:BD227"/>
    <mergeCell ref="BC198:BC199"/>
    <mergeCell ref="BD198:BD199"/>
    <mergeCell ref="BE198:BE199"/>
    <mergeCell ref="BD220:BD221"/>
    <mergeCell ref="BE220:BE221"/>
    <mergeCell ref="BA222:BA223"/>
    <mergeCell ref="BB222:BB223"/>
    <mergeCell ref="BE226:BE227"/>
    <mergeCell ref="BA210:BA211"/>
    <mergeCell ref="BB210:BB211"/>
    <mergeCell ref="BC210:BC211"/>
    <mergeCell ref="BD210:BD211"/>
    <mergeCell ref="BE210:BE211"/>
    <mergeCell ref="BA212:BA213"/>
    <mergeCell ref="BB212:BB213"/>
    <mergeCell ref="BC212:BC213"/>
    <mergeCell ref="BD212:BD213"/>
    <mergeCell ref="BE212:BE213"/>
    <mergeCell ref="BA214:BA215"/>
    <mergeCell ref="BB214:BB215"/>
    <mergeCell ref="BC214:BC215"/>
    <mergeCell ref="BD214:BD215"/>
    <mergeCell ref="BE214:BE215"/>
    <mergeCell ref="BA216:BA217"/>
    <mergeCell ref="BB216:BB217"/>
    <mergeCell ref="BC216:BC217"/>
    <mergeCell ref="BD216:BD217"/>
    <mergeCell ref="BE216:BE217"/>
    <mergeCell ref="BA226:BA227"/>
    <mergeCell ref="BB226:BB227"/>
    <mergeCell ref="BC222:BC223"/>
    <mergeCell ref="BD222:BD223"/>
    <mergeCell ref="BE222:BE223"/>
    <mergeCell ref="BA224:BA225"/>
    <mergeCell ref="BB224:BB225"/>
    <mergeCell ref="BC224:BC225"/>
    <mergeCell ref="BD224:BD225"/>
    <mergeCell ref="BE224:BE225"/>
    <mergeCell ref="BE252:BE253"/>
    <mergeCell ref="BA262:BA263"/>
    <mergeCell ref="BB262:BB263"/>
    <mergeCell ref="BC262:BC263"/>
    <mergeCell ref="BD262:BD263"/>
    <mergeCell ref="BA228:BA229"/>
    <mergeCell ref="BB228:BB229"/>
    <mergeCell ref="BC228:BC229"/>
    <mergeCell ref="BD228:BD229"/>
    <mergeCell ref="BE228:BE229"/>
    <mergeCell ref="BA230:BA231"/>
    <mergeCell ref="BB230:BB231"/>
    <mergeCell ref="BC230:BC231"/>
    <mergeCell ref="BD230:BD231"/>
    <mergeCell ref="BE230:BE231"/>
    <mergeCell ref="BA232:BA233"/>
    <mergeCell ref="BB232:BB233"/>
    <mergeCell ref="BC232:BC233"/>
    <mergeCell ref="BD232:BD233"/>
    <mergeCell ref="BE232:BE233"/>
    <mergeCell ref="BA234:BA235"/>
    <mergeCell ref="BB234:BB235"/>
    <mergeCell ref="BC234:BC235"/>
    <mergeCell ref="BD234:BD235"/>
    <mergeCell ref="BA278:BA279"/>
    <mergeCell ref="BB278:BB279"/>
    <mergeCell ref="BC278:BC279"/>
    <mergeCell ref="BD278:BD279"/>
    <mergeCell ref="BE278:BE279"/>
    <mergeCell ref="BC266:BC267"/>
    <mergeCell ref="BD266:BD267"/>
    <mergeCell ref="BE266:BE267"/>
    <mergeCell ref="BA268:BA269"/>
    <mergeCell ref="BB268:BB269"/>
    <mergeCell ref="BC268:BC269"/>
    <mergeCell ref="BD268:BD269"/>
    <mergeCell ref="BE268:BE269"/>
    <mergeCell ref="BA240:BA241"/>
    <mergeCell ref="BB240:BB241"/>
    <mergeCell ref="BC240:BC241"/>
    <mergeCell ref="BD240:BD241"/>
    <mergeCell ref="BE240:BE241"/>
    <mergeCell ref="BA242:BA243"/>
    <mergeCell ref="BB242:BB243"/>
    <mergeCell ref="BC242:BC243"/>
    <mergeCell ref="BD242:BD243"/>
    <mergeCell ref="BE242:BE243"/>
    <mergeCell ref="BA254:BA255"/>
    <mergeCell ref="BB254:BB255"/>
    <mergeCell ref="BC254:BC255"/>
    <mergeCell ref="BD254:BD255"/>
    <mergeCell ref="BE254:BE255"/>
    <mergeCell ref="BD258:BD259"/>
    <mergeCell ref="BE258:BE259"/>
    <mergeCell ref="BC252:BC253"/>
    <mergeCell ref="BD252:BD253"/>
    <mergeCell ref="BF2:CD2"/>
    <mergeCell ref="CE2:CF3"/>
    <mergeCell ref="BA280:BA281"/>
    <mergeCell ref="BB280:BB281"/>
    <mergeCell ref="BC280:BC281"/>
    <mergeCell ref="BD280:BD281"/>
    <mergeCell ref="BE280:BE281"/>
    <mergeCell ref="BA282:BA283"/>
    <mergeCell ref="BB282:BB283"/>
    <mergeCell ref="BC282:BC283"/>
    <mergeCell ref="BD282:BD283"/>
    <mergeCell ref="BE282:BE283"/>
    <mergeCell ref="CE18:CE19"/>
    <mergeCell ref="CF18:CF19"/>
    <mergeCell ref="CB4:CB5"/>
    <mergeCell ref="CC4:CC5"/>
    <mergeCell ref="CD4:CD5"/>
    <mergeCell ref="CE4:CE5"/>
    <mergeCell ref="CF4:CF5"/>
    <mergeCell ref="CB6:CB7"/>
    <mergeCell ref="CC6:CC7"/>
    <mergeCell ref="CD6:CD7"/>
    <mergeCell ref="CE6:CE7"/>
    <mergeCell ref="CF6:CF7"/>
    <mergeCell ref="CB8:CB9"/>
    <mergeCell ref="CC8:CC9"/>
    <mergeCell ref="BD272:BD273"/>
    <mergeCell ref="BE272:BE273"/>
    <mergeCell ref="BA274:BA275"/>
    <mergeCell ref="BB274:BB275"/>
    <mergeCell ref="BC274:BC275"/>
    <mergeCell ref="BD274:BD275"/>
    <mergeCell ref="BA284:BA285"/>
    <mergeCell ref="BB284:BB285"/>
    <mergeCell ref="BC284:BC285"/>
    <mergeCell ref="BD284:BD285"/>
    <mergeCell ref="BE284:BE285"/>
    <mergeCell ref="BE260:BE261"/>
    <mergeCell ref="BD246:BD247"/>
    <mergeCell ref="BE246:BE247"/>
    <mergeCell ref="BA248:BA249"/>
    <mergeCell ref="BB248:BB249"/>
    <mergeCell ref="BC248:BC249"/>
    <mergeCell ref="BD248:BD249"/>
    <mergeCell ref="BE248:BE249"/>
    <mergeCell ref="BA250:BA251"/>
    <mergeCell ref="BB250:BB251"/>
    <mergeCell ref="BC250:BC251"/>
    <mergeCell ref="BD250:BD251"/>
    <mergeCell ref="BE250:BE251"/>
    <mergeCell ref="BA252:BA253"/>
    <mergeCell ref="BB252:BB253"/>
    <mergeCell ref="BB264:BB265"/>
    <mergeCell ref="BC264:BC265"/>
    <mergeCell ref="BD264:BD265"/>
    <mergeCell ref="BE264:BE265"/>
    <mergeCell ref="BA266:BA267"/>
    <mergeCell ref="BB266:BB267"/>
    <mergeCell ref="BE274:BE275"/>
    <mergeCell ref="BA276:BA277"/>
    <mergeCell ref="BB276:BB277"/>
    <mergeCell ref="BC276:BC277"/>
    <mergeCell ref="BD276:BD277"/>
    <mergeCell ref="BE276:BE277"/>
    <mergeCell ref="CD8:CD9"/>
    <mergeCell ref="CE8:CE9"/>
    <mergeCell ref="CF8:CF9"/>
    <mergeCell ref="CB10:CB11"/>
    <mergeCell ref="CC10:CC11"/>
    <mergeCell ref="CD10:CD11"/>
    <mergeCell ref="CE10:CE11"/>
    <mergeCell ref="CF10:CF11"/>
    <mergeCell ref="CC24:CC25"/>
    <mergeCell ref="CD24:CD25"/>
    <mergeCell ref="CE24:CE25"/>
    <mergeCell ref="CF24:CF25"/>
    <mergeCell ref="CB26:CB27"/>
    <mergeCell ref="CC26:CC27"/>
    <mergeCell ref="CD26:CD27"/>
    <mergeCell ref="CE26:CE27"/>
    <mergeCell ref="CF26:CF27"/>
    <mergeCell ref="CE20:CE21"/>
    <mergeCell ref="CF20:CF21"/>
    <mergeCell ref="CB22:CB23"/>
    <mergeCell ref="CC22:CC23"/>
    <mergeCell ref="CD22:CD23"/>
    <mergeCell ref="CD28:CD29"/>
    <mergeCell ref="CE28:CE29"/>
    <mergeCell ref="CF28:CF29"/>
    <mergeCell ref="CB12:CB13"/>
    <mergeCell ref="CC12:CC13"/>
    <mergeCell ref="CD12:CD13"/>
    <mergeCell ref="CE12:CE13"/>
    <mergeCell ref="CF12:CF13"/>
    <mergeCell ref="CB14:CB15"/>
    <mergeCell ref="CC14:CC15"/>
    <mergeCell ref="CD14:CD15"/>
    <mergeCell ref="CE14:CE15"/>
    <mergeCell ref="CF14:CF15"/>
    <mergeCell ref="CB16:CB17"/>
    <mergeCell ref="CC16:CC17"/>
    <mergeCell ref="CD16:CD17"/>
    <mergeCell ref="CE16:CE17"/>
    <mergeCell ref="CF16:CF17"/>
    <mergeCell ref="CB18:CB19"/>
    <mergeCell ref="CC18:CC19"/>
    <mergeCell ref="CD18:CD19"/>
    <mergeCell ref="CB28:CB29"/>
    <mergeCell ref="CC28:CC29"/>
    <mergeCell ref="CD30:CD31"/>
    <mergeCell ref="CE30:CE31"/>
    <mergeCell ref="CF30:CF31"/>
    <mergeCell ref="CB32:CB33"/>
    <mergeCell ref="CC32:CC33"/>
    <mergeCell ref="CD32:CD33"/>
    <mergeCell ref="CE32:CE33"/>
    <mergeCell ref="CF32:CF33"/>
    <mergeCell ref="CB34:CB35"/>
    <mergeCell ref="CC34:CC35"/>
    <mergeCell ref="CD34:CD35"/>
    <mergeCell ref="CE34:CE35"/>
    <mergeCell ref="CF34:CF35"/>
    <mergeCell ref="CB36:CB37"/>
    <mergeCell ref="CC36:CC37"/>
    <mergeCell ref="CD36:CD37"/>
    <mergeCell ref="CE36:CE37"/>
    <mergeCell ref="CF36:CF37"/>
    <mergeCell ref="CB30:CB31"/>
    <mergeCell ref="CC30:CC31"/>
    <mergeCell ref="CD38:CD39"/>
    <mergeCell ref="CE38:CE39"/>
    <mergeCell ref="CF38:CF39"/>
    <mergeCell ref="CB40:CB41"/>
    <mergeCell ref="CC40:CC41"/>
    <mergeCell ref="CD40:CD41"/>
    <mergeCell ref="CE40:CE41"/>
    <mergeCell ref="CF40:CF41"/>
    <mergeCell ref="CB42:CB43"/>
    <mergeCell ref="CC42:CC43"/>
    <mergeCell ref="CD42:CD43"/>
    <mergeCell ref="CE42:CE43"/>
    <mergeCell ref="CF42:CF43"/>
    <mergeCell ref="CB44:CB45"/>
    <mergeCell ref="CC44:CC45"/>
    <mergeCell ref="CD44:CD45"/>
    <mergeCell ref="CE44:CE45"/>
    <mergeCell ref="CF44:CF45"/>
    <mergeCell ref="CB38:CB39"/>
    <mergeCell ref="CC38:CC39"/>
    <mergeCell ref="CB48:CB49"/>
    <mergeCell ref="CC48:CC49"/>
    <mergeCell ref="CD48:CD49"/>
    <mergeCell ref="CE48:CE49"/>
    <mergeCell ref="CF48:CF49"/>
    <mergeCell ref="CB50:CB51"/>
    <mergeCell ref="CC50:CC51"/>
    <mergeCell ref="CD50:CD51"/>
    <mergeCell ref="CE50:CE51"/>
    <mergeCell ref="CF50:CF51"/>
    <mergeCell ref="CB52:CB53"/>
    <mergeCell ref="CC52:CC53"/>
    <mergeCell ref="CD52:CD53"/>
    <mergeCell ref="CE52:CE53"/>
    <mergeCell ref="CF52:CF53"/>
    <mergeCell ref="CB54:CB55"/>
    <mergeCell ref="CC54:CC55"/>
    <mergeCell ref="CD54:CD55"/>
    <mergeCell ref="CE54:CE55"/>
    <mergeCell ref="CF54:CF55"/>
    <mergeCell ref="CB56:CB57"/>
    <mergeCell ref="CC56:CC57"/>
    <mergeCell ref="CD56:CD57"/>
    <mergeCell ref="CE56:CE57"/>
    <mergeCell ref="CF56:CF57"/>
    <mergeCell ref="CB58:CB59"/>
    <mergeCell ref="CC58:CC59"/>
    <mergeCell ref="CD58:CD59"/>
    <mergeCell ref="CE58:CE59"/>
    <mergeCell ref="CF58:CF59"/>
    <mergeCell ref="CB60:CB61"/>
    <mergeCell ref="CC60:CC61"/>
    <mergeCell ref="CD60:CD61"/>
    <mergeCell ref="CE60:CE61"/>
    <mergeCell ref="CF60:CF61"/>
    <mergeCell ref="CB62:CB63"/>
    <mergeCell ref="CC62:CC63"/>
    <mergeCell ref="CD62:CD63"/>
    <mergeCell ref="CE62:CE63"/>
    <mergeCell ref="CF62:CF63"/>
    <mergeCell ref="CB64:CB65"/>
    <mergeCell ref="CC64:CC65"/>
    <mergeCell ref="CD64:CD65"/>
    <mergeCell ref="CE64:CE65"/>
    <mergeCell ref="CF64:CF65"/>
    <mergeCell ref="CB66:CB67"/>
    <mergeCell ref="CC66:CC67"/>
    <mergeCell ref="CD66:CD67"/>
    <mergeCell ref="CE66:CE67"/>
    <mergeCell ref="CF66:CF67"/>
    <mergeCell ref="CB68:CB69"/>
    <mergeCell ref="CC68:CC69"/>
    <mergeCell ref="CD68:CD69"/>
    <mergeCell ref="CE68:CE69"/>
    <mergeCell ref="CF68:CF69"/>
    <mergeCell ref="CD70:CD71"/>
    <mergeCell ref="CE70:CE71"/>
    <mergeCell ref="CF70:CF71"/>
    <mergeCell ref="CB74:CB75"/>
    <mergeCell ref="CC74:CC75"/>
    <mergeCell ref="CD74:CD75"/>
    <mergeCell ref="CE74:CE75"/>
    <mergeCell ref="CF74:CF75"/>
    <mergeCell ref="CB76:CB77"/>
    <mergeCell ref="CC76:CC77"/>
    <mergeCell ref="CD76:CD77"/>
    <mergeCell ref="CE76:CE77"/>
    <mergeCell ref="CF76:CF77"/>
    <mergeCell ref="CB78:CB79"/>
    <mergeCell ref="CC78:CC79"/>
    <mergeCell ref="CD78:CD79"/>
    <mergeCell ref="CE78:CE79"/>
    <mergeCell ref="CF78:CF79"/>
    <mergeCell ref="CB80:CB81"/>
    <mergeCell ref="CC80:CC81"/>
    <mergeCell ref="CD80:CD81"/>
    <mergeCell ref="CE80:CE81"/>
    <mergeCell ref="CF80:CF81"/>
    <mergeCell ref="CB82:CB83"/>
    <mergeCell ref="CC82:CC83"/>
    <mergeCell ref="CD82:CD83"/>
    <mergeCell ref="CE82:CE83"/>
    <mergeCell ref="CF82:CF83"/>
    <mergeCell ref="CB84:CB85"/>
    <mergeCell ref="CC84:CC85"/>
    <mergeCell ref="CD84:CD85"/>
    <mergeCell ref="CE84:CE85"/>
    <mergeCell ref="CF84:CF85"/>
    <mergeCell ref="CB86:CB87"/>
    <mergeCell ref="CC86:CC87"/>
    <mergeCell ref="CD86:CD87"/>
    <mergeCell ref="CE86:CE87"/>
    <mergeCell ref="CF86:CF87"/>
    <mergeCell ref="CB88:CB89"/>
    <mergeCell ref="CC88:CC89"/>
    <mergeCell ref="CD88:CD89"/>
    <mergeCell ref="CE88:CE89"/>
    <mergeCell ref="CF88:CF89"/>
    <mergeCell ref="CF90:CF91"/>
    <mergeCell ref="CB92:CB93"/>
    <mergeCell ref="CC92:CC93"/>
    <mergeCell ref="CD92:CD93"/>
    <mergeCell ref="CE92:CE93"/>
    <mergeCell ref="CF92:CF93"/>
    <mergeCell ref="CB94:CB95"/>
    <mergeCell ref="CC94:CC95"/>
    <mergeCell ref="CD94:CD95"/>
    <mergeCell ref="CE94:CE95"/>
    <mergeCell ref="CF94:CF95"/>
    <mergeCell ref="CB96:CB97"/>
    <mergeCell ref="CC96:CC97"/>
    <mergeCell ref="CD96:CD97"/>
    <mergeCell ref="CE96:CE97"/>
    <mergeCell ref="CF96:CF97"/>
    <mergeCell ref="CB98:CB99"/>
    <mergeCell ref="CC98:CC99"/>
    <mergeCell ref="CD98:CD99"/>
    <mergeCell ref="CE98:CE99"/>
    <mergeCell ref="CF98:CF99"/>
    <mergeCell ref="CB100:CB101"/>
    <mergeCell ref="CC100:CC101"/>
    <mergeCell ref="CD100:CD101"/>
    <mergeCell ref="CE100:CE101"/>
    <mergeCell ref="CF100:CF101"/>
    <mergeCell ref="CE102:CE103"/>
    <mergeCell ref="CF102:CF103"/>
    <mergeCell ref="CB104:CB105"/>
    <mergeCell ref="CC104:CC105"/>
    <mergeCell ref="CD104:CD105"/>
    <mergeCell ref="CE104:CE105"/>
    <mergeCell ref="CF104:CF105"/>
    <mergeCell ref="CB106:CB107"/>
    <mergeCell ref="CC106:CC107"/>
    <mergeCell ref="CD106:CD107"/>
    <mergeCell ref="CE106:CE107"/>
    <mergeCell ref="CF106:CF107"/>
    <mergeCell ref="CB108:CB109"/>
    <mergeCell ref="CC108:CC109"/>
    <mergeCell ref="CD108:CD109"/>
    <mergeCell ref="CE108:CE109"/>
    <mergeCell ref="CF108:CF109"/>
    <mergeCell ref="CB110:CB111"/>
    <mergeCell ref="CC110:CC111"/>
    <mergeCell ref="CD110:CD111"/>
    <mergeCell ref="CE110:CE111"/>
    <mergeCell ref="CF110:CF111"/>
    <mergeCell ref="CB112:CB113"/>
    <mergeCell ref="CC112:CC113"/>
    <mergeCell ref="CD112:CD113"/>
    <mergeCell ref="CE112:CE113"/>
    <mergeCell ref="CF112:CF113"/>
    <mergeCell ref="CB114:CB115"/>
    <mergeCell ref="CC114:CC115"/>
    <mergeCell ref="CD114:CD115"/>
    <mergeCell ref="CE114:CE115"/>
    <mergeCell ref="CF114:CF115"/>
    <mergeCell ref="CB116:CB117"/>
    <mergeCell ref="CC116:CC117"/>
    <mergeCell ref="CD116:CD117"/>
    <mergeCell ref="CE116:CE117"/>
    <mergeCell ref="CF116:CF117"/>
    <mergeCell ref="CB118:CB119"/>
    <mergeCell ref="CC118:CC119"/>
    <mergeCell ref="CD118:CD119"/>
    <mergeCell ref="CE118:CE119"/>
    <mergeCell ref="CF118:CF119"/>
    <mergeCell ref="CB120:CB121"/>
    <mergeCell ref="CC120:CC121"/>
    <mergeCell ref="CD120:CD121"/>
    <mergeCell ref="CE120:CE121"/>
    <mergeCell ref="CF120:CF121"/>
    <mergeCell ref="CB122:CB123"/>
    <mergeCell ref="CC122:CC123"/>
    <mergeCell ref="CD122:CD123"/>
    <mergeCell ref="CE122:CE123"/>
    <mergeCell ref="CF122:CF123"/>
    <mergeCell ref="CB124:CB125"/>
    <mergeCell ref="CC124:CC125"/>
    <mergeCell ref="CD124:CD125"/>
    <mergeCell ref="CE124:CE125"/>
    <mergeCell ref="CF124:CF125"/>
    <mergeCell ref="CB126:CB127"/>
    <mergeCell ref="CC126:CC127"/>
    <mergeCell ref="CD126:CD127"/>
    <mergeCell ref="CE126:CE127"/>
    <mergeCell ref="CF126:CF127"/>
    <mergeCell ref="CB128:CB129"/>
    <mergeCell ref="CC128:CC129"/>
    <mergeCell ref="CD128:CD129"/>
    <mergeCell ref="CE128:CE129"/>
    <mergeCell ref="CF128:CF129"/>
    <mergeCell ref="CB130:CB131"/>
    <mergeCell ref="CC130:CC131"/>
    <mergeCell ref="CD130:CD131"/>
    <mergeCell ref="CE130:CE131"/>
    <mergeCell ref="CF130:CF131"/>
    <mergeCell ref="CB132:CB133"/>
    <mergeCell ref="CC132:CC133"/>
    <mergeCell ref="CD132:CD133"/>
    <mergeCell ref="CE132:CE133"/>
    <mergeCell ref="CF132:CF133"/>
    <mergeCell ref="CB134:CB135"/>
    <mergeCell ref="CC134:CC135"/>
    <mergeCell ref="CD134:CD135"/>
    <mergeCell ref="CE134:CE135"/>
    <mergeCell ref="CF134:CF135"/>
    <mergeCell ref="CB136:CB137"/>
    <mergeCell ref="CC136:CC137"/>
    <mergeCell ref="CD136:CD137"/>
    <mergeCell ref="CE136:CE137"/>
    <mergeCell ref="CF136:CF137"/>
    <mergeCell ref="CB138:CB139"/>
    <mergeCell ref="CC138:CC139"/>
    <mergeCell ref="CD138:CD139"/>
    <mergeCell ref="CE138:CE139"/>
    <mergeCell ref="CF138:CF139"/>
    <mergeCell ref="CB140:CB141"/>
    <mergeCell ref="CC140:CC141"/>
    <mergeCell ref="CD140:CD141"/>
    <mergeCell ref="CE140:CE141"/>
    <mergeCell ref="CF140:CF141"/>
    <mergeCell ref="CB142:CB143"/>
    <mergeCell ref="CC142:CC143"/>
    <mergeCell ref="CD142:CD143"/>
    <mergeCell ref="CE142:CE143"/>
    <mergeCell ref="CF142:CF143"/>
    <mergeCell ref="CB144:CB145"/>
    <mergeCell ref="CC144:CC145"/>
    <mergeCell ref="CD144:CD145"/>
    <mergeCell ref="CE144:CE145"/>
    <mergeCell ref="CF144:CF145"/>
    <mergeCell ref="CB146:CB147"/>
    <mergeCell ref="CC146:CC147"/>
    <mergeCell ref="CD146:CD147"/>
    <mergeCell ref="CE146:CE147"/>
    <mergeCell ref="CF146:CF147"/>
    <mergeCell ref="CB148:CB149"/>
    <mergeCell ref="CC148:CC149"/>
    <mergeCell ref="CD148:CD149"/>
    <mergeCell ref="CE148:CE149"/>
    <mergeCell ref="CF148:CF149"/>
    <mergeCell ref="CB150:CB151"/>
    <mergeCell ref="CC150:CC151"/>
    <mergeCell ref="CD150:CD151"/>
    <mergeCell ref="CE150:CE151"/>
    <mergeCell ref="CF150:CF151"/>
    <mergeCell ref="CB152:CB153"/>
    <mergeCell ref="CC152:CC153"/>
    <mergeCell ref="CD152:CD153"/>
    <mergeCell ref="CE152:CE153"/>
    <mergeCell ref="CF152:CF153"/>
    <mergeCell ref="CB154:CB155"/>
    <mergeCell ref="CC154:CC155"/>
    <mergeCell ref="CD154:CD155"/>
    <mergeCell ref="CE154:CE155"/>
    <mergeCell ref="CF154:CF155"/>
    <mergeCell ref="CB156:CB157"/>
    <mergeCell ref="CC156:CC157"/>
    <mergeCell ref="CD156:CD157"/>
    <mergeCell ref="CE156:CE157"/>
    <mergeCell ref="CF156:CF157"/>
    <mergeCell ref="CB158:CB159"/>
    <mergeCell ref="CC158:CC159"/>
    <mergeCell ref="CD158:CD159"/>
    <mergeCell ref="CE158:CE159"/>
    <mergeCell ref="CF158:CF159"/>
    <mergeCell ref="CB160:CB161"/>
    <mergeCell ref="CC160:CC161"/>
    <mergeCell ref="CD160:CD161"/>
    <mergeCell ref="CE160:CE161"/>
    <mergeCell ref="CF160:CF161"/>
    <mergeCell ref="CB162:CB163"/>
    <mergeCell ref="CC162:CC163"/>
    <mergeCell ref="CD162:CD163"/>
    <mergeCell ref="CE162:CE163"/>
    <mergeCell ref="CF162:CF163"/>
    <mergeCell ref="CB164:CB165"/>
    <mergeCell ref="CC164:CC165"/>
    <mergeCell ref="CD164:CD165"/>
    <mergeCell ref="CE164:CE165"/>
    <mergeCell ref="CF164:CF165"/>
    <mergeCell ref="CB166:CB167"/>
    <mergeCell ref="CC166:CC167"/>
    <mergeCell ref="CD166:CD167"/>
    <mergeCell ref="CE166:CE167"/>
    <mergeCell ref="CF166:CF167"/>
    <mergeCell ref="CB168:CB169"/>
    <mergeCell ref="CC168:CC169"/>
    <mergeCell ref="CD168:CD169"/>
    <mergeCell ref="CE168:CE169"/>
    <mergeCell ref="CF168:CF169"/>
    <mergeCell ref="CB170:CB171"/>
    <mergeCell ref="CC170:CC171"/>
    <mergeCell ref="CD170:CD171"/>
    <mergeCell ref="CE170:CE171"/>
    <mergeCell ref="CF170:CF171"/>
    <mergeCell ref="CB172:CB173"/>
    <mergeCell ref="CC172:CC173"/>
    <mergeCell ref="CD172:CD173"/>
    <mergeCell ref="CE172:CE173"/>
    <mergeCell ref="CF172:CF173"/>
    <mergeCell ref="CB174:CB175"/>
    <mergeCell ref="CC174:CC175"/>
    <mergeCell ref="CD174:CD175"/>
    <mergeCell ref="CE174:CE175"/>
    <mergeCell ref="CF174:CF175"/>
    <mergeCell ref="CB176:CB177"/>
    <mergeCell ref="CC176:CC177"/>
    <mergeCell ref="CD176:CD177"/>
    <mergeCell ref="CE176:CE177"/>
    <mergeCell ref="CF176:CF177"/>
    <mergeCell ref="CB178:CB179"/>
    <mergeCell ref="CC178:CC179"/>
    <mergeCell ref="CD178:CD179"/>
    <mergeCell ref="CE178:CE179"/>
    <mergeCell ref="CF178:CF179"/>
    <mergeCell ref="CB180:CB181"/>
    <mergeCell ref="CC180:CC181"/>
    <mergeCell ref="CD180:CD181"/>
    <mergeCell ref="CE180:CE181"/>
    <mergeCell ref="CF180:CF181"/>
    <mergeCell ref="CB182:CB183"/>
    <mergeCell ref="CC182:CC183"/>
    <mergeCell ref="CD182:CD183"/>
    <mergeCell ref="CE182:CE183"/>
    <mergeCell ref="CF182:CF183"/>
    <mergeCell ref="CB184:CB185"/>
    <mergeCell ref="CC184:CC185"/>
    <mergeCell ref="CD184:CD185"/>
    <mergeCell ref="CE184:CE185"/>
    <mergeCell ref="CF184:CF185"/>
    <mergeCell ref="CB186:CB187"/>
    <mergeCell ref="CC186:CC187"/>
    <mergeCell ref="CD186:CD187"/>
    <mergeCell ref="CE186:CE187"/>
    <mergeCell ref="CF186:CF187"/>
    <mergeCell ref="CB188:CB189"/>
    <mergeCell ref="CC188:CC189"/>
    <mergeCell ref="CD188:CD189"/>
    <mergeCell ref="CE188:CE189"/>
    <mergeCell ref="CF188:CF189"/>
    <mergeCell ref="CB190:CB191"/>
    <mergeCell ref="CC190:CC191"/>
    <mergeCell ref="CD190:CD191"/>
    <mergeCell ref="CE190:CE191"/>
    <mergeCell ref="CF190:CF191"/>
    <mergeCell ref="CB192:CB193"/>
    <mergeCell ref="CC192:CC193"/>
    <mergeCell ref="CD192:CD193"/>
    <mergeCell ref="CE192:CE193"/>
    <mergeCell ref="CF192:CF193"/>
    <mergeCell ref="CB194:CB195"/>
    <mergeCell ref="CC194:CC195"/>
    <mergeCell ref="CD194:CD195"/>
    <mergeCell ref="CE194:CE195"/>
    <mergeCell ref="CF194:CF195"/>
    <mergeCell ref="CB196:CB197"/>
    <mergeCell ref="CC196:CC197"/>
    <mergeCell ref="CD196:CD197"/>
    <mergeCell ref="CE196:CE197"/>
    <mergeCell ref="CF196:CF197"/>
    <mergeCell ref="CC212:CC213"/>
    <mergeCell ref="CD212:CD213"/>
    <mergeCell ref="CE212:CE213"/>
    <mergeCell ref="CF212:CF213"/>
    <mergeCell ref="CE198:CE199"/>
    <mergeCell ref="CF198:CF199"/>
    <mergeCell ref="CB200:CB201"/>
    <mergeCell ref="CC200:CC201"/>
    <mergeCell ref="CD200:CD201"/>
    <mergeCell ref="CE200:CE201"/>
    <mergeCell ref="CF200:CF201"/>
    <mergeCell ref="CB202:CB203"/>
    <mergeCell ref="CC202:CC203"/>
    <mergeCell ref="CD202:CD203"/>
    <mergeCell ref="CE202:CE203"/>
    <mergeCell ref="CF202:CF203"/>
    <mergeCell ref="CB204:CB205"/>
    <mergeCell ref="CC204:CC205"/>
    <mergeCell ref="CD204:CD205"/>
    <mergeCell ref="CE204:CE205"/>
    <mergeCell ref="CF204:CF205"/>
    <mergeCell ref="CD220:CD221"/>
    <mergeCell ref="CE220:CE221"/>
    <mergeCell ref="CF220:CF221"/>
    <mergeCell ref="CB206:CB207"/>
    <mergeCell ref="CC206:CC207"/>
    <mergeCell ref="CD206:CD207"/>
    <mergeCell ref="CE206:CE207"/>
    <mergeCell ref="CF206:CF207"/>
    <mergeCell ref="CB208:CB209"/>
    <mergeCell ref="CC208:CC209"/>
    <mergeCell ref="CD208:CD209"/>
    <mergeCell ref="CE208:CE209"/>
    <mergeCell ref="CF208:CF209"/>
    <mergeCell ref="CB210:CB211"/>
    <mergeCell ref="CC210:CC211"/>
    <mergeCell ref="CD210:CD211"/>
    <mergeCell ref="CE210:CE211"/>
    <mergeCell ref="CF210:CF211"/>
    <mergeCell ref="CB212:CB213"/>
    <mergeCell ref="CB222:CB223"/>
    <mergeCell ref="CC222:CC223"/>
    <mergeCell ref="CD222:CD223"/>
    <mergeCell ref="CE222:CE223"/>
    <mergeCell ref="CF222:CF223"/>
    <mergeCell ref="CB224:CB225"/>
    <mergeCell ref="CC224:CC225"/>
    <mergeCell ref="CD224:CD225"/>
    <mergeCell ref="CE224:CE225"/>
    <mergeCell ref="CF224:CF225"/>
    <mergeCell ref="CB226:CB227"/>
    <mergeCell ref="CC226:CC227"/>
    <mergeCell ref="CD226:CD227"/>
    <mergeCell ref="CE226:CE227"/>
    <mergeCell ref="CF226:CF227"/>
    <mergeCell ref="CB214:CB215"/>
    <mergeCell ref="CC214:CC215"/>
    <mergeCell ref="CD214:CD215"/>
    <mergeCell ref="CE214:CE215"/>
    <mergeCell ref="CF214:CF215"/>
    <mergeCell ref="CB216:CB217"/>
    <mergeCell ref="CC216:CC217"/>
    <mergeCell ref="CD216:CD217"/>
    <mergeCell ref="CE216:CE217"/>
    <mergeCell ref="CF216:CF217"/>
    <mergeCell ref="CB218:CB219"/>
    <mergeCell ref="CC218:CC219"/>
    <mergeCell ref="CD218:CD219"/>
    <mergeCell ref="CE218:CE219"/>
    <mergeCell ref="CF218:CF219"/>
    <mergeCell ref="CB220:CB221"/>
    <mergeCell ref="CC220:CC221"/>
    <mergeCell ref="CB228:CB229"/>
    <mergeCell ref="CC228:CC229"/>
    <mergeCell ref="CD228:CD229"/>
    <mergeCell ref="CE228:CE229"/>
    <mergeCell ref="CF228:CF229"/>
    <mergeCell ref="CB230:CB231"/>
    <mergeCell ref="CC230:CC231"/>
    <mergeCell ref="CD230:CD231"/>
    <mergeCell ref="CE230:CE231"/>
    <mergeCell ref="CF230:CF231"/>
    <mergeCell ref="CB232:CB233"/>
    <mergeCell ref="CC232:CC233"/>
    <mergeCell ref="CD232:CD233"/>
    <mergeCell ref="CE232:CE233"/>
    <mergeCell ref="CF232:CF233"/>
    <mergeCell ref="CB234:CB235"/>
    <mergeCell ref="CC234:CC235"/>
    <mergeCell ref="CD234:CD235"/>
    <mergeCell ref="CE234:CE235"/>
    <mergeCell ref="CF234:CF235"/>
    <mergeCell ref="CB238:CB239"/>
    <mergeCell ref="CC238:CC239"/>
    <mergeCell ref="CD238:CD239"/>
    <mergeCell ref="CE238:CE239"/>
    <mergeCell ref="CF238:CF239"/>
    <mergeCell ref="CB240:CB241"/>
    <mergeCell ref="CC240:CC241"/>
    <mergeCell ref="CD240:CD241"/>
    <mergeCell ref="CE240:CE241"/>
    <mergeCell ref="CF240:CF241"/>
    <mergeCell ref="CB242:CB243"/>
    <mergeCell ref="CC242:CC243"/>
    <mergeCell ref="CD242:CD243"/>
    <mergeCell ref="CE242:CE243"/>
    <mergeCell ref="CF242:CF243"/>
    <mergeCell ref="CB244:CB245"/>
    <mergeCell ref="CC244:CC245"/>
    <mergeCell ref="CD244:CD245"/>
    <mergeCell ref="CE244:CE245"/>
    <mergeCell ref="CF244:CF245"/>
    <mergeCell ref="CB246:CB247"/>
    <mergeCell ref="CC246:CC247"/>
    <mergeCell ref="CD246:CD247"/>
    <mergeCell ref="CE246:CE247"/>
    <mergeCell ref="CF246:CF247"/>
    <mergeCell ref="CB248:CB249"/>
    <mergeCell ref="CC248:CC249"/>
    <mergeCell ref="CD248:CD249"/>
    <mergeCell ref="CE248:CE249"/>
    <mergeCell ref="CF248:CF249"/>
    <mergeCell ref="CB250:CB251"/>
    <mergeCell ref="CC250:CC251"/>
    <mergeCell ref="CD250:CD251"/>
    <mergeCell ref="CE250:CE251"/>
    <mergeCell ref="CF250:CF251"/>
    <mergeCell ref="CB252:CB253"/>
    <mergeCell ref="CC252:CC253"/>
    <mergeCell ref="CD252:CD253"/>
    <mergeCell ref="CE252:CE253"/>
    <mergeCell ref="CF252:CF253"/>
    <mergeCell ref="CE266:CE267"/>
    <mergeCell ref="CF266:CF267"/>
    <mergeCell ref="CB268:CB269"/>
    <mergeCell ref="CC268:CC269"/>
    <mergeCell ref="CD268:CD269"/>
    <mergeCell ref="CE268:CE269"/>
    <mergeCell ref="CF268:CF269"/>
    <mergeCell ref="CB254:CB255"/>
    <mergeCell ref="CC254:CC255"/>
    <mergeCell ref="CD254:CD255"/>
    <mergeCell ref="CE254:CE255"/>
    <mergeCell ref="CF254:CF255"/>
    <mergeCell ref="CB256:CB257"/>
    <mergeCell ref="CC256:CC257"/>
    <mergeCell ref="CD256:CD257"/>
    <mergeCell ref="CE256:CE257"/>
    <mergeCell ref="CF256:CF257"/>
    <mergeCell ref="CB258:CB259"/>
    <mergeCell ref="CC258:CC259"/>
    <mergeCell ref="CD258:CD259"/>
    <mergeCell ref="CE258:CE259"/>
    <mergeCell ref="CF258:CF259"/>
    <mergeCell ref="CB260:CB261"/>
    <mergeCell ref="CC260:CC261"/>
    <mergeCell ref="CD260:CD261"/>
    <mergeCell ref="CE260:CE261"/>
    <mergeCell ref="CF260:CF261"/>
    <mergeCell ref="CB282:CB283"/>
    <mergeCell ref="CC282:CC283"/>
    <mergeCell ref="CD282:CD283"/>
    <mergeCell ref="CE282:CE283"/>
    <mergeCell ref="CF282:CF283"/>
    <mergeCell ref="CB284:CB285"/>
    <mergeCell ref="CC284:CC285"/>
    <mergeCell ref="CD284:CD285"/>
    <mergeCell ref="CE284:CE285"/>
    <mergeCell ref="CF284:CF285"/>
    <mergeCell ref="CB270:CB271"/>
    <mergeCell ref="CC270:CC271"/>
    <mergeCell ref="CD270:CD271"/>
    <mergeCell ref="CE270:CE271"/>
    <mergeCell ref="CF270:CF271"/>
    <mergeCell ref="CB272:CB273"/>
    <mergeCell ref="CC272:CC273"/>
    <mergeCell ref="CD272:CD273"/>
    <mergeCell ref="CE272:CE273"/>
    <mergeCell ref="CF272:CF273"/>
    <mergeCell ref="CB274:CB275"/>
    <mergeCell ref="CC274:CC275"/>
    <mergeCell ref="CD274:CD275"/>
    <mergeCell ref="CE274:CE275"/>
    <mergeCell ref="CF274:CF275"/>
    <mergeCell ref="CB276:CB277"/>
    <mergeCell ref="CC276:CC277"/>
    <mergeCell ref="CD276:CD277"/>
    <mergeCell ref="CE276:CE277"/>
    <mergeCell ref="CF276:CF277"/>
    <mergeCell ref="CB278:CB279"/>
    <mergeCell ref="CC278:CC279"/>
    <mergeCell ref="CN4:CN5"/>
    <mergeCell ref="CO4:CO5"/>
    <mergeCell ref="CN6:CN7"/>
    <mergeCell ref="CO6:CO7"/>
    <mergeCell ref="CN2:CO3"/>
    <mergeCell ref="CL66:CL67"/>
    <mergeCell ref="CM66:CM67"/>
    <mergeCell ref="CL69:CL70"/>
    <mergeCell ref="CM69:CM70"/>
    <mergeCell ref="CL72:CL73"/>
    <mergeCell ref="CM72:CM73"/>
    <mergeCell ref="CD278:CD279"/>
    <mergeCell ref="CE278:CE279"/>
    <mergeCell ref="CF278:CF279"/>
    <mergeCell ref="CB280:CB281"/>
    <mergeCell ref="CC280:CC281"/>
    <mergeCell ref="CD280:CD281"/>
    <mergeCell ref="CE280:CE281"/>
    <mergeCell ref="CF280:CF281"/>
    <mergeCell ref="CB262:CB263"/>
    <mergeCell ref="CC262:CC263"/>
    <mergeCell ref="CD262:CD263"/>
    <mergeCell ref="CE262:CE263"/>
    <mergeCell ref="CF262:CF263"/>
    <mergeCell ref="CB264:CB265"/>
    <mergeCell ref="CC264:CC265"/>
    <mergeCell ref="CD264:CD265"/>
    <mergeCell ref="CE264:CE265"/>
    <mergeCell ref="CF264:CF265"/>
    <mergeCell ref="CB266:CB267"/>
    <mergeCell ref="CC266:CC267"/>
    <mergeCell ref="CD266:CD267"/>
    <mergeCell ref="CN8:CN9"/>
    <mergeCell ref="CO8:CO9"/>
    <mergeCell ref="CN10:CN11"/>
    <mergeCell ref="CO10:CO11"/>
    <mergeCell ref="CN12:CN13"/>
    <mergeCell ref="CO12:CO13"/>
    <mergeCell ref="CN14:CN15"/>
    <mergeCell ref="CO14:CO15"/>
    <mergeCell ref="CN16:CN17"/>
    <mergeCell ref="CO16:CO17"/>
    <mergeCell ref="CN18:CN19"/>
    <mergeCell ref="CO18:CO19"/>
    <mergeCell ref="CN20:CN21"/>
    <mergeCell ref="CO20:CO21"/>
    <mergeCell ref="CN22:CN23"/>
    <mergeCell ref="CO22:CO23"/>
    <mergeCell ref="CN24:CN25"/>
    <mergeCell ref="CO24:CO25"/>
    <mergeCell ref="CN26:CN27"/>
    <mergeCell ref="CO26:CO27"/>
    <mergeCell ref="CN28:CN29"/>
    <mergeCell ref="CO28:CO29"/>
    <mergeCell ref="CN30:CN31"/>
    <mergeCell ref="CO30:CO31"/>
    <mergeCell ref="CN32:CN33"/>
    <mergeCell ref="CO32:CO33"/>
    <mergeCell ref="CN34:CN35"/>
    <mergeCell ref="CO34:CO35"/>
    <mergeCell ref="CN36:CN37"/>
    <mergeCell ref="CO36:CO37"/>
    <mergeCell ref="CN38:CN39"/>
    <mergeCell ref="CO38:CO39"/>
    <mergeCell ref="CN40:CN41"/>
    <mergeCell ref="CO40:CO41"/>
    <mergeCell ref="CN42:CN43"/>
    <mergeCell ref="CO42:CO43"/>
    <mergeCell ref="CN44:CN45"/>
    <mergeCell ref="CO44:CO45"/>
    <mergeCell ref="CN46:CN47"/>
    <mergeCell ref="CO46:CO47"/>
    <mergeCell ref="CN48:CN49"/>
    <mergeCell ref="CO48:CO49"/>
    <mergeCell ref="CN50:CN51"/>
    <mergeCell ref="CO50:CO51"/>
    <mergeCell ref="CN52:CN53"/>
    <mergeCell ref="CO52:CO53"/>
    <mergeCell ref="CN54:CN55"/>
    <mergeCell ref="CO54:CO55"/>
    <mergeCell ref="CN56:CN57"/>
    <mergeCell ref="CO56:CO57"/>
    <mergeCell ref="CN58:CN59"/>
    <mergeCell ref="CO58:CO59"/>
    <mergeCell ref="CN60:CN61"/>
    <mergeCell ref="CO60:CO61"/>
    <mergeCell ref="CN62:CN63"/>
    <mergeCell ref="CO62:CO63"/>
    <mergeCell ref="CN64:CN65"/>
    <mergeCell ref="CO64:CO65"/>
    <mergeCell ref="CN66:CN67"/>
    <mergeCell ref="CO66:CO67"/>
    <mergeCell ref="CN68:CN69"/>
    <mergeCell ref="CO68:CO69"/>
    <mergeCell ref="CN70:CN71"/>
    <mergeCell ref="CO70:CO71"/>
    <mergeCell ref="CN72:CN73"/>
    <mergeCell ref="CO72:CO73"/>
    <mergeCell ref="CN74:CN75"/>
    <mergeCell ref="CO74:CO75"/>
    <mergeCell ref="CN76:CN77"/>
    <mergeCell ref="CO76:CO77"/>
    <mergeCell ref="CN78:CN79"/>
    <mergeCell ref="CO78:CO79"/>
    <mergeCell ref="CN80:CN81"/>
    <mergeCell ref="CO80:CO81"/>
    <mergeCell ref="CN82:CN83"/>
    <mergeCell ref="CO82:CO83"/>
    <mergeCell ref="CN84:CN85"/>
    <mergeCell ref="CO84:CO85"/>
    <mergeCell ref="CN86:CN87"/>
    <mergeCell ref="CO86:CO87"/>
    <mergeCell ref="CN88:CN89"/>
    <mergeCell ref="CO88:CO89"/>
    <mergeCell ref="CN90:CN91"/>
    <mergeCell ref="CO90:CO91"/>
    <mergeCell ref="CN92:CN93"/>
    <mergeCell ref="CO92:CO93"/>
    <mergeCell ref="CN94:CN95"/>
    <mergeCell ref="CO94:CO95"/>
    <mergeCell ref="CN96:CN97"/>
    <mergeCell ref="CO96:CO97"/>
    <mergeCell ref="CN98:CN99"/>
    <mergeCell ref="CO98:CO99"/>
    <mergeCell ref="CN100:CN101"/>
    <mergeCell ref="CO100:CO101"/>
    <mergeCell ref="CN102:CN103"/>
    <mergeCell ref="CO102:CO103"/>
    <mergeCell ref="CN104:CN105"/>
    <mergeCell ref="CO104:CO105"/>
    <mergeCell ref="CN106:CN107"/>
    <mergeCell ref="CO106:CO107"/>
    <mergeCell ref="CN108:CN109"/>
    <mergeCell ref="CO108:CO109"/>
    <mergeCell ref="CN110:CN111"/>
    <mergeCell ref="CO110:CO111"/>
    <mergeCell ref="CN112:CN113"/>
    <mergeCell ref="CO112:CO113"/>
    <mergeCell ref="CN114:CN115"/>
    <mergeCell ref="CO114:CO115"/>
    <mergeCell ref="CN116:CN117"/>
    <mergeCell ref="CO116:CO117"/>
    <mergeCell ref="CN118:CN119"/>
    <mergeCell ref="CO118:CO119"/>
    <mergeCell ref="CN120:CN121"/>
    <mergeCell ref="CO120:CO121"/>
    <mergeCell ref="CN122:CN123"/>
    <mergeCell ref="CO122:CO123"/>
    <mergeCell ref="CN124:CN125"/>
    <mergeCell ref="CO124:CO125"/>
    <mergeCell ref="CN126:CN127"/>
    <mergeCell ref="CO126:CO127"/>
    <mergeCell ref="CN128:CN129"/>
    <mergeCell ref="CO128:CO129"/>
    <mergeCell ref="CN130:CN131"/>
    <mergeCell ref="CO130:CO131"/>
    <mergeCell ref="CN132:CN133"/>
    <mergeCell ref="CO132:CO133"/>
    <mergeCell ref="CN134:CN135"/>
    <mergeCell ref="CO134:CO135"/>
    <mergeCell ref="CN136:CN137"/>
    <mergeCell ref="CO136:CO137"/>
    <mergeCell ref="CN138:CN139"/>
    <mergeCell ref="CO138:CO139"/>
    <mergeCell ref="CN140:CN141"/>
    <mergeCell ref="CO140:CO141"/>
    <mergeCell ref="CN142:CN143"/>
    <mergeCell ref="CO142:CO143"/>
    <mergeCell ref="CN144:CN145"/>
    <mergeCell ref="CO144:CO145"/>
    <mergeCell ref="CN146:CN147"/>
    <mergeCell ref="CO146:CO147"/>
    <mergeCell ref="CN148:CN149"/>
    <mergeCell ref="CO148:CO149"/>
    <mergeCell ref="CN150:CN151"/>
    <mergeCell ref="CO150:CO151"/>
    <mergeCell ref="CN152:CN153"/>
    <mergeCell ref="CO152:CO153"/>
    <mergeCell ref="CN154:CN155"/>
    <mergeCell ref="CO154:CO155"/>
    <mergeCell ref="CN156:CN157"/>
    <mergeCell ref="CO156:CO157"/>
    <mergeCell ref="CN158:CN159"/>
    <mergeCell ref="CO158:CO159"/>
    <mergeCell ref="CN160:CN161"/>
    <mergeCell ref="CO160:CO161"/>
    <mergeCell ref="CN162:CN163"/>
    <mergeCell ref="CO162:CO163"/>
    <mergeCell ref="CN164:CN165"/>
    <mergeCell ref="CO164:CO165"/>
    <mergeCell ref="CN166:CN167"/>
    <mergeCell ref="CO166:CO167"/>
    <mergeCell ref="CN168:CN169"/>
    <mergeCell ref="CO168:CO169"/>
    <mergeCell ref="CN170:CN171"/>
    <mergeCell ref="CO170:CO171"/>
    <mergeCell ref="CN172:CN173"/>
    <mergeCell ref="CO172:CO173"/>
    <mergeCell ref="CN174:CN175"/>
    <mergeCell ref="CO174:CO175"/>
    <mergeCell ref="CN176:CN177"/>
    <mergeCell ref="CO176:CO177"/>
    <mergeCell ref="CN178:CN179"/>
    <mergeCell ref="CO178:CO179"/>
    <mergeCell ref="CN180:CN181"/>
    <mergeCell ref="CO180:CO181"/>
    <mergeCell ref="CN182:CN183"/>
    <mergeCell ref="CO182:CO183"/>
    <mergeCell ref="CN184:CN185"/>
    <mergeCell ref="CO184:CO185"/>
    <mergeCell ref="CN186:CN187"/>
    <mergeCell ref="CO186:CO187"/>
    <mergeCell ref="CN188:CN189"/>
    <mergeCell ref="CO188:CO189"/>
    <mergeCell ref="CN190:CN191"/>
    <mergeCell ref="CO190:CO191"/>
    <mergeCell ref="CN192:CN193"/>
    <mergeCell ref="CO192:CO193"/>
    <mergeCell ref="CN194:CN195"/>
    <mergeCell ref="CO194:CO195"/>
    <mergeCell ref="CN196:CN197"/>
    <mergeCell ref="CO196:CO197"/>
    <mergeCell ref="CN198:CN199"/>
    <mergeCell ref="CO198:CO199"/>
    <mergeCell ref="CN200:CN201"/>
    <mergeCell ref="CO200:CO201"/>
    <mergeCell ref="CN202:CN203"/>
    <mergeCell ref="CO202:CO203"/>
    <mergeCell ref="CN204:CN205"/>
    <mergeCell ref="CO204:CO205"/>
    <mergeCell ref="CN206:CN207"/>
    <mergeCell ref="CO206:CO207"/>
    <mergeCell ref="CN208:CN209"/>
    <mergeCell ref="CO208:CO209"/>
    <mergeCell ref="CN210:CN211"/>
    <mergeCell ref="CO210:CO211"/>
    <mergeCell ref="CN212:CN213"/>
    <mergeCell ref="CO212:CO213"/>
    <mergeCell ref="CN214:CN215"/>
    <mergeCell ref="CO214:CO215"/>
    <mergeCell ref="CN216:CN217"/>
    <mergeCell ref="CO216:CO217"/>
    <mergeCell ref="CN218:CN219"/>
    <mergeCell ref="CO218:CO219"/>
    <mergeCell ref="CN220:CN221"/>
    <mergeCell ref="CO220:CO221"/>
    <mergeCell ref="CN222:CN223"/>
    <mergeCell ref="CO222:CO223"/>
    <mergeCell ref="CN224:CN225"/>
    <mergeCell ref="CO224:CO225"/>
    <mergeCell ref="CN226:CN227"/>
    <mergeCell ref="CO226:CO227"/>
    <mergeCell ref="CN228:CN229"/>
    <mergeCell ref="CO228:CO229"/>
    <mergeCell ref="CN230:CN231"/>
    <mergeCell ref="CO230:CO231"/>
    <mergeCell ref="CN232:CN233"/>
    <mergeCell ref="CO232:CO233"/>
    <mergeCell ref="CN234:CN235"/>
    <mergeCell ref="CO234:CO235"/>
    <mergeCell ref="CN236:CN237"/>
    <mergeCell ref="CO236:CO237"/>
    <mergeCell ref="CN238:CN239"/>
    <mergeCell ref="CO238:CO239"/>
    <mergeCell ref="CN240:CN241"/>
    <mergeCell ref="CO240:CO241"/>
    <mergeCell ref="CN274:CN275"/>
    <mergeCell ref="CO274:CO275"/>
    <mergeCell ref="CN276:CN277"/>
    <mergeCell ref="CO276:CO277"/>
    <mergeCell ref="CN242:CN243"/>
    <mergeCell ref="CO242:CO243"/>
    <mergeCell ref="CN244:CN245"/>
    <mergeCell ref="CO244:CO245"/>
    <mergeCell ref="CN246:CN247"/>
    <mergeCell ref="CO246:CO247"/>
    <mergeCell ref="CN248:CN249"/>
    <mergeCell ref="CO248:CO249"/>
    <mergeCell ref="CN250:CN251"/>
    <mergeCell ref="CO250:CO251"/>
    <mergeCell ref="CN252:CN253"/>
    <mergeCell ref="CO252:CO253"/>
    <mergeCell ref="CN254:CN255"/>
    <mergeCell ref="CO254:CO255"/>
    <mergeCell ref="CN256:CN257"/>
    <mergeCell ref="CO256:CO257"/>
    <mergeCell ref="CN258:CN259"/>
    <mergeCell ref="CO258:CO259"/>
    <mergeCell ref="DF4:DF5"/>
    <mergeCell ref="DF6:DF7"/>
    <mergeCell ref="DF8:DF9"/>
    <mergeCell ref="DF10:DF11"/>
    <mergeCell ref="DF12:DF13"/>
    <mergeCell ref="DF14:DF15"/>
    <mergeCell ref="DF16:DF17"/>
    <mergeCell ref="DF18:DF19"/>
    <mergeCell ref="DF20:DF21"/>
    <mergeCell ref="CP2:CU2"/>
    <mergeCell ref="CN278:CN279"/>
    <mergeCell ref="CO278:CO279"/>
    <mergeCell ref="CN280:CN281"/>
    <mergeCell ref="CO280:CO281"/>
    <mergeCell ref="CN282:CN283"/>
    <mergeCell ref="CO282:CO283"/>
    <mergeCell ref="CN284:CN285"/>
    <mergeCell ref="CO284:CO285"/>
    <mergeCell ref="CN260:CN261"/>
    <mergeCell ref="CO260:CO261"/>
    <mergeCell ref="CN262:CN263"/>
    <mergeCell ref="CO262:CO263"/>
    <mergeCell ref="CN264:CN265"/>
    <mergeCell ref="CO264:CO265"/>
    <mergeCell ref="CN266:CN267"/>
    <mergeCell ref="CO266:CO267"/>
    <mergeCell ref="CN268:CN269"/>
    <mergeCell ref="CO268:CO269"/>
    <mergeCell ref="CN270:CN271"/>
    <mergeCell ref="CO270:CO271"/>
    <mergeCell ref="CN272:CN273"/>
    <mergeCell ref="CO272:CO273"/>
    <mergeCell ref="DF54:DF55"/>
    <mergeCell ref="DF56:DF57"/>
    <mergeCell ref="DF58:DF59"/>
    <mergeCell ref="DF60:DF61"/>
    <mergeCell ref="DF62:DF63"/>
    <mergeCell ref="DF64:DF65"/>
    <mergeCell ref="DF66:DF67"/>
    <mergeCell ref="DF68:DF69"/>
    <mergeCell ref="DF70:DF71"/>
    <mergeCell ref="DF72:DF73"/>
    <mergeCell ref="DF74:DF75"/>
    <mergeCell ref="DF76:DF77"/>
    <mergeCell ref="DF78:DF79"/>
    <mergeCell ref="DF80:DF81"/>
    <mergeCell ref="DF82:DF83"/>
    <mergeCell ref="DF84:DF85"/>
    <mergeCell ref="DF86:DF87"/>
    <mergeCell ref="DF122:DF123"/>
    <mergeCell ref="DF124:DF125"/>
    <mergeCell ref="DF126:DF127"/>
    <mergeCell ref="DF128:DF129"/>
    <mergeCell ref="DF130:DF131"/>
    <mergeCell ref="DF132:DF133"/>
    <mergeCell ref="DF134:DF135"/>
    <mergeCell ref="DF136:DF137"/>
    <mergeCell ref="DF138:DF139"/>
    <mergeCell ref="DF140:DF141"/>
    <mergeCell ref="DF142:DF143"/>
    <mergeCell ref="DF144:DF145"/>
    <mergeCell ref="DF146:DF147"/>
    <mergeCell ref="DF148:DF149"/>
    <mergeCell ref="DF150:DF151"/>
    <mergeCell ref="DF152:DF153"/>
    <mergeCell ref="DF22:DF23"/>
    <mergeCell ref="DF24:DF25"/>
    <mergeCell ref="DF26:DF27"/>
    <mergeCell ref="DF28:DF29"/>
    <mergeCell ref="DF30:DF31"/>
    <mergeCell ref="DF32:DF33"/>
    <mergeCell ref="DF34:DF35"/>
    <mergeCell ref="DF36:DF37"/>
    <mergeCell ref="DF38:DF39"/>
    <mergeCell ref="DF40:DF41"/>
    <mergeCell ref="DF42:DF43"/>
    <mergeCell ref="DF44:DF45"/>
    <mergeCell ref="DF46:DF47"/>
    <mergeCell ref="DF48:DF49"/>
    <mergeCell ref="DF50:DF51"/>
    <mergeCell ref="DF52:DF53"/>
    <mergeCell ref="DF88:DF89"/>
    <mergeCell ref="DF90:DF91"/>
    <mergeCell ref="DF92:DF93"/>
    <mergeCell ref="DF94:DF95"/>
    <mergeCell ref="DF96:DF97"/>
    <mergeCell ref="DF98:DF99"/>
    <mergeCell ref="DF100:DF101"/>
    <mergeCell ref="DF102:DF103"/>
    <mergeCell ref="DF104:DF105"/>
    <mergeCell ref="DF106:DF107"/>
    <mergeCell ref="DF108:DF109"/>
    <mergeCell ref="DF110:DF111"/>
    <mergeCell ref="DF112:DF113"/>
    <mergeCell ref="DF114:DF115"/>
    <mergeCell ref="DF116:DF117"/>
    <mergeCell ref="DF118:DF119"/>
    <mergeCell ref="DF120:DF121"/>
    <mergeCell ref="DF186:DF187"/>
    <mergeCell ref="DF188:DF189"/>
    <mergeCell ref="DF190:DF191"/>
    <mergeCell ref="DF192:DF193"/>
    <mergeCell ref="DF194:DF195"/>
    <mergeCell ref="DF196:DF197"/>
    <mergeCell ref="DF198:DF199"/>
    <mergeCell ref="DF200:DF201"/>
    <mergeCell ref="DF202:DF203"/>
    <mergeCell ref="DF204:DF205"/>
    <mergeCell ref="DF206:DF207"/>
    <mergeCell ref="DF208:DF209"/>
    <mergeCell ref="DF210:DF211"/>
    <mergeCell ref="DF212:DF213"/>
    <mergeCell ref="DF214:DF215"/>
    <mergeCell ref="DF216:DF217"/>
    <mergeCell ref="DF218:DF219"/>
    <mergeCell ref="DF254:DF255"/>
    <mergeCell ref="DF256:DF257"/>
    <mergeCell ref="DF258:DF259"/>
    <mergeCell ref="DF260:DF261"/>
    <mergeCell ref="DF262:DF263"/>
    <mergeCell ref="DF264:DF265"/>
    <mergeCell ref="DF266:DF267"/>
    <mergeCell ref="DF268:DF269"/>
    <mergeCell ref="DF270:DF271"/>
    <mergeCell ref="DF272:DF273"/>
    <mergeCell ref="DF274:DF275"/>
    <mergeCell ref="DF276:DF277"/>
    <mergeCell ref="DF278:DF279"/>
    <mergeCell ref="DF280:DF281"/>
    <mergeCell ref="DF282:DF283"/>
    <mergeCell ref="DF284:DF285"/>
    <mergeCell ref="DF154:DF155"/>
    <mergeCell ref="DF156:DF157"/>
    <mergeCell ref="DF158:DF159"/>
    <mergeCell ref="DF160:DF161"/>
    <mergeCell ref="DF162:DF163"/>
    <mergeCell ref="DF164:DF165"/>
    <mergeCell ref="DF166:DF167"/>
    <mergeCell ref="DF168:DF169"/>
    <mergeCell ref="DF170:DF171"/>
    <mergeCell ref="DF172:DF173"/>
    <mergeCell ref="DF174:DF175"/>
    <mergeCell ref="DF176:DF177"/>
    <mergeCell ref="DF178:DF179"/>
    <mergeCell ref="DF180:DF181"/>
    <mergeCell ref="DF182:DF183"/>
    <mergeCell ref="DF184:DF185"/>
    <mergeCell ref="DF220:DF221"/>
    <mergeCell ref="DF222:DF223"/>
    <mergeCell ref="DF224:DF225"/>
    <mergeCell ref="DF226:DF227"/>
    <mergeCell ref="DF228:DF229"/>
    <mergeCell ref="DF230:DF231"/>
    <mergeCell ref="DF232:DF233"/>
    <mergeCell ref="DF234:DF235"/>
    <mergeCell ref="DF236:DF237"/>
    <mergeCell ref="DF238:DF239"/>
    <mergeCell ref="DF240:DF241"/>
    <mergeCell ref="DF242:DF243"/>
    <mergeCell ref="DF244:DF245"/>
    <mergeCell ref="DF246:DF247"/>
    <mergeCell ref="DF248:DF249"/>
    <mergeCell ref="DF250:DF251"/>
    <mergeCell ref="DF252:DF253"/>
  </mergeCells>
  <phoneticPr fontId="1"/>
  <conditionalFormatting sqref="A4:B285">
    <cfRule type="expression" dxfId="13" priority="40">
      <formula>$A4=TODAY()</formula>
    </cfRule>
  </conditionalFormatting>
  <pageMargins left="0.23622047244094491" right="0.23622047244094491" top="0.74803149606299213" bottom="0.74803149606299213" header="0.31496062992125984" footer="0.31496062992125984"/>
  <pageSetup paperSize="8" scale="20" fitToHeight="0" orientation="landscape" r:id="rId2"/>
  <headerFooter>
    <oddHeader>&amp;R&amp;"メイリオ,ボールド"&amp;28&amp;D　&amp;T</oddHeader>
  </headerFooter>
  <rowBreaks count="5" manualBreakCount="5">
    <brk id="17" max="90" man="1"/>
    <brk id="75" max="90" man="1"/>
    <brk id="137" max="90" man="1"/>
    <brk id="197" max="90" man="1"/>
    <brk id="259" max="90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5" operator="greaterThanOrEqual" id="{5145EBE6-83B9-4B21-8C3B-6CB7CBA57C63}">
            <xm:f>設定!$Q$12</xm:f>
            <x14:dxf>
              <font>
                <color rgb="FFFF0000"/>
              </font>
            </x14:dxf>
          </x14:cfRule>
          <xm:sqref>CL16 CL72 CL136 CL196 CL258</xm:sqref>
        </x14:conditionalFormatting>
        <x14:conditionalFormatting xmlns:xm="http://schemas.microsoft.com/office/excel/2006/main">
          <x14:cfRule type="cellIs" priority="34" operator="greaterThanOrEqual" id="{A0A9A14D-0939-45F7-B5C6-426ABA264C66}">
            <xm:f>設定!$Q$13</xm:f>
            <x14:dxf>
              <font>
                <color rgb="FFFF0000"/>
              </font>
            </x14:dxf>
          </x14:cfRule>
          <xm:sqref>CM16 CM72 CM136 CM196 CM258</xm:sqref>
        </x14:conditionalFormatting>
        <x14:conditionalFormatting xmlns:xm="http://schemas.microsoft.com/office/excel/2006/main">
          <x14:cfRule type="cellIs" priority="2" operator="greaterThanOrEqual" id="{E7B40A0E-3179-4791-9D04-AF94B99B2DD5}">
            <xm:f>設定!$I$13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greaterThanOrEqual" id="{6F46E45F-386C-4F03-81D0-4EF0ABBFF7EF}">
            <xm:f>設定!$I$12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m:sqref>CG4:CG285</xm:sqref>
        </x14:conditionalFormatting>
        <x14:conditionalFormatting xmlns:xm="http://schemas.microsoft.com/office/excel/2006/main">
          <x14:cfRule type="cellIs" priority="1" operator="greaterThanOrEqual" id="{75122102-992E-41A7-8FE9-5020BDA90481}">
            <xm:f>設定!$E$12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CH4:CH285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421FE-0326-4EF5-A61A-E52F0649731C}">
  <sheetPr codeName="連絡管理" filterMode="1">
    <tabColor rgb="FF92D050"/>
  </sheetPr>
  <dimension ref="A1:I701"/>
  <sheetViews>
    <sheetView showRowColHeaders="0" workbookViewId="0">
      <pane ySplit="101" topLeftCell="A156" activePane="bottomLeft" state="frozen"/>
      <selection pane="bottomLeft" activeCell="C167" sqref="C167"/>
    </sheetView>
  </sheetViews>
  <sheetFormatPr baseColWidth="10" defaultColWidth="8.85546875" defaultRowHeight="19"/>
  <cols>
    <col min="1" max="1" width="8" style="24" customWidth="1"/>
    <col min="2" max="2" width="13.5703125" style="24" bestFit="1" customWidth="1"/>
    <col min="3" max="3" width="18.5703125" style="24" customWidth="1"/>
    <col min="4" max="4" width="11.140625" style="24" customWidth="1"/>
    <col min="5" max="5" width="10" style="24" bestFit="1" customWidth="1"/>
    <col min="6" max="6" width="53.28515625" style="24" customWidth="1"/>
    <col min="7" max="8" width="7.5703125" style="24" customWidth="1"/>
    <col min="9" max="9" width="8" style="24" customWidth="1"/>
    <col min="10" max="16384" width="8.85546875" style="24"/>
  </cols>
  <sheetData>
    <row r="1" spans="1:9" ht="40">
      <c r="A1" s="82" t="s">
        <v>263</v>
      </c>
      <c r="B1" s="83" t="s">
        <v>264</v>
      </c>
      <c r="C1" s="83" t="s">
        <v>265</v>
      </c>
      <c r="D1" s="83" t="s">
        <v>266</v>
      </c>
      <c r="E1" s="83" t="s">
        <v>267</v>
      </c>
      <c r="F1" s="83" t="s">
        <v>268</v>
      </c>
      <c r="G1" s="83" t="s">
        <v>269</v>
      </c>
      <c r="H1" s="84" t="s">
        <v>270</v>
      </c>
      <c r="I1" s="85" t="s">
        <v>271</v>
      </c>
    </row>
    <row r="2" spans="1:9" ht="20" hidden="1" thickTop="1">
      <c r="A2" s="86">
        <v>45666</v>
      </c>
      <c r="B2" s="87" t="s">
        <v>272</v>
      </c>
      <c r="C2" s="87" t="s">
        <v>273</v>
      </c>
      <c r="D2" s="87" t="s">
        <v>274</v>
      </c>
      <c r="E2" s="87" t="s">
        <v>275</v>
      </c>
      <c r="F2" s="88" t="s">
        <v>276</v>
      </c>
      <c r="G2" s="87" t="s">
        <v>277</v>
      </c>
      <c r="H2" s="87" t="s">
        <v>278</v>
      </c>
      <c r="I2" s="89"/>
    </row>
    <row r="3" spans="1:9" ht="14.25" hidden="1" customHeight="1">
      <c r="A3" s="90">
        <v>45666</v>
      </c>
      <c r="B3" s="91" t="s">
        <v>279</v>
      </c>
      <c r="C3" s="91" t="s">
        <v>280</v>
      </c>
      <c r="D3" s="91" t="s">
        <v>281</v>
      </c>
      <c r="E3" s="91" t="s">
        <v>275</v>
      </c>
      <c r="F3" s="92" t="s">
        <v>282</v>
      </c>
      <c r="G3" s="91" t="s">
        <v>277</v>
      </c>
      <c r="H3" s="91" t="s">
        <v>278</v>
      </c>
      <c r="I3" s="93"/>
    </row>
    <row r="4" spans="1:9" hidden="1">
      <c r="A4" s="94">
        <v>45667</v>
      </c>
      <c r="B4" s="95" t="s">
        <v>283</v>
      </c>
      <c r="C4" s="95" t="s">
        <v>284</v>
      </c>
      <c r="D4" s="95" t="s">
        <v>285</v>
      </c>
      <c r="E4" s="95" t="s">
        <v>275</v>
      </c>
      <c r="F4" s="96" t="s">
        <v>286</v>
      </c>
      <c r="G4" s="95" t="s">
        <v>277</v>
      </c>
      <c r="H4" s="95" t="s">
        <v>278</v>
      </c>
      <c r="I4" s="97"/>
    </row>
    <row r="5" spans="1:9" hidden="1">
      <c r="A5" s="90">
        <v>45667</v>
      </c>
      <c r="B5" s="91" t="s">
        <v>287</v>
      </c>
      <c r="C5" s="91" t="s">
        <v>163</v>
      </c>
      <c r="D5" s="91"/>
      <c r="E5" s="91" t="s">
        <v>288</v>
      </c>
      <c r="F5" s="92" t="s">
        <v>289</v>
      </c>
      <c r="G5" s="91" t="s">
        <v>290</v>
      </c>
      <c r="H5" s="91" t="s">
        <v>278</v>
      </c>
      <c r="I5" s="93"/>
    </row>
    <row r="6" spans="1:9" hidden="1">
      <c r="A6" s="94">
        <v>45667</v>
      </c>
      <c r="B6" s="95" t="s">
        <v>291</v>
      </c>
      <c r="C6" s="95" t="s">
        <v>163</v>
      </c>
      <c r="D6" s="95"/>
      <c r="E6" s="95" t="s">
        <v>288</v>
      </c>
      <c r="F6" s="96" t="s">
        <v>289</v>
      </c>
      <c r="G6" s="95" t="s">
        <v>292</v>
      </c>
      <c r="H6" s="95" t="s">
        <v>278</v>
      </c>
      <c r="I6" s="97"/>
    </row>
    <row r="7" spans="1:9" hidden="1">
      <c r="A7" s="90">
        <v>45667</v>
      </c>
      <c r="B7" s="91" t="s">
        <v>293</v>
      </c>
      <c r="C7" s="91" t="s">
        <v>294</v>
      </c>
      <c r="D7" s="91" t="s">
        <v>295</v>
      </c>
      <c r="E7" s="91" t="s">
        <v>275</v>
      </c>
      <c r="F7" s="92" t="s">
        <v>296</v>
      </c>
      <c r="G7" s="91" t="s">
        <v>297</v>
      </c>
      <c r="H7" s="91" t="s">
        <v>278</v>
      </c>
      <c r="I7" s="93"/>
    </row>
    <row r="8" spans="1:9" hidden="1">
      <c r="A8" s="94">
        <v>45669</v>
      </c>
      <c r="B8" s="95" t="s">
        <v>298</v>
      </c>
      <c r="C8" s="95" t="s">
        <v>299</v>
      </c>
      <c r="D8" s="95" t="s">
        <v>300</v>
      </c>
      <c r="E8" s="95" t="s">
        <v>301</v>
      </c>
      <c r="F8" s="96" t="s">
        <v>302</v>
      </c>
      <c r="G8" s="95" t="s">
        <v>303</v>
      </c>
      <c r="H8" s="95" t="s">
        <v>278</v>
      </c>
      <c r="I8" s="97"/>
    </row>
    <row r="9" spans="1:9" hidden="1">
      <c r="A9" s="90">
        <v>45670</v>
      </c>
      <c r="B9" s="91" t="s">
        <v>304</v>
      </c>
      <c r="C9" s="91" t="s">
        <v>163</v>
      </c>
      <c r="D9" s="91"/>
      <c r="E9" s="91" t="s">
        <v>301</v>
      </c>
      <c r="F9" s="92" t="s">
        <v>305</v>
      </c>
      <c r="G9" s="91" t="s">
        <v>303</v>
      </c>
      <c r="H9" s="91" t="s">
        <v>278</v>
      </c>
      <c r="I9" s="93"/>
    </row>
    <row r="10" spans="1:9" hidden="1">
      <c r="A10" s="94">
        <v>45670</v>
      </c>
      <c r="B10" s="95" t="s">
        <v>306</v>
      </c>
      <c r="C10" s="95" t="s">
        <v>163</v>
      </c>
      <c r="D10" s="95"/>
      <c r="E10" s="95" t="s">
        <v>288</v>
      </c>
      <c r="F10" s="96" t="s">
        <v>307</v>
      </c>
      <c r="G10" s="95" t="s">
        <v>303</v>
      </c>
      <c r="H10" s="95" t="s">
        <v>278</v>
      </c>
      <c r="I10" s="97"/>
    </row>
    <row r="11" spans="1:9" hidden="1">
      <c r="A11" s="90">
        <v>45671</v>
      </c>
      <c r="B11" s="91" t="s">
        <v>308</v>
      </c>
      <c r="C11" s="91" t="s">
        <v>273</v>
      </c>
      <c r="D11" s="91" t="s">
        <v>309</v>
      </c>
      <c r="E11" s="91" t="s">
        <v>288</v>
      </c>
      <c r="F11" s="92" t="s">
        <v>310</v>
      </c>
      <c r="G11" s="91" t="s">
        <v>303</v>
      </c>
      <c r="H11" s="91" t="s">
        <v>278</v>
      </c>
      <c r="I11" s="93"/>
    </row>
    <row r="12" spans="1:9" ht="20.25" hidden="1" customHeight="1">
      <c r="A12" s="94">
        <v>45671</v>
      </c>
      <c r="B12" s="95" t="s">
        <v>293</v>
      </c>
      <c r="C12" s="95" t="s">
        <v>294</v>
      </c>
      <c r="D12" s="95" t="s">
        <v>295</v>
      </c>
      <c r="E12" s="95" t="s">
        <v>288</v>
      </c>
      <c r="F12" s="96" t="s">
        <v>311</v>
      </c>
      <c r="G12" s="95" t="s">
        <v>303</v>
      </c>
      <c r="H12" s="95" t="s">
        <v>278</v>
      </c>
      <c r="I12" s="97"/>
    </row>
    <row r="13" spans="1:9" hidden="1">
      <c r="A13" s="90">
        <v>45672</v>
      </c>
      <c r="B13" s="91" t="s">
        <v>312</v>
      </c>
      <c r="C13" s="91" t="s">
        <v>313</v>
      </c>
      <c r="D13" s="91" t="s">
        <v>155</v>
      </c>
      <c r="E13" s="91" t="s">
        <v>288</v>
      </c>
      <c r="F13" s="92" t="s">
        <v>314</v>
      </c>
      <c r="G13" s="91" t="s">
        <v>315</v>
      </c>
      <c r="H13" s="91" t="s">
        <v>278</v>
      </c>
      <c r="I13" s="93"/>
    </row>
    <row r="14" spans="1:9" hidden="1">
      <c r="A14" s="94">
        <v>45672</v>
      </c>
      <c r="B14" s="95" t="s">
        <v>316</v>
      </c>
      <c r="C14" s="95" t="s">
        <v>317</v>
      </c>
      <c r="D14" s="95" t="s">
        <v>318</v>
      </c>
      <c r="E14" s="95" t="s">
        <v>301</v>
      </c>
      <c r="F14" s="96" t="s">
        <v>319</v>
      </c>
      <c r="G14" s="95" t="s">
        <v>315</v>
      </c>
      <c r="H14" s="95" t="s">
        <v>278</v>
      </c>
      <c r="I14" s="97"/>
    </row>
    <row r="15" spans="1:9" hidden="1">
      <c r="A15" s="90">
        <v>45673</v>
      </c>
      <c r="B15" s="91" t="s">
        <v>308</v>
      </c>
      <c r="C15" s="91" t="s">
        <v>273</v>
      </c>
      <c r="D15" s="91" t="s">
        <v>309</v>
      </c>
      <c r="E15" s="91" t="s">
        <v>320</v>
      </c>
      <c r="F15" s="92" t="s">
        <v>321</v>
      </c>
      <c r="G15" s="91" t="s">
        <v>303</v>
      </c>
      <c r="H15" s="91" t="s">
        <v>278</v>
      </c>
      <c r="I15" s="93"/>
    </row>
    <row r="16" spans="1:9" hidden="1">
      <c r="A16" s="94">
        <v>45673</v>
      </c>
      <c r="B16" s="95" t="s">
        <v>322</v>
      </c>
      <c r="C16" s="95" t="s">
        <v>273</v>
      </c>
      <c r="D16" s="95" t="s">
        <v>309</v>
      </c>
      <c r="E16" s="95" t="s">
        <v>288</v>
      </c>
      <c r="F16" s="96" t="s">
        <v>323</v>
      </c>
      <c r="G16" s="95" t="s">
        <v>303</v>
      </c>
      <c r="H16" s="95" t="s">
        <v>278</v>
      </c>
      <c r="I16" s="97"/>
    </row>
    <row r="17" spans="1:9" hidden="1">
      <c r="A17" s="90">
        <v>45673</v>
      </c>
      <c r="B17" s="91" t="s">
        <v>324</v>
      </c>
      <c r="C17" s="91" t="s">
        <v>163</v>
      </c>
      <c r="D17" s="91"/>
      <c r="E17" s="91" t="s">
        <v>301</v>
      </c>
      <c r="F17" s="92" t="s">
        <v>325</v>
      </c>
      <c r="G17" s="91" t="s">
        <v>303</v>
      </c>
      <c r="H17" s="91" t="s">
        <v>278</v>
      </c>
      <c r="I17" s="93"/>
    </row>
    <row r="18" spans="1:9" hidden="1">
      <c r="A18" s="94">
        <v>45673</v>
      </c>
      <c r="B18" s="95" t="s">
        <v>326</v>
      </c>
      <c r="C18" s="95" t="s">
        <v>327</v>
      </c>
      <c r="D18" s="95" t="s">
        <v>328</v>
      </c>
      <c r="E18" s="95" t="s">
        <v>320</v>
      </c>
      <c r="F18" s="96" t="s">
        <v>329</v>
      </c>
      <c r="G18" s="95" t="s">
        <v>303</v>
      </c>
      <c r="H18" s="95" t="s">
        <v>278</v>
      </c>
      <c r="I18" s="97"/>
    </row>
    <row r="19" spans="1:9" hidden="1">
      <c r="A19" s="90">
        <v>45674</v>
      </c>
      <c r="B19" s="91" t="s">
        <v>330</v>
      </c>
      <c r="C19" s="91" t="s">
        <v>313</v>
      </c>
      <c r="D19" s="91" t="s">
        <v>155</v>
      </c>
      <c r="E19" s="91" t="s">
        <v>320</v>
      </c>
      <c r="F19" s="92" t="s">
        <v>331</v>
      </c>
      <c r="G19" s="91" t="s">
        <v>277</v>
      </c>
      <c r="H19" s="91" t="s">
        <v>278</v>
      </c>
      <c r="I19" s="93"/>
    </row>
    <row r="20" spans="1:9" hidden="1">
      <c r="A20" s="94">
        <v>45677</v>
      </c>
      <c r="B20" s="95" t="s">
        <v>332</v>
      </c>
      <c r="C20" s="95" t="s">
        <v>313</v>
      </c>
      <c r="D20" s="95" t="s">
        <v>333</v>
      </c>
      <c r="E20" s="95" t="s">
        <v>320</v>
      </c>
      <c r="F20" s="96" t="s">
        <v>334</v>
      </c>
      <c r="G20" s="95" t="s">
        <v>303</v>
      </c>
      <c r="H20" s="95" t="s">
        <v>278</v>
      </c>
      <c r="I20" s="97"/>
    </row>
    <row r="21" spans="1:9" hidden="1">
      <c r="A21" s="90">
        <v>45677</v>
      </c>
      <c r="B21" s="91" t="s">
        <v>335</v>
      </c>
      <c r="C21" s="91" t="s">
        <v>313</v>
      </c>
      <c r="D21" s="91" t="s">
        <v>336</v>
      </c>
      <c r="E21" s="91" t="s">
        <v>320</v>
      </c>
      <c r="F21" s="92" t="s">
        <v>337</v>
      </c>
      <c r="G21" s="91" t="s">
        <v>303</v>
      </c>
      <c r="H21" s="91" t="s">
        <v>278</v>
      </c>
      <c r="I21" s="93"/>
    </row>
    <row r="22" spans="1:9" hidden="1">
      <c r="A22" s="94">
        <v>45677</v>
      </c>
      <c r="B22" s="95" t="s">
        <v>338</v>
      </c>
      <c r="C22" s="95" t="s">
        <v>339</v>
      </c>
      <c r="D22" s="95" t="s">
        <v>300</v>
      </c>
      <c r="E22" s="95" t="s">
        <v>320</v>
      </c>
      <c r="F22" s="96" t="s">
        <v>340</v>
      </c>
      <c r="G22" s="95" t="s">
        <v>303</v>
      </c>
      <c r="H22" s="95" t="s">
        <v>278</v>
      </c>
      <c r="I22" s="97"/>
    </row>
    <row r="23" spans="1:9" hidden="1">
      <c r="A23" s="90">
        <v>45677</v>
      </c>
      <c r="B23" s="91" t="s">
        <v>341</v>
      </c>
      <c r="C23" s="91" t="s">
        <v>342</v>
      </c>
      <c r="D23" s="91" t="s">
        <v>343</v>
      </c>
      <c r="E23" s="91" t="s">
        <v>275</v>
      </c>
      <c r="F23" s="92" t="s">
        <v>344</v>
      </c>
      <c r="G23" s="91" t="s">
        <v>277</v>
      </c>
      <c r="H23" s="91" t="s">
        <v>278</v>
      </c>
      <c r="I23" s="93"/>
    </row>
    <row r="24" spans="1:9" hidden="1">
      <c r="A24" s="94">
        <v>45677</v>
      </c>
      <c r="B24" s="95" t="s">
        <v>345</v>
      </c>
      <c r="C24" s="95" t="s">
        <v>346</v>
      </c>
      <c r="D24" s="95" t="s">
        <v>347</v>
      </c>
      <c r="E24" s="95" t="s">
        <v>320</v>
      </c>
      <c r="F24" s="96" t="s">
        <v>348</v>
      </c>
      <c r="G24" s="95" t="s">
        <v>303</v>
      </c>
      <c r="H24" s="95" t="s">
        <v>278</v>
      </c>
      <c r="I24" s="97"/>
    </row>
    <row r="25" spans="1:9" hidden="1">
      <c r="A25" s="90">
        <v>45677</v>
      </c>
      <c r="B25" s="91" t="s">
        <v>349</v>
      </c>
      <c r="C25" s="91" t="s">
        <v>163</v>
      </c>
      <c r="D25" s="91"/>
      <c r="E25" s="91" t="s">
        <v>288</v>
      </c>
      <c r="F25" s="92" t="s">
        <v>350</v>
      </c>
      <c r="G25" s="91" t="s">
        <v>351</v>
      </c>
      <c r="H25" s="91" t="s">
        <v>278</v>
      </c>
      <c r="I25" s="93"/>
    </row>
    <row r="26" spans="1:9" hidden="1">
      <c r="A26" s="94">
        <v>45678</v>
      </c>
      <c r="B26" s="95" t="s">
        <v>352</v>
      </c>
      <c r="C26" s="95" t="s">
        <v>163</v>
      </c>
      <c r="D26" s="95"/>
      <c r="E26" s="95" t="s">
        <v>320</v>
      </c>
      <c r="F26" s="96" t="s">
        <v>353</v>
      </c>
      <c r="G26" s="95" t="s">
        <v>277</v>
      </c>
      <c r="H26" s="95" t="s">
        <v>278</v>
      </c>
      <c r="I26" s="97"/>
    </row>
    <row r="27" spans="1:9" hidden="1">
      <c r="A27" s="90">
        <v>45678</v>
      </c>
      <c r="B27" s="91" t="s">
        <v>354</v>
      </c>
      <c r="C27" s="91" t="s">
        <v>355</v>
      </c>
      <c r="D27" s="91" t="s">
        <v>356</v>
      </c>
      <c r="E27" s="91" t="s">
        <v>320</v>
      </c>
      <c r="F27" s="92" t="s">
        <v>357</v>
      </c>
      <c r="G27" s="91" t="s">
        <v>303</v>
      </c>
      <c r="H27" s="91" t="s">
        <v>278</v>
      </c>
      <c r="I27" s="93"/>
    </row>
    <row r="28" spans="1:9" hidden="1">
      <c r="A28" s="94">
        <v>45678</v>
      </c>
      <c r="B28" s="95" t="s">
        <v>358</v>
      </c>
      <c r="C28" s="95" t="s">
        <v>313</v>
      </c>
      <c r="D28" s="95" t="s">
        <v>359</v>
      </c>
      <c r="E28" s="95" t="s">
        <v>288</v>
      </c>
      <c r="F28" s="96" t="s">
        <v>360</v>
      </c>
      <c r="G28" s="95" t="s">
        <v>303</v>
      </c>
      <c r="H28" s="95" t="s">
        <v>278</v>
      </c>
      <c r="I28" s="97"/>
    </row>
    <row r="29" spans="1:9" hidden="1">
      <c r="A29" s="90">
        <v>45679</v>
      </c>
      <c r="B29" s="91" t="s">
        <v>361</v>
      </c>
      <c r="C29" s="91" t="s">
        <v>362</v>
      </c>
      <c r="D29" s="91" t="s">
        <v>363</v>
      </c>
      <c r="E29" s="91" t="s">
        <v>301</v>
      </c>
      <c r="F29" s="92" t="s">
        <v>364</v>
      </c>
      <c r="G29" s="91" t="s">
        <v>365</v>
      </c>
      <c r="H29" s="91" t="s">
        <v>278</v>
      </c>
      <c r="I29" s="93"/>
    </row>
    <row r="30" spans="1:9" hidden="1">
      <c r="A30" s="94">
        <v>45679</v>
      </c>
      <c r="B30" s="95" t="s">
        <v>366</v>
      </c>
      <c r="C30" s="95" t="s">
        <v>163</v>
      </c>
      <c r="D30" s="95"/>
      <c r="E30" s="95" t="s">
        <v>288</v>
      </c>
      <c r="F30" s="96" t="s">
        <v>367</v>
      </c>
      <c r="G30" s="95" t="s">
        <v>365</v>
      </c>
      <c r="H30" s="95" t="s">
        <v>278</v>
      </c>
      <c r="I30" s="97"/>
    </row>
    <row r="31" spans="1:9" hidden="1">
      <c r="A31" s="90">
        <v>45679</v>
      </c>
      <c r="B31" s="91" t="s">
        <v>368</v>
      </c>
      <c r="C31" s="91" t="s">
        <v>369</v>
      </c>
      <c r="D31" s="91"/>
      <c r="E31" s="91" t="s">
        <v>288</v>
      </c>
      <c r="F31" s="92" t="s">
        <v>370</v>
      </c>
      <c r="G31" s="91" t="s">
        <v>303</v>
      </c>
      <c r="H31" s="91" t="s">
        <v>278</v>
      </c>
      <c r="I31" s="93"/>
    </row>
    <row r="32" spans="1:9" hidden="1">
      <c r="A32" s="94">
        <v>45679</v>
      </c>
      <c r="B32" s="95" t="s">
        <v>371</v>
      </c>
      <c r="C32" s="95" t="s">
        <v>372</v>
      </c>
      <c r="D32" s="95" t="s">
        <v>373</v>
      </c>
      <c r="E32" s="95" t="s">
        <v>320</v>
      </c>
      <c r="F32" s="96" t="s">
        <v>374</v>
      </c>
      <c r="G32" s="95" t="s">
        <v>375</v>
      </c>
      <c r="H32" s="95" t="s">
        <v>278</v>
      </c>
      <c r="I32" s="97"/>
    </row>
    <row r="33" spans="1:9" hidden="1">
      <c r="A33" s="90">
        <v>45680</v>
      </c>
      <c r="B33" s="91" t="s">
        <v>376</v>
      </c>
      <c r="C33" s="91" t="s">
        <v>377</v>
      </c>
      <c r="D33" s="91" t="s">
        <v>378</v>
      </c>
      <c r="E33" s="91" t="s">
        <v>275</v>
      </c>
      <c r="F33" s="92" t="s">
        <v>379</v>
      </c>
      <c r="G33" s="91" t="s">
        <v>277</v>
      </c>
      <c r="H33" s="91" t="s">
        <v>278</v>
      </c>
      <c r="I33" s="93"/>
    </row>
    <row r="34" spans="1:9" hidden="1">
      <c r="A34" s="94">
        <v>45680</v>
      </c>
      <c r="B34" s="95" t="s">
        <v>380</v>
      </c>
      <c r="C34" s="95" t="s">
        <v>381</v>
      </c>
      <c r="D34" s="95" t="s">
        <v>382</v>
      </c>
      <c r="E34" s="95" t="s">
        <v>320</v>
      </c>
      <c r="F34" s="96" t="s">
        <v>383</v>
      </c>
      <c r="G34" s="95" t="s">
        <v>384</v>
      </c>
      <c r="H34" s="95" t="s">
        <v>278</v>
      </c>
      <c r="I34" s="97"/>
    </row>
    <row r="35" spans="1:9" hidden="1">
      <c r="A35" s="90">
        <v>45681</v>
      </c>
      <c r="B35" s="91" t="s">
        <v>361</v>
      </c>
      <c r="C35" s="91" t="s">
        <v>385</v>
      </c>
      <c r="D35" s="91" t="s">
        <v>363</v>
      </c>
      <c r="E35" s="91" t="s">
        <v>288</v>
      </c>
      <c r="F35" s="92" t="s">
        <v>386</v>
      </c>
      <c r="G35" s="91" t="s">
        <v>303</v>
      </c>
      <c r="H35" s="91" t="s">
        <v>278</v>
      </c>
      <c r="I35" s="93"/>
    </row>
    <row r="36" spans="1:9" hidden="1">
      <c r="A36" s="94">
        <v>45681</v>
      </c>
      <c r="B36" s="95" t="s">
        <v>387</v>
      </c>
      <c r="C36" s="95" t="s">
        <v>273</v>
      </c>
      <c r="D36" s="95" t="s">
        <v>388</v>
      </c>
      <c r="E36" s="95" t="s">
        <v>320</v>
      </c>
      <c r="F36" s="96" t="s">
        <v>389</v>
      </c>
      <c r="G36" s="95" t="s">
        <v>303</v>
      </c>
      <c r="H36" s="95" t="s">
        <v>278</v>
      </c>
      <c r="I36" s="97"/>
    </row>
    <row r="37" spans="1:9" hidden="1">
      <c r="A37" s="90">
        <v>45684</v>
      </c>
      <c r="B37" s="91" t="s">
        <v>291</v>
      </c>
      <c r="C37" s="91"/>
      <c r="D37" s="91" t="s">
        <v>163</v>
      </c>
      <c r="E37" s="91" t="s">
        <v>288</v>
      </c>
      <c r="F37" s="92" t="s">
        <v>390</v>
      </c>
      <c r="G37" s="91" t="s">
        <v>384</v>
      </c>
      <c r="H37" s="91" t="s">
        <v>278</v>
      </c>
      <c r="I37" s="93"/>
    </row>
    <row r="38" spans="1:9" hidden="1">
      <c r="A38" s="94">
        <v>45684</v>
      </c>
      <c r="B38" s="95" t="s">
        <v>361</v>
      </c>
      <c r="C38" s="95" t="s">
        <v>385</v>
      </c>
      <c r="D38" s="95" t="s">
        <v>363</v>
      </c>
      <c r="E38" s="95" t="s">
        <v>288</v>
      </c>
      <c r="F38" s="96" t="s">
        <v>391</v>
      </c>
      <c r="G38" s="95" t="s">
        <v>384</v>
      </c>
      <c r="H38" s="95" t="s">
        <v>278</v>
      </c>
      <c r="I38" s="97"/>
    </row>
    <row r="39" spans="1:9" hidden="1">
      <c r="A39" s="90">
        <v>45684</v>
      </c>
      <c r="B39" s="91" t="s">
        <v>387</v>
      </c>
      <c r="C39" s="91" t="s">
        <v>273</v>
      </c>
      <c r="D39" s="91" t="s">
        <v>388</v>
      </c>
      <c r="E39" s="91" t="s">
        <v>320</v>
      </c>
      <c r="F39" s="92" t="s">
        <v>392</v>
      </c>
      <c r="G39" s="91" t="s">
        <v>384</v>
      </c>
      <c r="H39" s="91" t="s">
        <v>278</v>
      </c>
      <c r="I39" s="93"/>
    </row>
    <row r="40" spans="1:9" hidden="1">
      <c r="A40" s="94">
        <v>45684</v>
      </c>
      <c r="B40" s="95" t="s">
        <v>393</v>
      </c>
      <c r="C40" s="95" t="s">
        <v>394</v>
      </c>
      <c r="D40" s="95" t="s">
        <v>395</v>
      </c>
      <c r="E40" s="95" t="s">
        <v>320</v>
      </c>
      <c r="F40" s="96" t="s">
        <v>396</v>
      </c>
      <c r="G40" s="95" t="s">
        <v>384</v>
      </c>
      <c r="H40" s="95" t="s">
        <v>278</v>
      </c>
      <c r="I40" s="97"/>
    </row>
    <row r="41" spans="1:9" hidden="1">
      <c r="A41" s="90">
        <v>45685</v>
      </c>
      <c r="B41" s="91" t="s">
        <v>397</v>
      </c>
      <c r="C41" s="91" t="s">
        <v>317</v>
      </c>
      <c r="D41" s="91" t="s">
        <v>398</v>
      </c>
      <c r="E41" s="91" t="s">
        <v>301</v>
      </c>
      <c r="F41" s="92" t="s">
        <v>399</v>
      </c>
      <c r="G41" s="91" t="s">
        <v>400</v>
      </c>
      <c r="H41" s="91" t="s">
        <v>278</v>
      </c>
      <c r="I41" s="93"/>
    </row>
    <row r="42" spans="1:9" hidden="1">
      <c r="A42" s="94">
        <v>45685</v>
      </c>
      <c r="B42" s="95" t="s">
        <v>401</v>
      </c>
      <c r="C42" s="95" t="s">
        <v>313</v>
      </c>
      <c r="D42" s="95" t="s">
        <v>333</v>
      </c>
      <c r="E42" s="95" t="s">
        <v>288</v>
      </c>
      <c r="F42" s="96" t="s">
        <v>402</v>
      </c>
      <c r="G42" s="95" t="s">
        <v>277</v>
      </c>
      <c r="H42" s="95" t="s">
        <v>278</v>
      </c>
      <c r="I42" s="97"/>
    </row>
    <row r="43" spans="1:9" hidden="1">
      <c r="A43" s="94">
        <v>45685</v>
      </c>
      <c r="B43" s="95" t="s">
        <v>403</v>
      </c>
      <c r="C43" s="95" t="s">
        <v>377</v>
      </c>
      <c r="D43" s="95" t="s">
        <v>404</v>
      </c>
      <c r="E43" s="95" t="s">
        <v>275</v>
      </c>
      <c r="F43" s="96" t="s">
        <v>405</v>
      </c>
      <c r="G43" s="95" t="s">
        <v>277</v>
      </c>
      <c r="H43" s="95" t="s">
        <v>278</v>
      </c>
      <c r="I43" s="97"/>
    </row>
    <row r="44" spans="1:9" ht="57" hidden="1" customHeight="1">
      <c r="A44" s="90">
        <v>45686</v>
      </c>
      <c r="B44" s="91" t="s">
        <v>406</v>
      </c>
      <c r="C44" s="91" t="s">
        <v>385</v>
      </c>
      <c r="D44" s="91" t="s">
        <v>407</v>
      </c>
      <c r="E44" s="91" t="s">
        <v>320</v>
      </c>
      <c r="F44" s="146" t="s">
        <v>408</v>
      </c>
      <c r="G44" s="91" t="s">
        <v>384</v>
      </c>
      <c r="H44" s="91" t="s">
        <v>278</v>
      </c>
      <c r="I44" s="93"/>
    </row>
    <row r="45" spans="1:9" ht="30.75" hidden="1" customHeight="1">
      <c r="A45" s="94">
        <v>45686</v>
      </c>
      <c r="B45" s="95" t="s">
        <v>293</v>
      </c>
      <c r="C45" s="95" t="s">
        <v>409</v>
      </c>
      <c r="D45" s="95" t="s">
        <v>295</v>
      </c>
      <c r="E45" s="95" t="s">
        <v>320</v>
      </c>
      <c r="F45" s="96" t="s">
        <v>410</v>
      </c>
      <c r="G45" s="95" t="s">
        <v>384</v>
      </c>
      <c r="H45" s="95" t="s">
        <v>278</v>
      </c>
      <c r="I45" s="97"/>
    </row>
    <row r="46" spans="1:9" hidden="1">
      <c r="A46" s="90">
        <v>45686</v>
      </c>
      <c r="B46" s="91" t="s">
        <v>411</v>
      </c>
      <c r="C46" s="91"/>
      <c r="D46" s="91"/>
      <c r="E46" s="91"/>
      <c r="F46" s="92"/>
      <c r="G46" s="91" t="s">
        <v>375</v>
      </c>
      <c r="H46" s="91"/>
      <c r="I46" s="93"/>
    </row>
    <row r="47" spans="1:9" hidden="1">
      <c r="A47" s="94">
        <v>45687</v>
      </c>
      <c r="B47" s="95" t="s">
        <v>412</v>
      </c>
      <c r="C47" s="95" t="s">
        <v>163</v>
      </c>
      <c r="D47" s="95"/>
      <c r="E47" s="95" t="s">
        <v>301</v>
      </c>
      <c r="F47" s="96" t="s">
        <v>413</v>
      </c>
      <c r="G47" s="95" t="s">
        <v>414</v>
      </c>
      <c r="H47" s="95" t="s">
        <v>278</v>
      </c>
      <c r="I47" s="97"/>
    </row>
    <row r="48" spans="1:9" hidden="1">
      <c r="A48" s="90">
        <v>45687</v>
      </c>
      <c r="B48" s="91" t="s">
        <v>415</v>
      </c>
      <c r="C48" s="91" t="s">
        <v>416</v>
      </c>
      <c r="D48" s="91" t="s">
        <v>417</v>
      </c>
      <c r="E48" s="91" t="s">
        <v>320</v>
      </c>
      <c r="F48" s="92" t="s">
        <v>418</v>
      </c>
      <c r="G48" s="91" t="s">
        <v>303</v>
      </c>
      <c r="H48" s="91" t="s">
        <v>278</v>
      </c>
      <c r="I48" s="93"/>
    </row>
    <row r="49" spans="1:9" hidden="1">
      <c r="A49" s="94">
        <v>45687</v>
      </c>
      <c r="B49" s="95" t="s">
        <v>419</v>
      </c>
      <c r="C49" s="95" t="s">
        <v>313</v>
      </c>
      <c r="D49" s="95" t="s">
        <v>155</v>
      </c>
      <c r="E49" s="95" t="s">
        <v>320</v>
      </c>
      <c r="F49" s="96" t="s">
        <v>420</v>
      </c>
      <c r="G49" s="95" t="s">
        <v>303</v>
      </c>
      <c r="H49" s="95" t="s">
        <v>278</v>
      </c>
      <c r="I49" s="97"/>
    </row>
    <row r="50" spans="1:9" hidden="1">
      <c r="A50" s="90">
        <v>45687</v>
      </c>
      <c r="B50" s="91" t="s">
        <v>421</v>
      </c>
      <c r="C50" s="91" t="s">
        <v>369</v>
      </c>
      <c r="D50" s="91" t="s">
        <v>422</v>
      </c>
      <c r="E50" s="91" t="s">
        <v>320</v>
      </c>
      <c r="F50" s="92" t="s">
        <v>423</v>
      </c>
      <c r="G50" s="91" t="s">
        <v>303</v>
      </c>
      <c r="H50" s="91" t="s">
        <v>278</v>
      </c>
      <c r="I50" s="93"/>
    </row>
    <row r="51" spans="1:9" hidden="1">
      <c r="A51" s="94">
        <v>45687</v>
      </c>
      <c r="B51" s="95" t="s">
        <v>393</v>
      </c>
      <c r="C51" s="95" t="s">
        <v>424</v>
      </c>
      <c r="D51" s="95" t="s">
        <v>395</v>
      </c>
      <c r="E51" s="95" t="s">
        <v>301</v>
      </c>
      <c r="F51" s="96" t="s">
        <v>425</v>
      </c>
      <c r="G51" s="95" t="s">
        <v>303</v>
      </c>
      <c r="H51" s="95" t="s">
        <v>278</v>
      </c>
      <c r="I51" s="97"/>
    </row>
    <row r="52" spans="1:9" hidden="1">
      <c r="A52" s="90">
        <v>45691</v>
      </c>
      <c r="B52" s="91" t="s">
        <v>366</v>
      </c>
      <c r="C52" s="91" t="s">
        <v>163</v>
      </c>
      <c r="D52" s="91"/>
      <c r="E52" s="91" t="s">
        <v>288</v>
      </c>
      <c r="F52" s="92" t="s">
        <v>426</v>
      </c>
      <c r="G52" s="91" t="s">
        <v>351</v>
      </c>
      <c r="H52" s="91" t="s">
        <v>278</v>
      </c>
      <c r="I52" s="93"/>
    </row>
    <row r="53" spans="1:9" hidden="1">
      <c r="A53" s="94">
        <v>45691</v>
      </c>
      <c r="B53" s="95" t="s">
        <v>427</v>
      </c>
      <c r="C53" s="95" t="s">
        <v>317</v>
      </c>
      <c r="D53" s="95" t="s">
        <v>428</v>
      </c>
      <c r="E53" s="95" t="s">
        <v>288</v>
      </c>
      <c r="F53" s="96" t="s">
        <v>429</v>
      </c>
      <c r="G53" s="95" t="s">
        <v>414</v>
      </c>
      <c r="H53" s="95" t="s">
        <v>278</v>
      </c>
      <c r="I53" s="97"/>
    </row>
    <row r="54" spans="1:9" hidden="1">
      <c r="A54" s="90">
        <v>45691</v>
      </c>
      <c r="B54" s="91" t="s">
        <v>430</v>
      </c>
      <c r="C54" s="91" t="s">
        <v>313</v>
      </c>
      <c r="D54" s="91" t="s">
        <v>333</v>
      </c>
      <c r="E54" s="91" t="s">
        <v>288</v>
      </c>
      <c r="F54" s="92" t="s">
        <v>431</v>
      </c>
      <c r="G54" s="91" t="s">
        <v>303</v>
      </c>
      <c r="H54" s="91" t="s">
        <v>278</v>
      </c>
      <c r="I54" s="93"/>
    </row>
    <row r="55" spans="1:9" hidden="1">
      <c r="A55" s="94">
        <v>45692</v>
      </c>
      <c r="B55" s="95" t="s">
        <v>432</v>
      </c>
      <c r="C55" s="95" t="s">
        <v>433</v>
      </c>
      <c r="D55" s="95" t="s">
        <v>434</v>
      </c>
      <c r="E55" s="95" t="s">
        <v>320</v>
      </c>
      <c r="F55" s="96" t="s">
        <v>435</v>
      </c>
      <c r="G55" s="95" t="s">
        <v>351</v>
      </c>
      <c r="H55" s="95" t="s">
        <v>278</v>
      </c>
      <c r="I55" s="97"/>
    </row>
    <row r="56" spans="1:9" hidden="1">
      <c r="A56" s="90">
        <v>45692</v>
      </c>
      <c r="B56" s="91" t="s">
        <v>436</v>
      </c>
      <c r="C56" s="91" t="s">
        <v>377</v>
      </c>
      <c r="D56" s="91" t="s">
        <v>437</v>
      </c>
      <c r="E56" s="91" t="s">
        <v>320</v>
      </c>
      <c r="F56" s="92" t="s">
        <v>438</v>
      </c>
      <c r="G56" s="91" t="s">
        <v>315</v>
      </c>
      <c r="H56" s="91" t="s">
        <v>278</v>
      </c>
      <c r="I56" s="93"/>
    </row>
    <row r="57" spans="1:9" hidden="1">
      <c r="A57" s="94">
        <v>45693</v>
      </c>
      <c r="B57" s="95" t="s">
        <v>335</v>
      </c>
      <c r="C57" s="95" t="s">
        <v>313</v>
      </c>
      <c r="D57" s="95" t="s">
        <v>336</v>
      </c>
      <c r="E57" s="95" t="s">
        <v>320</v>
      </c>
      <c r="F57" s="96" t="s">
        <v>439</v>
      </c>
      <c r="G57" s="95" t="s">
        <v>303</v>
      </c>
      <c r="H57" s="95" t="s">
        <v>278</v>
      </c>
      <c r="I57" s="97"/>
    </row>
    <row r="58" spans="1:9" hidden="1">
      <c r="A58" s="90">
        <v>45693</v>
      </c>
      <c r="B58" s="91" t="s">
        <v>304</v>
      </c>
      <c r="C58" s="91" t="s">
        <v>91</v>
      </c>
      <c r="D58" s="91"/>
      <c r="E58" s="91" t="s">
        <v>301</v>
      </c>
      <c r="F58" s="92" t="s">
        <v>440</v>
      </c>
      <c r="G58" s="91" t="s">
        <v>303</v>
      </c>
      <c r="H58" s="91" t="s">
        <v>278</v>
      </c>
      <c r="I58" s="93"/>
    </row>
    <row r="59" spans="1:9" hidden="1">
      <c r="A59" s="94">
        <v>45694</v>
      </c>
      <c r="B59" s="95" t="s">
        <v>345</v>
      </c>
      <c r="C59" s="95" t="s">
        <v>346</v>
      </c>
      <c r="D59" s="95" t="s">
        <v>347</v>
      </c>
      <c r="E59" s="95" t="s">
        <v>288</v>
      </c>
      <c r="F59" s="96" t="s">
        <v>441</v>
      </c>
      <c r="G59" s="95" t="s">
        <v>375</v>
      </c>
      <c r="H59" s="95" t="s">
        <v>278</v>
      </c>
      <c r="I59" s="97"/>
    </row>
    <row r="60" spans="1:9" hidden="1">
      <c r="A60" s="90">
        <v>45694</v>
      </c>
      <c r="B60" s="91" t="s">
        <v>442</v>
      </c>
      <c r="C60" s="91" t="s">
        <v>91</v>
      </c>
      <c r="D60" s="91"/>
      <c r="E60" s="91" t="s">
        <v>320</v>
      </c>
      <c r="F60" s="92" t="s">
        <v>443</v>
      </c>
      <c r="G60" s="91" t="s">
        <v>315</v>
      </c>
      <c r="H60" s="91" t="s">
        <v>278</v>
      </c>
      <c r="I60" s="93"/>
    </row>
    <row r="61" spans="1:9" hidden="1">
      <c r="A61" s="94">
        <v>45695</v>
      </c>
      <c r="B61" s="95" t="s">
        <v>444</v>
      </c>
      <c r="C61" s="95" t="s">
        <v>445</v>
      </c>
      <c r="D61" s="95" t="s">
        <v>446</v>
      </c>
      <c r="E61" s="95" t="s">
        <v>447</v>
      </c>
      <c r="F61" s="96" t="s">
        <v>448</v>
      </c>
      <c r="G61" s="95" t="s">
        <v>351</v>
      </c>
      <c r="H61" s="95" t="s">
        <v>278</v>
      </c>
      <c r="I61" s="97"/>
    </row>
    <row r="62" spans="1:9" hidden="1">
      <c r="A62" s="90">
        <v>45695</v>
      </c>
      <c r="B62" s="91" t="s">
        <v>449</v>
      </c>
      <c r="C62" s="91" t="s">
        <v>450</v>
      </c>
      <c r="D62" s="91" t="s">
        <v>451</v>
      </c>
      <c r="E62" s="91" t="s">
        <v>320</v>
      </c>
      <c r="F62" s="92" t="s">
        <v>452</v>
      </c>
      <c r="G62" s="91" t="s">
        <v>303</v>
      </c>
      <c r="H62" s="91" t="s">
        <v>278</v>
      </c>
      <c r="I62" s="93"/>
    </row>
    <row r="63" spans="1:9" hidden="1">
      <c r="A63" s="94">
        <v>45696</v>
      </c>
      <c r="B63" s="95" t="s">
        <v>453</v>
      </c>
      <c r="C63" s="95" t="s">
        <v>91</v>
      </c>
      <c r="D63" s="95"/>
      <c r="E63" s="95" t="s">
        <v>288</v>
      </c>
      <c r="F63" s="96" t="s">
        <v>454</v>
      </c>
      <c r="G63" s="95" t="s">
        <v>303</v>
      </c>
      <c r="H63" s="95" t="s">
        <v>278</v>
      </c>
      <c r="I63" s="97"/>
    </row>
    <row r="64" spans="1:9" hidden="1">
      <c r="A64" s="90">
        <v>45696</v>
      </c>
      <c r="B64" s="91" t="s">
        <v>293</v>
      </c>
      <c r="C64" s="91" t="s">
        <v>409</v>
      </c>
      <c r="D64" s="91" t="s">
        <v>295</v>
      </c>
      <c r="E64" s="91" t="s">
        <v>288</v>
      </c>
      <c r="F64" s="92" t="s">
        <v>455</v>
      </c>
      <c r="G64" s="91" t="s">
        <v>303</v>
      </c>
      <c r="H64" s="91" t="s">
        <v>278</v>
      </c>
      <c r="I64" s="93"/>
    </row>
    <row r="65" spans="1:9" hidden="1">
      <c r="A65" s="94">
        <v>45699</v>
      </c>
      <c r="B65" s="95" t="s">
        <v>456</v>
      </c>
      <c r="C65" s="95" t="s">
        <v>457</v>
      </c>
      <c r="D65" s="95" t="s">
        <v>458</v>
      </c>
      <c r="E65" s="95" t="s">
        <v>320</v>
      </c>
      <c r="F65" s="96" t="s">
        <v>459</v>
      </c>
      <c r="G65" s="95" t="s">
        <v>365</v>
      </c>
      <c r="H65" s="95" t="s">
        <v>278</v>
      </c>
      <c r="I65" s="97"/>
    </row>
    <row r="66" spans="1:9" hidden="1">
      <c r="A66" s="90">
        <v>45701</v>
      </c>
      <c r="B66" s="91" t="s">
        <v>460</v>
      </c>
      <c r="C66" s="91"/>
      <c r="D66" s="91" t="s">
        <v>461</v>
      </c>
      <c r="E66" s="91" t="s">
        <v>288</v>
      </c>
      <c r="F66" s="92" t="s">
        <v>462</v>
      </c>
      <c r="G66" s="91" t="s">
        <v>375</v>
      </c>
      <c r="H66" s="91" t="s">
        <v>278</v>
      </c>
      <c r="I66" s="93"/>
    </row>
    <row r="67" spans="1:9" hidden="1">
      <c r="A67" s="94">
        <v>45701</v>
      </c>
      <c r="B67" s="95" t="s">
        <v>463</v>
      </c>
      <c r="C67" s="95" t="s">
        <v>464</v>
      </c>
      <c r="D67" s="95" t="s">
        <v>465</v>
      </c>
      <c r="E67" s="95" t="s">
        <v>320</v>
      </c>
      <c r="F67" s="96" t="s">
        <v>466</v>
      </c>
      <c r="G67" s="95" t="s">
        <v>384</v>
      </c>
      <c r="H67" s="95" t="s">
        <v>278</v>
      </c>
      <c r="I67" s="97"/>
    </row>
    <row r="68" spans="1:9" hidden="1">
      <c r="A68" s="90">
        <v>45701</v>
      </c>
      <c r="B68" s="91" t="s">
        <v>467</v>
      </c>
      <c r="C68" s="91" t="s">
        <v>468</v>
      </c>
      <c r="D68" s="91" t="s">
        <v>469</v>
      </c>
      <c r="E68" s="91" t="s">
        <v>320</v>
      </c>
      <c r="F68" s="92" t="s">
        <v>470</v>
      </c>
      <c r="G68" s="91" t="s">
        <v>384</v>
      </c>
      <c r="H68" s="91" t="s">
        <v>278</v>
      </c>
      <c r="I68" s="93"/>
    </row>
    <row r="69" spans="1:9" hidden="1">
      <c r="A69" s="94">
        <v>45701</v>
      </c>
      <c r="B69" s="95" t="s">
        <v>453</v>
      </c>
      <c r="C69" s="95" t="s">
        <v>471</v>
      </c>
      <c r="D69" s="95" t="s">
        <v>472</v>
      </c>
      <c r="E69" s="95" t="s">
        <v>320</v>
      </c>
      <c r="F69" s="96" t="s">
        <v>473</v>
      </c>
      <c r="G69" s="95" t="s">
        <v>384</v>
      </c>
      <c r="H69" s="95" t="s">
        <v>278</v>
      </c>
      <c r="I69" s="97"/>
    </row>
    <row r="70" spans="1:9" hidden="1">
      <c r="A70" s="90">
        <v>45702</v>
      </c>
      <c r="B70" s="91" t="s">
        <v>474</v>
      </c>
      <c r="C70" s="91" t="s">
        <v>475</v>
      </c>
      <c r="D70" s="91" t="s">
        <v>476</v>
      </c>
      <c r="E70" s="91" t="s">
        <v>320</v>
      </c>
      <c r="F70" s="92" t="s">
        <v>477</v>
      </c>
      <c r="G70" s="91" t="s">
        <v>303</v>
      </c>
      <c r="H70" s="91" t="s">
        <v>278</v>
      </c>
      <c r="I70" s="93"/>
    </row>
    <row r="71" spans="1:9" hidden="1">
      <c r="A71" s="94">
        <v>45705</v>
      </c>
      <c r="B71" s="95" t="s">
        <v>478</v>
      </c>
      <c r="C71" s="95" t="s">
        <v>479</v>
      </c>
      <c r="D71" s="95" t="s">
        <v>480</v>
      </c>
      <c r="E71" s="95" t="s">
        <v>320</v>
      </c>
      <c r="F71" s="96" t="s">
        <v>481</v>
      </c>
      <c r="G71" s="95" t="s">
        <v>303</v>
      </c>
      <c r="H71" s="95" t="s">
        <v>278</v>
      </c>
      <c r="I71" s="97"/>
    </row>
    <row r="72" spans="1:9" hidden="1">
      <c r="A72" s="90">
        <v>45705</v>
      </c>
      <c r="B72" s="91" t="s">
        <v>482</v>
      </c>
      <c r="C72" s="91" t="s">
        <v>483</v>
      </c>
      <c r="D72" s="91" t="s">
        <v>484</v>
      </c>
      <c r="E72" s="91" t="s">
        <v>288</v>
      </c>
      <c r="F72" s="92" t="s">
        <v>485</v>
      </c>
      <c r="G72" s="91" t="s">
        <v>384</v>
      </c>
      <c r="H72" s="91" t="s">
        <v>278</v>
      </c>
      <c r="I72" s="93"/>
    </row>
    <row r="73" spans="1:9" hidden="1">
      <c r="A73" s="94">
        <v>45705</v>
      </c>
      <c r="B73" s="95" t="s">
        <v>419</v>
      </c>
      <c r="C73" s="95" t="s">
        <v>486</v>
      </c>
      <c r="D73" s="95" t="s">
        <v>155</v>
      </c>
      <c r="E73" s="95" t="s">
        <v>301</v>
      </c>
      <c r="F73" s="96" t="s">
        <v>487</v>
      </c>
      <c r="G73" s="95" t="s">
        <v>315</v>
      </c>
      <c r="H73" s="95" t="s">
        <v>278</v>
      </c>
      <c r="I73" s="97"/>
    </row>
    <row r="74" spans="1:9" hidden="1">
      <c r="A74" s="90">
        <v>45705</v>
      </c>
      <c r="B74" s="91" t="s">
        <v>488</v>
      </c>
      <c r="C74" s="91" t="s">
        <v>91</v>
      </c>
      <c r="D74" s="91"/>
      <c r="E74" s="91" t="s">
        <v>288</v>
      </c>
      <c r="F74" s="92" t="s">
        <v>489</v>
      </c>
      <c r="G74" s="91" t="s">
        <v>315</v>
      </c>
      <c r="H74" s="91" t="s">
        <v>278</v>
      </c>
      <c r="I74" s="93"/>
    </row>
    <row r="75" spans="1:9" hidden="1">
      <c r="A75" s="94">
        <v>45706</v>
      </c>
      <c r="B75" s="95" t="s">
        <v>380</v>
      </c>
      <c r="C75" s="95" t="s">
        <v>464</v>
      </c>
      <c r="D75" s="95" t="s">
        <v>382</v>
      </c>
      <c r="E75" s="95" t="s">
        <v>301</v>
      </c>
      <c r="F75" s="96" t="s">
        <v>490</v>
      </c>
      <c r="G75" s="95" t="s">
        <v>384</v>
      </c>
      <c r="H75" s="95" t="s">
        <v>278</v>
      </c>
      <c r="I75" s="97"/>
    </row>
    <row r="76" spans="1:9" hidden="1">
      <c r="A76" s="90">
        <v>45706</v>
      </c>
      <c r="B76" s="91" t="s">
        <v>491</v>
      </c>
      <c r="C76" s="91" t="s">
        <v>492</v>
      </c>
      <c r="D76" s="91" t="s">
        <v>493</v>
      </c>
      <c r="E76" s="91" t="s">
        <v>447</v>
      </c>
      <c r="F76" s="92" t="s">
        <v>494</v>
      </c>
      <c r="G76" s="91" t="s">
        <v>351</v>
      </c>
      <c r="H76" s="91" t="s">
        <v>278</v>
      </c>
      <c r="I76" s="93"/>
    </row>
    <row r="77" spans="1:9" hidden="1">
      <c r="A77" s="94">
        <v>45706</v>
      </c>
      <c r="B77" s="95" t="s">
        <v>495</v>
      </c>
      <c r="C77" s="95" t="s">
        <v>163</v>
      </c>
      <c r="D77" s="95"/>
      <c r="E77" s="95" t="s">
        <v>447</v>
      </c>
      <c r="F77" s="147" t="s">
        <v>496</v>
      </c>
      <c r="G77" s="95" t="s">
        <v>351</v>
      </c>
      <c r="H77" s="95" t="s">
        <v>278</v>
      </c>
      <c r="I77" s="97"/>
    </row>
    <row r="78" spans="1:9" hidden="1">
      <c r="A78" s="90">
        <v>45706</v>
      </c>
      <c r="B78" s="91" t="s">
        <v>497</v>
      </c>
      <c r="C78" s="91" t="s">
        <v>409</v>
      </c>
      <c r="D78" s="91" t="s">
        <v>295</v>
      </c>
      <c r="E78" s="91" t="s">
        <v>320</v>
      </c>
      <c r="F78" s="92" t="s">
        <v>498</v>
      </c>
      <c r="G78" s="91" t="s">
        <v>384</v>
      </c>
      <c r="H78" s="91" t="s">
        <v>278</v>
      </c>
      <c r="I78" s="93"/>
    </row>
    <row r="79" spans="1:9" hidden="1">
      <c r="A79" s="94">
        <v>45706</v>
      </c>
      <c r="B79" s="95" t="s">
        <v>316</v>
      </c>
      <c r="C79" s="95" t="s">
        <v>499</v>
      </c>
      <c r="D79" s="95"/>
      <c r="E79" s="95" t="s">
        <v>320</v>
      </c>
      <c r="F79" s="96" t="s">
        <v>500</v>
      </c>
      <c r="G79" s="95" t="s">
        <v>384</v>
      </c>
      <c r="H79" s="95" t="s">
        <v>278</v>
      </c>
      <c r="I79" s="97"/>
    </row>
    <row r="80" spans="1:9" hidden="1">
      <c r="A80" s="90">
        <v>45707</v>
      </c>
      <c r="B80" s="91" t="s">
        <v>283</v>
      </c>
      <c r="C80" s="91" t="s">
        <v>91</v>
      </c>
      <c r="D80" s="91"/>
      <c r="E80" s="91" t="s">
        <v>301</v>
      </c>
      <c r="F80" s="92" t="s">
        <v>501</v>
      </c>
      <c r="G80" s="91" t="s">
        <v>384</v>
      </c>
      <c r="H80" s="91" t="s">
        <v>278</v>
      </c>
      <c r="I80" s="93"/>
    </row>
    <row r="81" spans="1:9" hidden="1">
      <c r="A81" s="94">
        <v>45707</v>
      </c>
      <c r="B81" s="95" t="s">
        <v>502</v>
      </c>
      <c r="C81" s="95" t="s">
        <v>503</v>
      </c>
      <c r="D81" s="95" t="s">
        <v>504</v>
      </c>
      <c r="E81" s="95" t="s">
        <v>320</v>
      </c>
      <c r="F81" s="148" t="s">
        <v>505</v>
      </c>
      <c r="G81" s="95" t="s">
        <v>365</v>
      </c>
      <c r="H81" s="95" t="s">
        <v>278</v>
      </c>
      <c r="I81" s="97"/>
    </row>
    <row r="82" spans="1:9" hidden="1">
      <c r="A82" s="90">
        <v>45707</v>
      </c>
      <c r="B82" s="91" t="s">
        <v>506</v>
      </c>
      <c r="C82" s="91" t="s">
        <v>464</v>
      </c>
      <c r="D82" s="91" t="s">
        <v>382</v>
      </c>
      <c r="E82" s="91" t="s">
        <v>320</v>
      </c>
      <c r="F82" s="92" t="s">
        <v>507</v>
      </c>
      <c r="G82" s="91" t="s">
        <v>384</v>
      </c>
      <c r="H82" s="91" t="s">
        <v>278</v>
      </c>
      <c r="I82" s="93"/>
    </row>
    <row r="83" spans="1:9" hidden="1">
      <c r="A83" s="94">
        <v>45707</v>
      </c>
      <c r="B83" s="95" t="s">
        <v>279</v>
      </c>
      <c r="C83" s="95" t="s">
        <v>508</v>
      </c>
      <c r="D83" s="95" t="s">
        <v>281</v>
      </c>
      <c r="E83" s="95" t="s">
        <v>320</v>
      </c>
      <c r="F83" s="96" t="s">
        <v>509</v>
      </c>
      <c r="G83" s="95" t="s">
        <v>384</v>
      </c>
      <c r="H83" s="95" t="s">
        <v>278</v>
      </c>
      <c r="I83" s="97"/>
    </row>
    <row r="84" spans="1:9" hidden="1">
      <c r="A84" s="90">
        <v>45707</v>
      </c>
      <c r="B84" s="91" t="s">
        <v>352</v>
      </c>
      <c r="C84" s="91" t="s">
        <v>91</v>
      </c>
      <c r="D84" s="91"/>
      <c r="E84" s="91" t="s">
        <v>320</v>
      </c>
      <c r="F84" s="92" t="s">
        <v>510</v>
      </c>
      <c r="G84" s="91" t="s">
        <v>384</v>
      </c>
      <c r="H84" s="91" t="s">
        <v>278</v>
      </c>
      <c r="I84" s="93"/>
    </row>
    <row r="85" spans="1:9" hidden="1">
      <c r="A85" s="94">
        <v>45707</v>
      </c>
      <c r="B85" s="95" t="s">
        <v>511</v>
      </c>
      <c r="C85" s="95" t="s">
        <v>512</v>
      </c>
      <c r="D85" s="95" t="s">
        <v>513</v>
      </c>
      <c r="E85" s="95" t="s">
        <v>288</v>
      </c>
      <c r="F85" s="96" t="s">
        <v>514</v>
      </c>
      <c r="G85" s="95" t="s">
        <v>384</v>
      </c>
      <c r="H85" s="95" t="s">
        <v>278</v>
      </c>
      <c r="I85" s="97"/>
    </row>
    <row r="86" spans="1:9" hidden="1">
      <c r="A86" s="90">
        <v>45707</v>
      </c>
      <c r="B86" s="91" t="s">
        <v>326</v>
      </c>
      <c r="C86" s="91" t="s">
        <v>91</v>
      </c>
      <c r="D86" s="91" t="s">
        <v>91</v>
      </c>
      <c r="E86" s="91" t="s">
        <v>320</v>
      </c>
      <c r="F86" s="92" t="s">
        <v>515</v>
      </c>
      <c r="G86" s="91" t="s">
        <v>384</v>
      </c>
      <c r="H86" s="91" t="s">
        <v>278</v>
      </c>
      <c r="I86" s="93"/>
    </row>
    <row r="87" spans="1:9" hidden="1">
      <c r="A87" s="94">
        <v>45708</v>
      </c>
      <c r="B87" s="95" t="s">
        <v>380</v>
      </c>
      <c r="C87" s="95" t="s">
        <v>464</v>
      </c>
      <c r="D87" s="95" t="s">
        <v>382</v>
      </c>
      <c r="E87" s="95" t="s">
        <v>320</v>
      </c>
      <c r="F87" s="96" t="s">
        <v>516</v>
      </c>
      <c r="G87" s="95" t="s">
        <v>303</v>
      </c>
      <c r="H87" s="95" t="s">
        <v>278</v>
      </c>
      <c r="I87" s="97"/>
    </row>
    <row r="88" spans="1:9" hidden="1">
      <c r="A88" s="90">
        <v>45708</v>
      </c>
      <c r="B88" s="91" t="s">
        <v>517</v>
      </c>
      <c r="C88" s="91" t="s">
        <v>91</v>
      </c>
      <c r="D88" s="91"/>
      <c r="E88" s="91" t="s">
        <v>288</v>
      </c>
      <c r="F88" s="92" t="s">
        <v>518</v>
      </c>
      <c r="G88" s="91" t="s">
        <v>303</v>
      </c>
      <c r="H88" s="91" t="s">
        <v>278</v>
      </c>
      <c r="I88" s="93"/>
    </row>
    <row r="89" spans="1:9" hidden="1">
      <c r="A89" s="94">
        <v>45710</v>
      </c>
      <c r="B89" s="95" t="s">
        <v>387</v>
      </c>
      <c r="C89" s="95" t="s">
        <v>519</v>
      </c>
      <c r="D89" s="95" t="s">
        <v>309</v>
      </c>
      <c r="E89" s="95" t="s">
        <v>320</v>
      </c>
      <c r="F89" s="96" t="s">
        <v>520</v>
      </c>
      <c r="G89" s="95" t="s">
        <v>303</v>
      </c>
      <c r="H89" s="95" t="s">
        <v>278</v>
      </c>
      <c r="I89" s="97"/>
    </row>
    <row r="90" spans="1:9" hidden="1">
      <c r="A90" s="90">
        <v>45710</v>
      </c>
      <c r="B90" s="91" t="s">
        <v>521</v>
      </c>
      <c r="C90" s="91" t="s">
        <v>522</v>
      </c>
      <c r="D90" s="91" t="s">
        <v>343</v>
      </c>
      <c r="E90" s="91" t="s">
        <v>320</v>
      </c>
      <c r="F90" s="92" t="s">
        <v>523</v>
      </c>
      <c r="G90" s="91" t="s">
        <v>303</v>
      </c>
      <c r="H90" s="91" t="s">
        <v>278</v>
      </c>
      <c r="I90" s="93"/>
    </row>
    <row r="91" spans="1:9" hidden="1">
      <c r="A91" s="94">
        <v>45711</v>
      </c>
      <c r="B91" s="95" t="s">
        <v>298</v>
      </c>
      <c r="C91" s="95" t="s">
        <v>524</v>
      </c>
      <c r="D91" s="95" t="s">
        <v>300</v>
      </c>
      <c r="E91" s="95" t="s">
        <v>301</v>
      </c>
      <c r="F91" s="96" t="s">
        <v>525</v>
      </c>
      <c r="G91" s="95" t="s">
        <v>303</v>
      </c>
      <c r="H91" s="95" t="s">
        <v>278</v>
      </c>
      <c r="I91" s="97"/>
    </row>
    <row r="92" spans="1:9" hidden="1">
      <c r="A92" s="90">
        <v>45712</v>
      </c>
      <c r="B92" s="91" t="s">
        <v>526</v>
      </c>
      <c r="C92" s="91" t="s">
        <v>91</v>
      </c>
      <c r="D92" s="91"/>
      <c r="E92" s="91" t="s">
        <v>301</v>
      </c>
      <c r="F92" s="92" t="s">
        <v>527</v>
      </c>
      <c r="G92" s="91" t="s">
        <v>375</v>
      </c>
      <c r="H92" s="91" t="s">
        <v>278</v>
      </c>
      <c r="I92" s="93"/>
    </row>
    <row r="93" spans="1:9" hidden="1">
      <c r="A93" s="94">
        <v>45713</v>
      </c>
      <c r="B93" s="95" t="s">
        <v>528</v>
      </c>
      <c r="C93" s="95" t="s">
        <v>529</v>
      </c>
      <c r="D93" s="95" t="s">
        <v>530</v>
      </c>
      <c r="E93" s="95" t="s">
        <v>320</v>
      </c>
      <c r="F93" s="96" t="s">
        <v>531</v>
      </c>
      <c r="G93" s="95" t="s">
        <v>384</v>
      </c>
      <c r="H93" s="95" t="s">
        <v>278</v>
      </c>
      <c r="I93" s="97"/>
    </row>
    <row r="94" spans="1:9" hidden="1">
      <c r="A94" s="90">
        <v>45713</v>
      </c>
      <c r="B94" s="91" t="s">
        <v>532</v>
      </c>
      <c r="C94" s="91" t="s">
        <v>475</v>
      </c>
      <c r="D94" s="91" t="s">
        <v>461</v>
      </c>
      <c r="E94" s="91" t="s">
        <v>301</v>
      </c>
      <c r="F94" s="92" t="s">
        <v>533</v>
      </c>
      <c r="G94" s="91" t="s">
        <v>375</v>
      </c>
      <c r="H94" s="91" t="s">
        <v>278</v>
      </c>
      <c r="I94" s="93"/>
    </row>
    <row r="95" spans="1:9" hidden="1">
      <c r="A95" s="94">
        <v>45714</v>
      </c>
      <c r="B95" s="95" t="s">
        <v>534</v>
      </c>
      <c r="C95" s="95" t="s">
        <v>535</v>
      </c>
      <c r="D95" s="95" t="s">
        <v>536</v>
      </c>
      <c r="E95" s="95" t="s">
        <v>320</v>
      </c>
      <c r="F95" s="96" t="s">
        <v>537</v>
      </c>
      <c r="G95" s="95" t="s">
        <v>384</v>
      </c>
      <c r="H95" s="95" t="s">
        <v>278</v>
      </c>
      <c r="I95" s="97"/>
    </row>
    <row r="96" spans="1:9" hidden="1">
      <c r="A96" s="90">
        <v>45714</v>
      </c>
      <c r="B96" s="91" t="s">
        <v>538</v>
      </c>
      <c r="C96" s="91" t="s">
        <v>409</v>
      </c>
      <c r="D96" s="91" t="s">
        <v>295</v>
      </c>
      <c r="E96" s="91" t="s">
        <v>320</v>
      </c>
      <c r="F96" s="92" t="s">
        <v>539</v>
      </c>
      <c r="G96" s="91" t="s">
        <v>384</v>
      </c>
      <c r="H96" s="91" t="s">
        <v>278</v>
      </c>
      <c r="I96" s="93"/>
    </row>
    <row r="97" spans="1:9" hidden="1">
      <c r="A97" s="94">
        <v>45714</v>
      </c>
      <c r="B97" s="95" t="s">
        <v>517</v>
      </c>
      <c r="C97" s="95" t="s">
        <v>91</v>
      </c>
      <c r="D97" s="95"/>
      <c r="E97" s="95" t="s">
        <v>320</v>
      </c>
      <c r="F97" s="96" t="s">
        <v>540</v>
      </c>
      <c r="G97" s="95" t="s">
        <v>384</v>
      </c>
      <c r="H97" s="95" t="s">
        <v>278</v>
      </c>
      <c r="I97" s="97"/>
    </row>
    <row r="98" spans="1:9" hidden="1">
      <c r="A98" s="90">
        <v>45715</v>
      </c>
      <c r="B98" s="91" t="s">
        <v>541</v>
      </c>
      <c r="C98" s="91" t="s">
        <v>542</v>
      </c>
      <c r="D98" s="91" t="s">
        <v>543</v>
      </c>
      <c r="E98" s="91" t="s">
        <v>320</v>
      </c>
      <c r="F98" s="92" t="s">
        <v>544</v>
      </c>
      <c r="G98" s="91" t="s">
        <v>303</v>
      </c>
      <c r="H98" s="91" t="s">
        <v>278</v>
      </c>
      <c r="I98" s="93"/>
    </row>
    <row r="99" spans="1:9" hidden="1">
      <c r="A99" s="94">
        <v>45715</v>
      </c>
      <c r="B99" s="95" t="s">
        <v>287</v>
      </c>
      <c r="C99" s="95"/>
      <c r="D99" s="95"/>
      <c r="E99" s="95" t="s">
        <v>288</v>
      </c>
      <c r="F99" s="96" t="s">
        <v>545</v>
      </c>
      <c r="G99" s="95" t="s">
        <v>303</v>
      </c>
      <c r="H99" s="95" t="s">
        <v>278</v>
      </c>
      <c r="I99" s="97"/>
    </row>
    <row r="100" spans="1:9" hidden="1">
      <c r="A100" s="90">
        <v>45716</v>
      </c>
      <c r="B100" s="91" t="s">
        <v>546</v>
      </c>
      <c r="C100" s="91" t="s">
        <v>381</v>
      </c>
      <c r="D100" s="91" t="s">
        <v>547</v>
      </c>
      <c r="E100" s="91" t="s">
        <v>288</v>
      </c>
      <c r="F100" s="96" t="s">
        <v>548</v>
      </c>
      <c r="G100" s="91" t="s">
        <v>351</v>
      </c>
      <c r="H100" s="91" t="s">
        <v>278</v>
      </c>
      <c r="I100" s="93"/>
    </row>
    <row r="101" spans="1:9" hidden="1">
      <c r="A101" s="94">
        <v>45716</v>
      </c>
      <c r="B101" s="95" t="s">
        <v>549</v>
      </c>
      <c r="C101" s="95" t="s">
        <v>550</v>
      </c>
      <c r="D101" s="95" t="s">
        <v>551</v>
      </c>
      <c r="E101" s="95" t="s">
        <v>447</v>
      </c>
      <c r="F101" s="96" t="s">
        <v>552</v>
      </c>
      <c r="G101" s="95" t="s">
        <v>351</v>
      </c>
      <c r="H101" s="95" t="s">
        <v>278</v>
      </c>
      <c r="I101" s="97"/>
    </row>
    <row r="102" spans="1:9">
      <c r="A102" s="90">
        <v>45719</v>
      </c>
      <c r="B102" s="91" t="s">
        <v>553</v>
      </c>
      <c r="C102" s="91" t="s">
        <v>91</v>
      </c>
      <c r="D102" s="91"/>
      <c r="E102" s="91" t="s">
        <v>320</v>
      </c>
      <c r="F102" s="92" t="s">
        <v>554</v>
      </c>
      <c r="G102" s="91" t="s">
        <v>303</v>
      </c>
      <c r="H102" s="91" t="s">
        <v>278</v>
      </c>
      <c r="I102" s="93"/>
    </row>
    <row r="103" spans="1:9">
      <c r="A103" s="94">
        <v>45719</v>
      </c>
      <c r="B103" s="95" t="s">
        <v>412</v>
      </c>
      <c r="C103" s="95" t="s">
        <v>555</v>
      </c>
      <c r="D103" s="95" t="s">
        <v>556</v>
      </c>
      <c r="E103" s="95" t="s">
        <v>320</v>
      </c>
      <c r="F103" s="96" t="s">
        <v>557</v>
      </c>
      <c r="G103" s="95" t="s">
        <v>303</v>
      </c>
      <c r="H103" s="95" t="s">
        <v>278</v>
      </c>
      <c r="I103" s="97"/>
    </row>
    <row r="104" spans="1:9">
      <c r="A104" s="90">
        <v>45719</v>
      </c>
      <c r="B104" s="91" t="s">
        <v>558</v>
      </c>
      <c r="C104" s="91" t="s">
        <v>559</v>
      </c>
      <c r="D104" s="91" t="s">
        <v>560</v>
      </c>
      <c r="E104" s="91" t="s">
        <v>288</v>
      </c>
      <c r="F104" s="92" t="s">
        <v>561</v>
      </c>
      <c r="G104" s="91" t="s">
        <v>303</v>
      </c>
      <c r="H104" s="91" t="s">
        <v>278</v>
      </c>
      <c r="I104" s="93"/>
    </row>
    <row r="105" spans="1:9">
      <c r="A105" s="94">
        <v>45719</v>
      </c>
      <c r="B105" s="95" t="s">
        <v>526</v>
      </c>
      <c r="C105" s="95"/>
      <c r="D105" s="95"/>
      <c r="E105" s="95"/>
      <c r="F105" s="96"/>
      <c r="G105" s="95"/>
      <c r="H105" s="95"/>
      <c r="I105" s="97"/>
    </row>
    <row r="106" spans="1:9">
      <c r="A106" s="90">
        <v>45720</v>
      </c>
      <c r="B106" s="91" t="s">
        <v>562</v>
      </c>
      <c r="C106" s="91" t="s">
        <v>563</v>
      </c>
      <c r="D106" s="91" t="s">
        <v>564</v>
      </c>
      <c r="E106" s="91" t="s">
        <v>288</v>
      </c>
      <c r="F106" s="92" t="s">
        <v>565</v>
      </c>
      <c r="G106" s="91" t="s">
        <v>297</v>
      </c>
      <c r="H106" s="91" t="s">
        <v>278</v>
      </c>
      <c r="I106" s="93"/>
    </row>
    <row r="107" spans="1:9">
      <c r="A107" s="94">
        <v>45720</v>
      </c>
      <c r="B107" s="95" t="s">
        <v>566</v>
      </c>
      <c r="C107" s="95" t="s">
        <v>273</v>
      </c>
      <c r="D107" s="95" t="s">
        <v>567</v>
      </c>
      <c r="E107" s="95" t="s">
        <v>320</v>
      </c>
      <c r="F107" s="96" t="s">
        <v>568</v>
      </c>
      <c r="G107" s="95" t="s">
        <v>365</v>
      </c>
      <c r="H107" s="95" t="s">
        <v>278</v>
      </c>
      <c r="I107" s="97"/>
    </row>
    <row r="108" spans="1:9">
      <c r="A108" s="90">
        <v>45722</v>
      </c>
      <c r="B108" s="91" t="s">
        <v>569</v>
      </c>
      <c r="C108" s="91" t="s">
        <v>570</v>
      </c>
      <c r="D108" s="91" t="s">
        <v>504</v>
      </c>
      <c r="E108" s="91" t="s">
        <v>288</v>
      </c>
      <c r="F108" s="92" t="s">
        <v>571</v>
      </c>
      <c r="G108" s="91" t="s">
        <v>315</v>
      </c>
      <c r="H108" s="91" t="s">
        <v>278</v>
      </c>
      <c r="I108" s="93"/>
    </row>
    <row r="109" spans="1:9">
      <c r="A109" s="94">
        <v>45722</v>
      </c>
      <c r="B109" s="95" t="s">
        <v>572</v>
      </c>
      <c r="C109" s="95" t="s">
        <v>91</v>
      </c>
      <c r="D109" s="95"/>
      <c r="E109" s="95" t="s">
        <v>301</v>
      </c>
      <c r="F109" s="96" t="s">
        <v>573</v>
      </c>
      <c r="G109" s="95" t="s">
        <v>315</v>
      </c>
      <c r="H109" s="95" t="s">
        <v>278</v>
      </c>
      <c r="I109" s="97"/>
    </row>
    <row r="110" spans="1:9">
      <c r="A110" s="90">
        <v>45724</v>
      </c>
      <c r="B110" s="91" t="s">
        <v>574</v>
      </c>
      <c r="C110" s="91" t="s">
        <v>575</v>
      </c>
      <c r="D110" s="91" t="s">
        <v>576</v>
      </c>
      <c r="E110" s="91" t="s">
        <v>320</v>
      </c>
      <c r="F110" s="92" t="s">
        <v>577</v>
      </c>
      <c r="G110" s="91" t="s">
        <v>384</v>
      </c>
      <c r="H110" s="91" t="s">
        <v>278</v>
      </c>
      <c r="I110" s="93"/>
    </row>
    <row r="111" spans="1:9">
      <c r="A111" s="94">
        <v>45724</v>
      </c>
      <c r="B111" s="95" t="s">
        <v>298</v>
      </c>
      <c r="C111" s="95" t="s">
        <v>524</v>
      </c>
      <c r="D111" s="95" t="s">
        <v>300</v>
      </c>
      <c r="E111" s="95" t="s">
        <v>288</v>
      </c>
      <c r="F111" s="96" t="s">
        <v>578</v>
      </c>
      <c r="G111" s="95" t="s">
        <v>384</v>
      </c>
      <c r="H111" s="91" t="s">
        <v>278</v>
      </c>
      <c r="I111" s="97"/>
    </row>
    <row r="112" spans="1:9">
      <c r="A112" s="90">
        <v>45724</v>
      </c>
      <c r="B112" s="91" t="s">
        <v>579</v>
      </c>
      <c r="C112" s="91" t="s">
        <v>91</v>
      </c>
      <c r="D112" s="91"/>
      <c r="E112" s="91" t="s">
        <v>580</v>
      </c>
      <c r="F112" s="92" t="s">
        <v>581</v>
      </c>
      <c r="G112" s="91" t="s">
        <v>290</v>
      </c>
      <c r="H112" s="91" t="s">
        <v>278</v>
      </c>
      <c r="I112" s="93"/>
    </row>
    <row r="113" spans="1:9">
      <c r="A113" s="94">
        <v>45724</v>
      </c>
      <c r="B113" s="95" t="s">
        <v>368</v>
      </c>
      <c r="C113" s="95"/>
      <c r="D113" s="95"/>
      <c r="E113" s="95" t="s">
        <v>288</v>
      </c>
      <c r="F113" s="149" t="s">
        <v>582</v>
      </c>
      <c r="G113" s="95" t="s">
        <v>290</v>
      </c>
      <c r="H113" s="95" t="s">
        <v>278</v>
      </c>
      <c r="I113" s="97"/>
    </row>
    <row r="114" spans="1:9">
      <c r="A114" s="90">
        <v>45725</v>
      </c>
      <c r="B114" s="91" t="s">
        <v>583</v>
      </c>
      <c r="C114" s="91" t="s">
        <v>584</v>
      </c>
      <c r="D114" s="91" t="s">
        <v>300</v>
      </c>
      <c r="E114" s="91" t="s">
        <v>288</v>
      </c>
      <c r="F114" s="92" t="s">
        <v>585</v>
      </c>
      <c r="G114" s="91" t="s">
        <v>303</v>
      </c>
      <c r="H114" s="91" t="s">
        <v>278</v>
      </c>
      <c r="I114" s="93"/>
    </row>
    <row r="115" spans="1:9">
      <c r="A115" s="94">
        <v>45725</v>
      </c>
      <c r="B115" s="95" t="s">
        <v>326</v>
      </c>
      <c r="C115" s="95" t="s">
        <v>91</v>
      </c>
      <c r="D115" s="95"/>
      <c r="E115" s="95" t="s">
        <v>320</v>
      </c>
      <c r="F115" s="96" t="s">
        <v>586</v>
      </c>
      <c r="G115" s="95" t="s">
        <v>303</v>
      </c>
      <c r="H115" s="95" t="s">
        <v>278</v>
      </c>
      <c r="I115" s="97"/>
    </row>
    <row r="116" spans="1:9">
      <c r="A116" s="90">
        <v>45726</v>
      </c>
      <c r="B116" s="91" t="s">
        <v>335</v>
      </c>
      <c r="C116" s="91" t="s">
        <v>512</v>
      </c>
      <c r="D116" s="91" t="s">
        <v>336</v>
      </c>
      <c r="E116" s="91" t="s">
        <v>275</v>
      </c>
      <c r="F116" s="92" t="s">
        <v>587</v>
      </c>
      <c r="G116" s="91" t="s">
        <v>277</v>
      </c>
      <c r="H116" s="91" t="s">
        <v>278</v>
      </c>
      <c r="I116" s="93"/>
    </row>
    <row r="117" spans="1:9">
      <c r="A117" s="94">
        <v>45726</v>
      </c>
      <c r="B117" s="95" t="s">
        <v>308</v>
      </c>
      <c r="C117" s="95" t="s">
        <v>519</v>
      </c>
      <c r="D117" s="95"/>
      <c r="E117" s="95" t="s">
        <v>288</v>
      </c>
      <c r="F117" s="96" t="s">
        <v>588</v>
      </c>
      <c r="G117" s="95" t="s">
        <v>303</v>
      </c>
      <c r="H117" s="95" t="s">
        <v>278</v>
      </c>
      <c r="I117" s="97"/>
    </row>
    <row r="118" spans="1:9">
      <c r="A118" s="90">
        <v>45727</v>
      </c>
      <c r="B118" s="91" t="s">
        <v>526</v>
      </c>
      <c r="C118" s="91" t="s">
        <v>377</v>
      </c>
      <c r="D118" s="91" t="s">
        <v>446</v>
      </c>
      <c r="E118" s="91" t="s">
        <v>301</v>
      </c>
      <c r="F118" s="92" t="s">
        <v>589</v>
      </c>
      <c r="G118" s="91" t="s">
        <v>303</v>
      </c>
      <c r="H118" s="91" t="s">
        <v>278</v>
      </c>
      <c r="I118" s="93"/>
    </row>
    <row r="119" spans="1:9">
      <c r="A119" s="94">
        <v>45727</v>
      </c>
      <c r="B119" s="95" t="s">
        <v>590</v>
      </c>
      <c r="C119" s="95" t="s">
        <v>591</v>
      </c>
      <c r="D119" s="95" t="s">
        <v>343</v>
      </c>
      <c r="E119" s="95" t="s">
        <v>320</v>
      </c>
      <c r="F119" s="96" t="s">
        <v>592</v>
      </c>
      <c r="G119" s="95" t="s">
        <v>303</v>
      </c>
      <c r="H119" s="95" t="s">
        <v>278</v>
      </c>
      <c r="I119" s="97"/>
    </row>
    <row r="120" spans="1:9">
      <c r="A120" s="90">
        <v>45728</v>
      </c>
      <c r="B120" s="91" t="s">
        <v>593</v>
      </c>
      <c r="C120" s="91" t="s">
        <v>594</v>
      </c>
      <c r="D120" s="91" t="s">
        <v>595</v>
      </c>
      <c r="E120" s="91" t="s">
        <v>320</v>
      </c>
      <c r="F120" s="92" t="s">
        <v>596</v>
      </c>
      <c r="G120" s="91" t="s">
        <v>384</v>
      </c>
      <c r="H120" s="91" t="s">
        <v>278</v>
      </c>
      <c r="I120" s="93"/>
    </row>
    <row r="121" spans="1:9">
      <c r="A121" s="94">
        <v>45728</v>
      </c>
      <c r="B121" s="95" t="s">
        <v>298</v>
      </c>
      <c r="C121" s="95" t="s">
        <v>524</v>
      </c>
      <c r="D121" s="95" t="s">
        <v>300</v>
      </c>
      <c r="E121" s="95" t="s">
        <v>288</v>
      </c>
      <c r="F121" s="96" t="s">
        <v>597</v>
      </c>
      <c r="G121" s="95" t="s">
        <v>290</v>
      </c>
      <c r="H121" s="95" t="s">
        <v>278</v>
      </c>
      <c r="I121" s="97"/>
    </row>
    <row r="122" spans="1:9">
      <c r="A122" s="90">
        <v>45728</v>
      </c>
      <c r="B122" s="91" t="s">
        <v>598</v>
      </c>
      <c r="C122" s="91" t="s">
        <v>377</v>
      </c>
      <c r="D122" s="91" t="s">
        <v>437</v>
      </c>
      <c r="E122" s="91" t="s">
        <v>320</v>
      </c>
      <c r="F122" s="92" t="s">
        <v>599</v>
      </c>
      <c r="G122" s="91" t="s">
        <v>384</v>
      </c>
      <c r="H122" s="91" t="s">
        <v>278</v>
      </c>
      <c r="I122" s="93"/>
    </row>
    <row r="123" spans="1:9">
      <c r="A123" s="94">
        <v>45728</v>
      </c>
      <c r="B123" s="95" t="s">
        <v>600</v>
      </c>
      <c r="C123" s="95" t="s">
        <v>601</v>
      </c>
      <c r="D123" s="95" t="s">
        <v>602</v>
      </c>
      <c r="E123" s="95" t="s">
        <v>320</v>
      </c>
      <c r="F123" s="96" t="s">
        <v>603</v>
      </c>
      <c r="G123" s="95" t="s">
        <v>384</v>
      </c>
      <c r="H123" s="95" t="s">
        <v>278</v>
      </c>
      <c r="I123" s="97"/>
    </row>
    <row r="124" spans="1:9">
      <c r="A124" s="90">
        <v>45728</v>
      </c>
      <c r="B124" s="91" t="s">
        <v>526</v>
      </c>
      <c r="C124" s="91" t="s">
        <v>604</v>
      </c>
      <c r="D124" s="91" t="s">
        <v>446</v>
      </c>
      <c r="E124" s="91" t="s">
        <v>320</v>
      </c>
      <c r="F124" s="92" t="s">
        <v>605</v>
      </c>
      <c r="G124" s="91" t="s">
        <v>384</v>
      </c>
      <c r="H124" s="91" t="s">
        <v>278</v>
      </c>
      <c r="I124" s="93"/>
    </row>
    <row r="125" spans="1:9">
      <c r="A125" s="94">
        <v>45730</v>
      </c>
      <c r="B125" s="95" t="s">
        <v>606</v>
      </c>
      <c r="C125" s="95" t="s">
        <v>91</v>
      </c>
      <c r="D125" s="95"/>
      <c r="E125" s="95" t="s">
        <v>275</v>
      </c>
      <c r="F125" s="96" t="s">
        <v>607</v>
      </c>
      <c r="G125" s="95" t="s">
        <v>608</v>
      </c>
      <c r="H125" s="95" t="s">
        <v>278</v>
      </c>
      <c r="I125" s="97"/>
    </row>
    <row r="126" spans="1:9">
      <c r="A126" s="90">
        <v>45730</v>
      </c>
      <c r="B126" s="91" t="s">
        <v>609</v>
      </c>
      <c r="C126" s="91" t="s">
        <v>610</v>
      </c>
      <c r="D126" s="91" t="s">
        <v>611</v>
      </c>
      <c r="E126" s="91" t="s">
        <v>320</v>
      </c>
      <c r="F126" s="92" t="s">
        <v>612</v>
      </c>
      <c r="G126" s="91" t="s">
        <v>303</v>
      </c>
      <c r="H126" s="91" t="s">
        <v>278</v>
      </c>
      <c r="I126" s="93"/>
    </row>
    <row r="127" spans="1:9">
      <c r="A127" s="94">
        <v>45730</v>
      </c>
      <c r="B127" s="95" t="s">
        <v>613</v>
      </c>
      <c r="C127" s="95" t="s">
        <v>512</v>
      </c>
      <c r="D127" s="95" t="s">
        <v>155</v>
      </c>
      <c r="E127" s="95" t="s">
        <v>320</v>
      </c>
      <c r="F127" s="96" t="s">
        <v>614</v>
      </c>
      <c r="G127" s="95" t="s">
        <v>303</v>
      </c>
      <c r="H127" s="95" t="s">
        <v>278</v>
      </c>
      <c r="I127" s="97"/>
    </row>
    <row r="128" spans="1:9">
      <c r="A128" s="90">
        <v>45730</v>
      </c>
      <c r="B128" s="91" t="s">
        <v>615</v>
      </c>
      <c r="C128" s="91" t="s">
        <v>610</v>
      </c>
      <c r="D128" s="91" t="s">
        <v>616</v>
      </c>
      <c r="E128" s="91" t="s">
        <v>288</v>
      </c>
      <c r="F128" s="92" t="s">
        <v>617</v>
      </c>
      <c r="G128" s="91" t="s">
        <v>303</v>
      </c>
      <c r="H128" s="91" t="s">
        <v>278</v>
      </c>
      <c r="I128" s="93"/>
    </row>
    <row r="129" spans="1:9">
      <c r="A129" s="94">
        <v>45730</v>
      </c>
      <c r="B129" s="95" t="s">
        <v>618</v>
      </c>
      <c r="C129" s="95" t="s">
        <v>619</v>
      </c>
      <c r="D129" s="95" t="s">
        <v>620</v>
      </c>
      <c r="E129" s="95" t="s">
        <v>320</v>
      </c>
      <c r="F129" s="149" t="s">
        <v>621</v>
      </c>
      <c r="G129" s="95" t="s">
        <v>622</v>
      </c>
      <c r="H129" s="95" t="s">
        <v>278</v>
      </c>
      <c r="I129" s="97"/>
    </row>
    <row r="130" spans="1:9">
      <c r="A130" s="90">
        <v>45730</v>
      </c>
      <c r="B130" s="91" t="s">
        <v>283</v>
      </c>
      <c r="C130" s="91" t="s">
        <v>623</v>
      </c>
      <c r="D130" s="91" t="s">
        <v>285</v>
      </c>
      <c r="E130" s="91" t="s">
        <v>320</v>
      </c>
      <c r="F130" s="92" t="s">
        <v>624</v>
      </c>
      <c r="G130" s="91" t="s">
        <v>303</v>
      </c>
      <c r="H130" s="91" t="s">
        <v>278</v>
      </c>
      <c r="I130" s="93"/>
    </row>
    <row r="131" spans="1:9">
      <c r="A131" s="94">
        <v>45734</v>
      </c>
      <c r="B131" s="95" t="s">
        <v>625</v>
      </c>
      <c r="C131" s="95" t="s">
        <v>626</v>
      </c>
      <c r="D131" s="95" t="s">
        <v>627</v>
      </c>
      <c r="E131" s="95" t="s">
        <v>320</v>
      </c>
      <c r="F131" s="96" t="s">
        <v>628</v>
      </c>
      <c r="G131" s="95" t="s">
        <v>303</v>
      </c>
      <c r="H131" s="95" t="s">
        <v>278</v>
      </c>
      <c r="I131" s="97"/>
    </row>
    <row r="132" spans="1:9">
      <c r="A132" s="90">
        <v>45734</v>
      </c>
      <c r="B132" s="91" t="s">
        <v>629</v>
      </c>
      <c r="C132" s="91" t="s">
        <v>555</v>
      </c>
      <c r="D132" s="91"/>
      <c r="E132" s="91" t="s">
        <v>320</v>
      </c>
      <c r="F132" s="92"/>
      <c r="G132" s="91"/>
      <c r="H132" s="91"/>
      <c r="I132" s="93"/>
    </row>
    <row r="133" spans="1:9">
      <c r="A133" s="94">
        <v>45734</v>
      </c>
      <c r="B133" s="95" t="s">
        <v>630</v>
      </c>
      <c r="C133" s="95" t="s">
        <v>377</v>
      </c>
      <c r="D133" s="95" t="s">
        <v>631</v>
      </c>
      <c r="E133" s="95" t="s">
        <v>275</v>
      </c>
      <c r="F133" s="96" t="s">
        <v>632</v>
      </c>
      <c r="G133" s="95" t="s">
        <v>633</v>
      </c>
      <c r="H133" s="95" t="s">
        <v>634</v>
      </c>
      <c r="I133" s="97"/>
    </row>
    <row r="134" spans="1:9">
      <c r="A134" s="90">
        <v>45734</v>
      </c>
      <c r="B134" s="91" t="s">
        <v>12</v>
      </c>
      <c r="C134" s="91" t="s">
        <v>635</v>
      </c>
      <c r="D134" s="91" t="s">
        <v>636</v>
      </c>
      <c r="E134" s="91" t="s">
        <v>320</v>
      </c>
      <c r="F134" s="92" t="s">
        <v>637</v>
      </c>
      <c r="G134" s="91" t="s">
        <v>315</v>
      </c>
      <c r="H134" s="91" t="s">
        <v>278</v>
      </c>
      <c r="I134" s="93"/>
    </row>
    <row r="135" spans="1:9">
      <c r="A135" s="94">
        <v>45735</v>
      </c>
      <c r="B135" s="95" t="s">
        <v>298</v>
      </c>
      <c r="C135" s="95" t="s">
        <v>524</v>
      </c>
      <c r="D135" s="95" t="s">
        <v>300</v>
      </c>
      <c r="E135" s="95" t="s">
        <v>320</v>
      </c>
      <c r="F135" s="96" t="s">
        <v>638</v>
      </c>
      <c r="G135" s="95" t="s">
        <v>384</v>
      </c>
      <c r="H135" s="95" t="s">
        <v>278</v>
      </c>
      <c r="I135" s="97"/>
    </row>
    <row r="136" spans="1:9" ht="45" customHeight="1">
      <c r="A136" s="90">
        <v>45735</v>
      </c>
      <c r="B136" s="91" t="s">
        <v>639</v>
      </c>
      <c r="C136" s="91" t="s">
        <v>313</v>
      </c>
      <c r="D136" s="91" t="s">
        <v>640</v>
      </c>
      <c r="E136" s="91" t="s">
        <v>320</v>
      </c>
      <c r="F136" s="146" t="s">
        <v>641</v>
      </c>
      <c r="G136" s="91" t="s">
        <v>384</v>
      </c>
      <c r="H136" s="91" t="s">
        <v>278</v>
      </c>
      <c r="I136" s="93"/>
    </row>
    <row r="137" spans="1:9">
      <c r="A137" s="94">
        <v>45735</v>
      </c>
      <c r="B137" s="95" t="s">
        <v>566</v>
      </c>
      <c r="C137" s="95" t="s">
        <v>519</v>
      </c>
      <c r="D137" s="95" t="s">
        <v>567</v>
      </c>
      <c r="E137" s="95" t="s">
        <v>301</v>
      </c>
      <c r="F137" s="96" t="s">
        <v>642</v>
      </c>
      <c r="G137" s="95" t="s">
        <v>643</v>
      </c>
      <c r="H137" s="95" t="s">
        <v>278</v>
      </c>
      <c r="I137" s="97"/>
    </row>
    <row r="138" spans="1:9">
      <c r="A138" s="90">
        <v>45735</v>
      </c>
      <c r="B138" s="91" t="s">
        <v>644</v>
      </c>
      <c r="C138" s="91" t="s">
        <v>591</v>
      </c>
      <c r="D138" s="91" t="s">
        <v>343</v>
      </c>
      <c r="E138" s="91" t="s">
        <v>320</v>
      </c>
      <c r="F138" s="92" t="s">
        <v>645</v>
      </c>
      <c r="G138" s="91" t="s">
        <v>384</v>
      </c>
      <c r="H138" s="91" t="s">
        <v>278</v>
      </c>
      <c r="I138" s="93"/>
    </row>
    <row r="139" spans="1:9">
      <c r="A139" s="94">
        <v>45735</v>
      </c>
      <c r="B139" s="95" t="s">
        <v>521</v>
      </c>
      <c r="C139" s="95" t="s">
        <v>646</v>
      </c>
      <c r="D139" s="95" t="s">
        <v>343</v>
      </c>
      <c r="E139" s="95" t="s">
        <v>320</v>
      </c>
      <c r="F139" s="96" t="s">
        <v>647</v>
      </c>
      <c r="G139" s="95" t="s">
        <v>622</v>
      </c>
      <c r="H139" s="95" t="s">
        <v>278</v>
      </c>
      <c r="I139" s="97"/>
    </row>
    <row r="140" spans="1:9">
      <c r="A140" s="90">
        <v>45737</v>
      </c>
      <c r="B140" s="91" t="s">
        <v>648</v>
      </c>
      <c r="C140" s="91" t="s">
        <v>649</v>
      </c>
      <c r="D140" s="91" t="s">
        <v>650</v>
      </c>
      <c r="E140" s="91" t="s">
        <v>275</v>
      </c>
      <c r="F140" s="92" t="s">
        <v>651</v>
      </c>
      <c r="G140" s="95" t="s">
        <v>652</v>
      </c>
      <c r="H140" s="91" t="s">
        <v>278</v>
      </c>
      <c r="I140" s="93"/>
    </row>
    <row r="141" spans="1:9">
      <c r="A141" s="94">
        <v>45737</v>
      </c>
      <c r="B141" s="95" t="s">
        <v>653</v>
      </c>
      <c r="C141" s="95" t="s">
        <v>654</v>
      </c>
      <c r="D141" s="95" t="s">
        <v>655</v>
      </c>
      <c r="E141" s="95" t="s">
        <v>320</v>
      </c>
      <c r="F141" s="96" t="s">
        <v>656</v>
      </c>
      <c r="G141" s="95" t="s">
        <v>657</v>
      </c>
      <c r="H141" s="95" t="s">
        <v>278</v>
      </c>
      <c r="I141" s="97"/>
    </row>
    <row r="142" spans="1:9">
      <c r="A142" s="90">
        <v>45737</v>
      </c>
      <c r="B142" s="91" t="s">
        <v>572</v>
      </c>
      <c r="C142" s="91" t="s">
        <v>91</v>
      </c>
      <c r="D142" s="91"/>
      <c r="E142" s="91" t="s">
        <v>275</v>
      </c>
      <c r="F142" s="92" t="s">
        <v>658</v>
      </c>
      <c r="G142" s="91" t="s">
        <v>277</v>
      </c>
      <c r="H142" s="91" t="s">
        <v>278</v>
      </c>
      <c r="I142" s="93"/>
    </row>
    <row r="143" spans="1:9">
      <c r="A143" s="94">
        <v>45737</v>
      </c>
      <c r="B143" s="95" t="s">
        <v>659</v>
      </c>
      <c r="C143" s="95" t="s">
        <v>492</v>
      </c>
      <c r="D143" s="95" t="s">
        <v>660</v>
      </c>
      <c r="E143" s="95" t="s">
        <v>320</v>
      </c>
      <c r="F143" s="96" t="s">
        <v>661</v>
      </c>
      <c r="G143" s="95" t="s">
        <v>662</v>
      </c>
      <c r="H143" s="95" t="s">
        <v>278</v>
      </c>
      <c r="I143" s="97"/>
    </row>
    <row r="144" spans="1:9">
      <c r="A144" s="90">
        <v>45737</v>
      </c>
      <c r="B144" s="91" t="s">
        <v>663</v>
      </c>
      <c r="C144" s="91" t="s">
        <v>664</v>
      </c>
      <c r="D144" s="91" t="s">
        <v>665</v>
      </c>
      <c r="E144" s="91" t="s">
        <v>301</v>
      </c>
      <c r="F144" s="92" t="s">
        <v>666</v>
      </c>
      <c r="G144" s="91" t="s">
        <v>662</v>
      </c>
      <c r="H144" s="91" t="s">
        <v>278</v>
      </c>
      <c r="I144" s="93"/>
    </row>
    <row r="145" spans="1:9">
      <c r="A145" s="94">
        <v>45738</v>
      </c>
      <c r="B145" s="95" t="s">
        <v>521</v>
      </c>
      <c r="C145" s="95" t="s">
        <v>646</v>
      </c>
      <c r="D145" s="95" t="s">
        <v>343</v>
      </c>
      <c r="E145" s="95" t="s">
        <v>320</v>
      </c>
      <c r="F145" s="96" t="s">
        <v>667</v>
      </c>
      <c r="G145" s="95" t="s">
        <v>384</v>
      </c>
      <c r="H145" s="95" t="s">
        <v>278</v>
      </c>
      <c r="I145" s="97"/>
    </row>
    <row r="146" spans="1:9">
      <c r="A146" s="90">
        <v>45738</v>
      </c>
      <c r="B146" s="91" t="s">
        <v>298</v>
      </c>
      <c r="C146" s="91" t="s">
        <v>524</v>
      </c>
      <c r="D146" s="91" t="s">
        <v>300</v>
      </c>
      <c r="E146" s="91" t="s">
        <v>288</v>
      </c>
      <c r="F146" s="92" t="s">
        <v>668</v>
      </c>
      <c r="G146" s="91" t="s">
        <v>297</v>
      </c>
      <c r="H146" s="91" t="s">
        <v>278</v>
      </c>
      <c r="I146" s="93"/>
    </row>
    <row r="147" spans="1:9">
      <c r="A147" s="94">
        <v>45738</v>
      </c>
      <c r="B147" s="95" t="s">
        <v>579</v>
      </c>
      <c r="C147" s="95" t="s">
        <v>91</v>
      </c>
      <c r="D147" s="95"/>
      <c r="E147" s="95" t="s">
        <v>301</v>
      </c>
      <c r="F147" s="96" t="s">
        <v>669</v>
      </c>
      <c r="G147" s="95" t="s">
        <v>315</v>
      </c>
      <c r="H147" s="95" t="s">
        <v>278</v>
      </c>
      <c r="I147" s="97"/>
    </row>
    <row r="148" spans="1:9">
      <c r="A148" s="90">
        <v>45741</v>
      </c>
      <c r="B148" s="91"/>
      <c r="C148" s="91" t="s">
        <v>623</v>
      </c>
      <c r="D148" s="91" t="s">
        <v>285</v>
      </c>
      <c r="E148" s="91" t="s">
        <v>320</v>
      </c>
      <c r="F148" s="92" t="s">
        <v>670</v>
      </c>
      <c r="G148" s="91" t="s">
        <v>303</v>
      </c>
      <c r="H148" s="91" t="s">
        <v>278</v>
      </c>
      <c r="I148" s="93"/>
    </row>
    <row r="149" spans="1:9">
      <c r="A149" s="94">
        <v>45741</v>
      </c>
      <c r="B149" s="95" t="s">
        <v>671</v>
      </c>
      <c r="C149" s="95" t="s">
        <v>475</v>
      </c>
      <c r="D149" s="95" t="s">
        <v>476</v>
      </c>
      <c r="E149" s="95" t="s">
        <v>288</v>
      </c>
      <c r="F149" s="96" t="s">
        <v>672</v>
      </c>
      <c r="G149" s="95" t="s">
        <v>303</v>
      </c>
      <c r="H149" s="95" t="s">
        <v>278</v>
      </c>
      <c r="I149" s="97"/>
    </row>
    <row r="150" spans="1:9">
      <c r="A150" s="90">
        <v>45741</v>
      </c>
      <c r="B150" s="91" t="s">
        <v>673</v>
      </c>
      <c r="C150" s="91" t="s">
        <v>674</v>
      </c>
      <c r="D150" s="91" t="s">
        <v>675</v>
      </c>
      <c r="E150" s="91" t="s">
        <v>320</v>
      </c>
      <c r="F150" s="92" t="s">
        <v>676</v>
      </c>
      <c r="G150" s="91" t="s">
        <v>303</v>
      </c>
      <c r="H150" s="91" t="s">
        <v>278</v>
      </c>
      <c r="I150" s="93"/>
    </row>
    <row r="151" spans="1:9">
      <c r="A151" s="94">
        <v>45741</v>
      </c>
      <c r="B151" s="95" t="s">
        <v>677</v>
      </c>
      <c r="C151" s="95"/>
      <c r="D151" s="95"/>
      <c r="E151" s="95" t="s">
        <v>678</v>
      </c>
      <c r="F151" s="96" t="s">
        <v>679</v>
      </c>
      <c r="G151" s="95"/>
      <c r="H151" s="95" t="s">
        <v>634</v>
      </c>
      <c r="I151" s="97"/>
    </row>
    <row r="152" spans="1:9">
      <c r="A152" s="90">
        <v>45742</v>
      </c>
      <c r="B152" s="91" t="s">
        <v>393</v>
      </c>
      <c r="C152" s="91" t="s">
        <v>424</v>
      </c>
      <c r="D152" s="91" t="s">
        <v>395</v>
      </c>
      <c r="E152" s="91" t="s">
        <v>288</v>
      </c>
      <c r="F152" s="92" t="s">
        <v>680</v>
      </c>
      <c r="G152" s="91" t="s">
        <v>303</v>
      </c>
      <c r="H152" s="91" t="s">
        <v>278</v>
      </c>
      <c r="I152" s="93"/>
    </row>
    <row r="153" spans="1:9">
      <c r="A153" s="94">
        <v>45743</v>
      </c>
      <c r="B153" s="95" t="s">
        <v>625</v>
      </c>
      <c r="C153" s="95" t="s">
        <v>512</v>
      </c>
      <c r="D153" s="95" t="s">
        <v>627</v>
      </c>
      <c r="E153" s="95" t="s">
        <v>301</v>
      </c>
      <c r="F153" s="96" t="s">
        <v>681</v>
      </c>
      <c r="G153" s="95" t="s">
        <v>384</v>
      </c>
      <c r="H153" s="95" t="s">
        <v>278</v>
      </c>
      <c r="I153" s="97"/>
    </row>
    <row r="154" spans="1:9">
      <c r="A154" s="90">
        <v>45744</v>
      </c>
      <c r="B154" s="91" t="s">
        <v>312</v>
      </c>
      <c r="C154" s="91" t="s">
        <v>499</v>
      </c>
      <c r="D154" s="91" t="s">
        <v>499</v>
      </c>
      <c r="E154" s="91" t="s">
        <v>288</v>
      </c>
      <c r="F154" s="92" t="s">
        <v>682</v>
      </c>
      <c r="G154" s="91" t="s">
        <v>277</v>
      </c>
      <c r="H154" s="91" t="s">
        <v>278</v>
      </c>
      <c r="I154" s="93"/>
    </row>
    <row r="155" spans="1:9">
      <c r="A155" s="94">
        <v>45744</v>
      </c>
      <c r="B155" s="95" t="s">
        <v>683</v>
      </c>
      <c r="C155" s="95" t="s">
        <v>464</v>
      </c>
      <c r="D155" s="95"/>
      <c r="E155" s="95" t="s">
        <v>320</v>
      </c>
      <c r="F155" s="96" t="s">
        <v>684</v>
      </c>
      <c r="G155" s="95" t="s">
        <v>277</v>
      </c>
      <c r="H155" s="95" t="s">
        <v>278</v>
      </c>
      <c r="I155" s="97"/>
    </row>
    <row r="156" spans="1:9" ht="60">
      <c r="A156" s="90">
        <v>45745</v>
      </c>
      <c r="B156" s="91"/>
      <c r="C156" s="91" t="s">
        <v>91</v>
      </c>
      <c r="D156" s="91"/>
      <c r="E156" s="91" t="s">
        <v>320</v>
      </c>
      <c r="F156" s="146" t="s">
        <v>685</v>
      </c>
      <c r="G156" s="91" t="s">
        <v>315</v>
      </c>
      <c r="H156" s="91" t="s">
        <v>278</v>
      </c>
      <c r="I156" s="93"/>
    </row>
    <row r="157" spans="1:9" ht="40">
      <c r="A157" s="94">
        <v>45747</v>
      </c>
      <c r="B157" s="95"/>
      <c r="C157" s="95" t="s">
        <v>381</v>
      </c>
      <c r="D157" s="95" t="s">
        <v>686</v>
      </c>
      <c r="E157" s="95" t="s">
        <v>301</v>
      </c>
      <c r="F157" s="150" t="s">
        <v>687</v>
      </c>
      <c r="G157" s="95" t="s">
        <v>375</v>
      </c>
      <c r="H157" s="95" t="s">
        <v>278</v>
      </c>
      <c r="I157" s="97"/>
    </row>
    <row r="158" spans="1:9">
      <c r="A158" s="90">
        <v>45747</v>
      </c>
      <c r="B158" s="91"/>
      <c r="C158" s="91" t="s">
        <v>381</v>
      </c>
      <c r="D158" s="91" t="s">
        <v>567</v>
      </c>
      <c r="E158" s="91" t="s">
        <v>447</v>
      </c>
      <c r="F158" s="92" t="s">
        <v>688</v>
      </c>
      <c r="G158" s="91" t="s">
        <v>351</v>
      </c>
      <c r="H158" s="91" t="s">
        <v>278</v>
      </c>
      <c r="I158" s="93"/>
    </row>
    <row r="159" spans="1:9">
      <c r="A159" s="94">
        <v>45747</v>
      </c>
      <c r="B159" s="95"/>
      <c r="C159" s="95" t="s">
        <v>445</v>
      </c>
      <c r="D159" s="95" t="s">
        <v>446</v>
      </c>
      <c r="E159" s="95" t="s">
        <v>320</v>
      </c>
      <c r="F159" s="96" t="s">
        <v>689</v>
      </c>
      <c r="G159" s="95" t="s">
        <v>375</v>
      </c>
      <c r="H159" s="95" t="s">
        <v>278</v>
      </c>
      <c r="I159" s="97"/>
    </row>
    <row r="160" spans="1:9">
      <c r="A160" s="90">
        <v>45747</v>
      </c>
      <c r="B160" s="91"/>
      <c r="C160" s="91" t="s">
        <v>313</v>
      </c>
      <c r="D160" s="91" t="s">
        <v>690</v>
      </c>
      <c r="E160" s="91" t="s">
        <v>301</v>
      </c>
      <c r="F160" s="92" t="s">
        <v>691</v>
      </c>
      <c r="G160" s="91" t="s">
        <v>303</v>
      </c>
      <c r="H160" s="91" t="s">
        <v>278</v>
      </c>
      <c r="I160" s="93"/>
    </row>
    <row r="161" spans="1:9">
      <c r="A161" s="94">
        <v>45747</v>
      </c>
      <c r="B161" s="95"/>
      <c r="C161" s="95" t="s">
        <v>313</v>
      </c>
      <c r="D161" s="95" t="s">
        <v>640</v>
      </c>
      <c r="E161" s="95" t="s">
        <v>288</v>
      </c>
      <c r="F161" s="96" t="s">
        <v>692</v>
      </c>
      <c r="G161" s="95" t="s">
        <v>303</v>
      </c>
      <c r="H161" s="95" t="s">
        <v>278</v>
      </c>
      <c r="I161" s="97"/>
    </row>
    <row r="162" spans="1:9">
      <c r="A162" s="90">
        <v>45748</v>
      </c>
      <c r="B162" s="91"/>
      <c r="C162" s="91" t="s">
        <v>313</v>
      </c>
      <c r="D162" s="91" t="s">
        <v>493</v>
      </c>
      <c r="E162" s="91" t="s">
        <v>320</v>
      </c>
      <c r="F162" s="92" t="s">
        <v>693</v>
      </c>
      <c r="G162" s="91" t="s">
        <v>303</v>
      </c>
      <c r="H162" s="91" t="s">
        <v>278</v>
      </c>
      <c r="I162" s="93"/>
    </row>
    <row r="163" spans="1:9">
      <c r="A163" s="94">
        <v>45748</v>
      </c>
      <c r="B163" s="95"/>
      <c r="C163" s="95" t="s">
        <v>409</v>
      </c>
      <c r="D163" s="95" t="s">
        <v>295</v>
      </c>
      <c r="E163" s="95" t="s">
        <v>320</v>
      </c>
      <c r="F163" s="96" t="s">
        <v>694</v>
      </c>
      <c r="G163" s="95" t="s">
        <v>303</v>
      </c>
      <c r="H163" s="95" t="s">
        <v>278</v>
      </c>
      <c r="I163" s="97"/>
    </row>
    <row r="164" spans="1:9">
      <c r="A164" s="90">
        <v>45748</v>
      </c>
      <c r="B164" s="91"/>
      <c r="C164" s="91" t="s">
        <v>695</v>
      </c>
      <c r="D164" s="91"/>
      <c r="E164" s="91" t="s">
        <v>320</v>
      </c>
      <c r="F164" s="151" t="s">
        <v>696</v>
      </c>
      <c r="G164" s="91" t="s">
        <v>303</v>
      </c>
      <c r="H164" s="91" t="s">
        <v>278</v>
      </c>
      <c r="I164" s="93"/>
    </row>
    <row r="165" spans="1:9">
      <c r="A165" s="94"/>
      <c r="B165" s="95"/>
      <c r="C165" s="95"/>
      <c r="D165" s="95"/>
      <c r="E165" s="95"/>
      <c r="F165" s="96"/>
      <c r="G165" s="95"/>
      <c r="H165" s="95"/>
      <c r="I165" s="97"/>
    </row>
    <row r="166" spans="1:9">
      <c r="A166" s="90"/>
      <c r="B166" s="91"/>
      <c r="C166" s="91"/>
      <c r="D166" s="91"/>
      <c r="E166" s="91"/>
      <c r="F166" s="92"/>
      <c r="G166" s="91"/>
      <c r="H166" s="91"/>
      <c r="I166" s="93"/>
    </row>
    <row r="167" spans="1:9">
      <c r="A167" s="94"/>
      <c r="B167" s="95"/>
      <c r="C167" s="95"/>
      <c r="D167" s="95"/>
      <c r="E167" s="95"/>
      <c r="F167" s="96"/>
      <c r="G167" s="95"/>
      <c r="H167" s="95"/>
      <c r="I167" s="97"/>
    </row>
    <row r="168" spans="1:9">
      <c r="A168" s="90"/>
      <c r="B168" s="91"/>
      <c r="C168" s="91"/>
      <c r="D168" s="91"/>
      <c r="E168" s="91"/>
      <c r="F168" s="92"/>
      <c r="G168" s="91"/>
      <c r="H168" s="91"/>
      <c r="I168" s="93"/>
    </row>
    <row r="169" spans="1:9">
      <c r="A169" s="94"/>
      <c r="B169" s="95"/>
      <c r="C169" s="95"/>
      <c r="D169" s="95"/>
      <c r="E169" s="95"/>
      <c r="F169" s="96"/>
      <c r="G169" s="95"/>
      <c r="H169" s="95"/>
      <c r="I169" s="97"/>
    </row>
    <row r="170" spans="1:9">
      <c r="A170" s="90"/>
      <c r="B170" s="91"/>
      <c r="C170" s="91"/>
      <c r="D170" s="91"/>
      <c r="E170" s="91"/>
      <c r="F170" s="92"/>
      <c r="G170" s="91"/>
      <c r="H170" s="91"/>
      <c r="I170" s="93"/>
    </row>
    <row r="171" spans="1:9">
      <c r="A171" s="94"/>
      <c r="B171" s="95"/>
      <c r="C171" s="95"/>
      <c r="D171" s="95"/>
      <c r="E171" s="95"/>
      <c r="F171" s="96"/>
      <c r="G171" s="95"/>
      <c r="H171" s="95"/>
      <c r="I171" s="97"/>
    </row>
    <row r="172" spans="1:9">
      <c r="A172" s="90"/>
      <c r="B172" s="91"/>
      <c r="C172" s="91"/>
      <c r="D172" s="91"/>
      <c r="E172" s="91"/>
      <c r="F172" s="92"/>
      <c r="G172" s="91"/>
      <c r="H172" s="91"/>
      <c r="I172" s="93"/>
    </row>
    <row r="173" spans="1:9">
      <c r="A173" s="94"/>
      <c r="B173" s="95"/>
      <c r="C173" s="95"/>
      <c r="D173" s="95"/>
      <c r="E173" s="95"/>
      <c r="F173" s="96"/>
      <c r="G173" s="95"/>
      <c r="H173" s="95"/>
      <c r="I173" s="97"/>
    </row>
    <row r="174" spans="1:9">
      <c r="A174" s="90"/>
      <c r="B174" s="91"/>
      <c r="C174" s="91"/>
      <c r="D174" s="91"/>
      <c r="E174" s="91"/>
      <c r="F174" s="92"/>
      <c r="G174" s="91"/>
      <c r="H174" s="91"/>
      <c r="I174" s="93"/>
    </row>
    <row r="175" spans="1:9">
      <c r="A175" s="94"/>
      <c r="B175" s="95"/>
      <c r="C175" s="95"/>
      <c r="D175" s="95"/>
      <c r="E175" s="95"/>
      <c r="F175" s="96"/>
      <c r="G175" s="95"/>
      <c r="H175" s="95"/>
      <c r="I175" s="97"/>
    </row>
    <row r="176" spans="1:9">
      <c r="A176" s="90"/>
      <c r="B176" s="91"/>
      <c r="C176" s="91"/>
      <c r="D176" s="91"/>
      <c r="E176" s="91"/>
      <c r="F176" s="92"/>
      <c r="G176" s="91"/>
      <c r="H176" s="91"/>
      <c r="I176" s="93"/>
    </row>
    <row r="177" spans="1:9">
      <c r="A177" s="94"/>
      <c r="B177" s="95"/>
      <c r="C177" s="95"/>
      <c r="D177" s="95"/>
      <c r="E177" s="95"/>
      <c r="F177" s="96"/>
      <c r="G177" s="95"/>
      <c r="H177" s="95"/>
      <c r="I177" s="97"/>
    </row>
    <row r="178" spans="1:9">
      <c r="A178" s="90"/>
      <c r="B178" s="91"/>
      <c r="C178" s="91"/>
      <c r="D178" s="91"/>
      <c r="E178" s="91"/>
      <c r="F178" s="92"/>
      <c r="G178" s="91"/>
      <c r="H178" s="91"/>
      <c r="I178" s="93"/>
    </row>
    <row r="179" spans="1:9">
      <c r="A179" s="94"/>
      <c r="B179" s="95"/>
      <c r="C179" s="95"/>
      <c r="D179" s="95"/>
      <c r="E179" s="95"/>
      <c r="F179" s="96"/>
      <c r="G179" s="95"/>
      <c r="H179" s="95"/>
      <c r="I179" s="97"/>
    </row>
    <row r="180" spans="1:9">
      <c r="A180" s="90"/>
      <c r="B180" s="91"/>
      <c r="C180" s="91"/>
      <c r="D180" s="91"/>
      <c r="E180" s="91"/>
      <c r="F180" s="92"/>
      <c r="G180" s="91"/>
      <c r="H180" s="91"/>
      <c r="I180" s="93"/>
    </row>
    <row r="181" spans="1:9">
      <c r="A181" s="94"/>
      <c r="B181" s="95"/>
      <c r="C181" s="95"/>
      <c r="D181" s="95"/>
      <c r="E181" s="95"/>
      <c r="F181" s="96"/>
      <c r="G181" s="95"/>
      <c r="H181" s="95"/>
      <c r="I181" s="97"/>
    </row>
    <row r="182" spans="1:9">
      <c r="A182" s="90"/>
      <c r="B182" s="91"/>
      <c r="C182" s="91"/>
      <c r="D182" s="91"/>
      <c r="E182" s="91"/>
      <c r="F182" s="92"/>
      <c r="G182" s="91"/>
      <c r="H182" s="91"/>
      <c r="I182" s="93"/>
    </row>
    <row r="183" spans="1:9">
      <c r="A183" s="94"/>
      <c r="B183" s="95"/>
      <c r="C183" s="95"/>
      <c r="D183" s="95"/>
      <c r="E183" s="95"/>
      <c r="F183" s="96"/>
      <c r="G183" s="95"/>
      <c r="H183" s="95"/>
      <c r="I183" s="97"/>
    </row>
    <row r="184" spans="1:9">
      <c r="A184" s="90"/>
      <c r="B184" s="91"/>
      <c r="C184" s="91"/>
      <c r="D184" s="91"/>
      <c r="E184" s="91"/>
      <c r="F184" s="92"/>
      <c r="G184" s="91"/>
      <c r="H184" s="91"/>
      <c r="I184" s="93"/>
    </row>
    <row r="185" spans="1:9">
      <c r="A185" s="94"/>
      <c r="B185" s="95"/>
      <c r="C185" s="95"/>
      <c r="D185" s="95"/>
      <c r="E185" s="95"/>
      <c r="F185" s="96"/>
      <c r="G185" s="95"/>
      <c r="H185" s="95"/>
      <c r="I185" s="97"/>
    </row>
    <row r="186" spans="1:9">
      <c r="A186" s="90"/>
      <c r="B186" s="91"/>
      <c r="C186" s="91"/>
      <c r="D186" s="91"/>
      <c r="E186" s="91"/>
      <c r="F186" s="92"/>
      <c r="G186" s="91"/>
      <c r="H186" s="91"/>
      <c r="I186" s="93"/>
    </row>
    <row r="187" spans="1:9">
      <c r="A187" s="94"/>
      <c r="B187" s="95"/>
      <c r="C187" s="95"/>
      <c r="D187" s="95"/>
      <c r="E187" s="95"/>
      <c r="F187" s="96"/>
      <c r="G187" s="95"/>
      <c r="H187" s="95"/>
      <c r="I187" s="97"/>
    </row>
    <row r="188" spans="1:9">
      <c r="A188" s="90"/>
      <c r="B188" s="91"/>
      <c r="C188" s="91"/>
      <c r="D188" s="91"/>
      <c r="E188" s="91"/>
      <c r="F188" s="92"/>
      <c r="G188" s="91"/>
      <c r="H188" s="91"/>
      <c r="I188" s="93"/>
    </row>
    <row r="189" spans="1:9">
      <c r="A189" s="94"/>
      <c r="B189" s="95"/>
      <c r="C189" s="95"/>
      <c r="D189" s="95"/>
      <c r="E189" s="95"/>
      <c r="F189" s="96"/>
      <c r="G189" s="95"/>
      <c r="H189" s="95"/>
      <c r="I189" s="97"/>
    </row>
    <row r="190" spans="1:9">
      <c r="A190" s="90"/>
      <c r="B190" s="91"/>
      <c r="C190" s="91"/>
      <c r="D190" s="91"/>
      <c r="E190" s="91"/>
      <c r="F190" s="92"/>
      <c r="G190" s="91"/>
      <c r="H190" s="91"/>
      <c r="I190" s="93"/>
    </row>
    <row r="191" spans="1:9">
      <c r="A191" s="94"/>
      <c r="B191" s="95"/>
      <c r="C191" s="95"/>
      <c r="D191" s="95"/>
      <c r="E191" s="95"/>
      <c r="F191" s="96"/>
      <c r="G191" s="95"/>
      <c r="H191" s="95"/>
      <c r="I191" s="97"/>
    </row>
    <row r="192" spans="1:9">
      <c r="A192" s="90"/>
      <c r="B192" s="91"/>
      <c r="C192" s="91"/>
      <c r="D192" s="91"/>
      <c r="E192" s="91"/>
      <c r="F192" s="92"/>
      <c r="G192" s="91"/>
      <c r="H192" s="91"/>
      <c r="I192" s="93"/>
    </row>
    <row r="193" spans="1:9">
      <c r="A193" s="94"/>
      <c r="B193" s="95"/>
      <c r="C193" s="95"/>
      <c r="D193" s="95"/>
      <c r="E193" s="95"/>
      <c r="F193" s="96"/>
      <c r="G193" s="95"/>
      <c r="H193" s="95"/>
      <c r="I193" s="97"/>
    </row>
    <row r="194" spans="1:9">
      <c r="A194" s="90"/>
      <c r="B194" s="91"/>
      <c r="C194" s="91"/>
      <c r="D194" s="91"/>
      <c r="E194" s="91"/>
      <c r="F194" s="92"/>
      <c r="G194" s="91"/>
      <c r="H194" s="91"/>
      <c r="I194" s="93"/>
    </row>
    <row r="195" spans="1:9">
      <c r="A195" s="94"/>
      <c r="B195" s="95"/>
      <c r="C195" s="95"/>
      <c r="D195" s="95"/>
      <c r="E195" s="95"/>
      <c r="F195" s="96"/>
      <c r="G195" s="95"/>
      <c r="H195" s="95"/>
      <c r="I195" s="97"/>
    </row>
    <row r="196" spans="1:9">
      <c r="A196" s="90"/>
      <c r="B196" s="91"/>
      <c r="C196" s="91"/>
      <c r="D196" s="91"/>
      <c r="E196" s="91"/>
      <c r="F196" s="92"/>
      <c r="G196" s="91"/>
      <c r="H196" s="91"/>
      <c r="I196" s="93"/>
    </row>
    <row r="197" spans="1:9">
      <c r="A197" s="94"/>
      <c r="B197" s="95"/>
      <c r="C197" s="95"/>
      <c r="D197" s="95"/>
      <c r="E197" s="95"/>
      <c r="F197" s="96"/>
      <c r="G197" s="95"/>
      <c r="H197" s="95"/>
      <c r="I197" s="97"/>
    </row>
    <row r="198" spans="1:9">
      <c r="A198" s="90"/>
      <c r="B198" s="91"/>
      <c r="C198" s="91"/>
      <c r="D198" s="91"/>
      <c r="E198" s="91"/>
      <c r="F198" s="92"/>
      <c r="G198" s="91"/>
      <c r="H198" s="91"/>
      <c r="I198" s="93"/>
    </row>
    <row r="199" spans="1:9">
      <c r="A199" s="94"/>
      <c r="B199" s="95"/>
      <c r="C199" s="95"/>
      <c r="D199" s="95"/>
      <c r="E199" s="95"/>
      <c r="F199" s="96"/>
      <c r="G199" s="95"/>
      <c r="H199" s="95"/>
      <c r="I199" s="97"/>
    </row>
    <row r="200" spans="1:9">
      <c r="A200" s="90"/>
      <c r="B200" s="91"/>
      <c r="C200" s="91"/>
      <c r="D200" s="91"/>
      <c r="E200" s="91"/>
      <c r="F200" s="92"/>
      <c r="G200" s="91"/>
      <c r="H200" s="91"/>
      <c r="I200" s="93"/>
    </row>
    <row r="201" spans="1:9">
      <c r="A201" s="94"/>
      <c r="B201" s="95"/>
      <c r="C201" s="95"/>
      <c r="D201" s="95"/>
      <c r="E201" s="95"/>
      <c r="F201" s="96"/>
      <c r="G201" s="95"/>
      <c r="H201" s="95"/>
      <c r="I201" s="97"/>
    </row>
    <row r="202" spans="1:9">
      <c r="A202" s="90"/>
      <c r="B202" s="91"/>
      <c r="C202" s="91"/>
      <c r="D202" s="91"/>
      <c r="E202" s="91"/>
      <c r="F202" s="92"/>
      <c r="G202" s="91"/>
      <c r="H202" s="91"/>
      <c r="I202" s="93"/>
    </row>
    <row r="203" spans="1:9">
      <c r="A203" s="94"/>
      <c r="B203" s="95"/>
      <c r="C203" s="95"/>
      <c r="D203" s="95"/>
      <c r="E203" s="95"/>
      <c r="F203" s="96"/>
      <c r="G203" s="95"/>
      <c r="H203" s="95"/>
      <c r="I203" s="97"/>
    </row>
    <row r="204" spans="1:9">
      <c r="A204" s="90"/>
      <c r="B204" s="91"/>
      <c r="C204" s="91"/>
      <c r="D204" s="91"/>
      <c r="E204" s="91"/>
      <c r="F204" s="92"/>
      <c r="G204" s="91"/>
      <c r="H204" s="91"/>
      <c r="I204" s="93"/>
    </row>
    <row r="205" spans="1:9">
      <c r="A205" s="94"/>
      <c r="B205" s="95"/>
      <c r="C205" s="95"/>
      <c r="D205" s="95"/>
      <c r="E205" s="95"/>
      <c r="F205" s="96"/>
      <c r="G205" s="95"/>
      <c r="H205" s="95"/>
      <c r="I205" s="97"/>
    </row>
    <row r="206" spans="1:9">
      <c r="A206" s="90"/>
      <c r="B206" s="91"/>
      <c r="C206" s="91"/>
      <c r="D206" s="91"/>
      <c r="E206" s="91"/>
      <c r="F206" s="92"/>
      <c r="G206" s="91"/>
      <c r="H206" s="91"/>
      <c r="I206" s="93"/>
    </row>
    <row r="207" spans="1:9">
      <c r="A207" s="94"/>
      <c r="B207" s="95"/>
      <c r="C207" s="95"/>
      <c r="D207" s="95"/>
      <c r="E207" s="95"/>
      <c r="F207" s="96"/>
      <c r="G207" s="95"/>
      <c r="H207" s="95"/>
      <c r="I207" s="97"/>
    </row>
    <row r="208" spans="1:9">
      <c r="A208" s="90"/>
      <c r="B208" s="91"/>
      <c r="C208" s="91"/>
      <c r="D208" s="91"/>
      <c r="E208" s="91"/>
      <c r="F208" s="92"/>
      <c r="G208" s="91"/>
      <c r="H208" s="91"/>
      <c r="I208" s="93"/>
    </row>
    <row r="209" spans="1:9">
      <c r="A209" s="94"/>
      <c r="B209" s="95"/>
      <c r="C209" s="95"/>
      <c r="D209" s="95"/>
      <c r="E209" s="95"/>
      <c r="F209" s="96"/>
      <c r="G209" s="95"/>
      <c r="H209" s="95"/>
      <c r="I209" s="97"/>
    </row>
    <row r="210" spans="1:9">
      <c r="A210" s="90"/>
      <c r="B210" s="91"/>
      <c r="C210" s="91"/>
      <c r="D210" s="91"/>
      <c r="E210" s="91"/>
      <c r="F210" s="92"/>
      <c r="G210" s="91"/>
      <c r="H210" s="91"/>
      <c r="I210" s="93"/>
    </row>
    <row r="211" spans="1:9">
      <c r="A211" s="94"/>
      <c r="B211" s="95"/>
      <c r="C211" s="95"/>
      <c r="D211" s="95"/>
      <c r="E211" s="95"/>
      <c r="F211" s="96"/>
      <c r="G211" s="95"/>
      <c r="H211" s="95"/>
      <c r="I211" s="97"/>
    </row>
    <row r="212" spans="1:9">
      <c r="A212" s="90"/>
      <c r="B212" s="91"/>
      <c r="C212" s="91"/>
      <c r="D212" s="91"/>
      <c r="E212" s="91"/>
      <c r="F212" s="92"/>
      <c r="G212" s="91"/>
      <c r="H212" s="91"/>
      <c r="I212" s="93"/>
    </row>
    <row r="213" spans="1:9">
      <c r="A213" s="94"/>
      <c r="B213" s="95"/>
      <c r="C213" s="95"/>
      <c r="D213" s="95"/>
      <c r="E213" s="95"/>
      <c r="F213" s="96"/>
      <c r="G213" s="95"/>
      <c r="H213" s="95"/>
      <c r="I213" s="97"/>
    </row>
    <row r="214" spans="1:9">
      <c r="A214" s="90"/>
      <c r="B214" s="91"/>
      <c r="C214" s="91"/>
      <c r="D214" s="91"/>
      <c r="E214" s="91"/>
      <c r="F214" s="92"/>
      <c r="G214" s="91"/>
      <c r="H214" s="91"/>
      <c r="I214" s="93"/>
    </row>
    <row r="215" spans="1:9">
      <c r="A215" s="94"/>
      <c r="B215" s="95"/>
      <c r="C215" s="95"/>
      <c r="D215" s="95"/>
      <c r="E215" s="95"/>
      <c r="F215" s="96"/>
      <c r="G215" s="95"/>
      <c r="H215" s="95"/>
      <c r="I215" s="97"/>
    </row>
    <row r="216" spans="1:9">
      <c r="A216" s="90"/>
      <c r="B216" s="91"/>
      <c r="C216" s="91"/>
      <c r="D216" s="91"/>
      <c r="E216" s="91"/>
      <c r="F216" s="92"/>
      <c r="G216" s="91"/>
      <c r="H216" s="91"/>
      <c r="I216" s="93"/>
    </row>
    <row r="217" spans="1:9">
      <c r="A217" s="94"/>
      <c r="B217" s="95"/>
      <c r="C217" s="95"/>
      <c r="D217" s="95"/>
      <c r="E217" s="95"/>
      <c r="F217" s="96"/>
      <c r="G217" s="95"/>
      <c r="H217" s="95"/>
      <c r="I217" s="97"/>
    </row>
    <row r="218" spans="1:9">
      <c r="A218" s="90"/>
      <c r="B218" s="91"/>
      <c r="C218" s="91"/>
      <c r="D218" s="91"/>
      <c r="E218" s="91"/>
      <c r="F218" s="92"/>
      <c r="G218" s="91"/>
      <c r="H218" s="91"/>
      <c r="I218" s="93"/>
    </row>
    <row r="219" spans="1:9">
      <c r="A219" s="94"/>
      <c r="B219" s="95"/>
      <c r="C219" s="95"/>
      <c r="D219" s="95"/>
      <c r="E219" s="95"/>
      <c r="F219" s="96"/>
      <c r="G219" s="95"/>
      <c r="H219" s="95"/>
      <c r="I219" s="97"/>
    </row>
    <row r="220" spans="1:9">
      <c r="A220" s="90"/>
      <c r="B220" s="91"/>
      <c r="C220" s="91"/>
      <c r="D220" s="91"/>
      <c r="E220" s="91"/>
      <c r="F220" s="92"/>
      <c r="G220" s="91"/>
      <c r="H220" s="91"/>
      <c r="I220" s="93"/>
    </row>
    <row r="221" spans="1:9">
      <c r="A221" s="94"/>
      <c r="B221" s="95"/>
      <c r="C221" s="95"/>
      <c r="D221" s="95"/>
      <c r="E221" s="95"/>
      <c r="F221" s="96"/>
      <c r="G221" s="95"/>
      <c r="H221" s="95"/>
      <c r="I221" s="97"/>
    </row>
    <row r="222" spans="1:9">
      <c r="A222" s="90"/>
      <c r="B222" s="91"/>
      <c r="C222" s="91"/>
      <c r="D222" s="91"/>
      <c r="E222" s="91"/>
      <c r="F222" s="92"/>
      <c r="G222" s="91"/>
      <c r="H222" s="91"/>
      <c r="I222" s="93"/>
    </row>
    <row r="223" spans="1:9">
      <c r="A223" s="94"/>
      <c r="B223" s="95"/>
      <c r="C223" s="95"/>
      <c r="D223" s="95"/>
      <c r="E223" s="95"/>
      <c r="F223" s="96"/>
      <c r="G223" s="95"/>
      <c r="H223" s="95"/>
      <c r="I223" s="97"/>
    </row>
    <row r="224" spans="1:9">
      <c r="A224" s="90"/>
      <c r="B224" s="91"/>
      <c r="C224" s="91"/>
      <c r="D224" s="91"/>
      <c r="E224" s="91"/>
      <c r="F224" s="92"/>
      <c r="G224" s="91"/>
      <c r="H224" s="91"/>
      <c r="I224" s="93"/>
    </row>
    <row r="225" spans="1:9">
      <c r="A225" s="94"/>
      <c r="B225" s="95"/>
      <c r="C225" s="95"/>
      <c r="D225" s="95"/>
      <c r="E225" s="95"/>
      <c r="F225" s="96"/>
      <c r="G225" s="95"/>
      <c r="H225" s="95"/>
      <c r="I225" s="97"/>
    </row>
    <row r="226" spans="1:9">
      <c r="A226" s="90"/>
      <c r="B226" s="91"/>
      <c r="C226" s="91"/>
      <c r="D226" s="91"/>
      <c r="E226" s="91"/>
      <c r="F226" s="92"/>
      <c r="G226" s="91"/>
      <c r="H226" s="91"/>
      <c r="I226" s="93"/>
    </row>
    <row r="227" spans="1:9">
      <c r="A227" s="94"/>
      <c r="B227" s="95"/>
      <c r="C227" s="95"/>
      <c r="D227" s="95"/>
      <c r="E227" s="95"/>
      <c r="F227" s="96"/>
      <c r="G227" s="95"/>
      <c r="H227" s="95"/>
      <c r="I227" s="97"/>
    </row>
    <row r="228" spans="1:9">
      <c r="A228" s="90"/>
      <c r="B228" s="91"/>
      <c r="C228" s="91"/>
      <c r="D228" s="91"/>
      <c r="E228" s="91"/>
      <c r="F228" s="92"/>
      <c r="G228" s="91"/>
      <c r="H228" s="91"/>
      <c r="I228" s="93"/>
    </row>
    <row r="229" spans="1:9">
      <c r="A229" s="94"/>
      <c r="B229" s="95"/>
      <c r="C229" s="95"/>
      <c r="D229" s="95"/>
      <c r="E229" s="95"/>
      <c r="F229" s="96"/>
      <c r="G229" s="95"/>
      <c r="H229" s="95"/>
      <c r="I229" s="97"/>
    </row>
    <row r="230" spans="1:9">
      <c r="A230" s="90"/>
      <c r="B230" s="91"/>
      <c r="C230" s="91"/>
      <c r="D230" s="91"/>
      <c r="E230" s="91"/>
      <c r="F230" s="92"/>
      <c r="G230" s="91"/>
      <c r="H230" s="91"/>
      <c r="I230" s="93"/>
    </row>
    <row r="231" spans="1:9">
      <c r="A231" s="94"/>
      <c r="B231" s="95"/>
      <c r="C231" s="95"/>
      <c r="D231" s="95"/>
      <c r="E231" s="95"/>
      <c r="F231" s="96"/>
      <c r="G231" s="95"/>
      <c r="H231" s="95"/>
      <c r="I231" s="97"/>
    </row>
    <row r="232" spans="1:9">
      <c r="A232" s="90"/>
      <c r="B232" s="91"/>
      <c r="C232" s="91"/>
      <c r="D232" s="91"/>
      <c r="E232" s="91"/>
      <c r="F232" s="92"/>
      <c r="G232" s="91"/>
      <c r="H232" s="91"/>
      <c r="I232" s="93"/>
    </row>
    <row r="233" spans="1:9">
      <c r="A233" s="94"/>
      <c r="B233" s="95"/>
      <c r="C233" s="95"/>
      <c r="D233" s="95"/>
      <c r="E233" s="95"/>
      <c r="F233" s="96"/>
      <c r="G233" s="95"/>
      <c r="H233" s="95"/>
      <c r="I233" s="97"/>
    </row>
    <row r="234" spans="1:9">
      <c r="A234" s="90"/>
      <c r="B234" s="91"/>
      <c r="C234" s="91"/>
      <c r="D234" s="91"/>
      <c r="E234" s="91"/>
      <c r="F234" s="92"/>
      <c r="G234" s="91"/>
      <c r="H234" s="91"/>
      <c r="I234" s="93"/>
    </row>
    <row r="235" spans="1:9">
      <c r="A235" s="94"/>
      <c r="B235" s="95"/>
      <c r="C235" s="95"/>
      <c r="D235" s="95"/>
      <c r="E235" s="95"/>
      <c r="F235" s="96"/>
      <c r="G235" s="95"/>
      <c r="H235" s="95"/>
      <c r="I235" s="97"/>
    </row>
    <row r="236" spans="1:9">
      <c r="A236" s="90"/>
      <c r="B236" s="91"/>
      <c r="C236" s="91"/>
      <c r="D236" s="91"/>
      <c r="E236" s="91"/>
      <c r="F236" s="92"/>
      <c r="G236" s="91"/>
      <c r="H236" s="91"/>
      <c r="I236" s="93"/>
    </row>
    <row r="237" spans="1:9">
      <c r="A237" s="94"/>
      <c r="B237" s="95"/>
      <c r="C237" s="95"/>
      <c r="D237" s="95"/>
      <c r="E237" s="95"/>
      <c r="F237" s="96"/>
      <c r="G237" s="95"/>
      <c r="H237" s="95"/>
      <c r="I237" s="97"/>
    </row>
    <row r="238" spans="1:9">
      <c r="A238" s="90"/>
      <c r="B238" s="91"/>
      <c r="C238" s="91"/>
      <c r="D238" s="91"/>
      <c r="E238" s="91"/>
      <c r="F238" s="92"/>
      <c r="G238" s="91"/>
      <c r="H238" s="91"/>
      <c r="I238" s="93"/>
    </row>
    <row r="239" spans="1:9">
      <c r="A239" s="94"/>
      <c r="B239" s="95"/>
      <c r="C239" s="95"/>
      <c r="D239" s="95"/>
      <c r="E239" s="95"/>
      <c r="F239" s="96"/>
      <c r="G239" s="95"/>
      <c r="H239" s="95"/>
      <c r="I239" s="97"/>
    </row>
    <row r="240" spans="1:9">
      <c r="A240" s="90"/>
      <c r="B240" s="91"/>
      <c r="C240" s="91"/>
      <c r="D240" s="91"/>
      <c r="E240" s="91"/>
      <c r="F240" s="92"/>
      <c r="G240" s="91"/>
      <c r="H240" s="91"/>
      <c r="I240" s="93"/>
    </row>
    <row r="241" spans="1:9">
      <c r="A241" s="94"/>
      <c r="B241" s="95"/>
      <c r="C241" s="95"/>
      <c r="D241" s="95"/>
      <c r="E241" s="95"/>
      <c r="F241" s="96"/>
      <c r="G241" s="95"/>
      <c r="H241" s="95"/>
      <c r="I241" s="97"/>
    </row>
    <row r="242" spans="1:9">
      <c r="A242" s="90"/>
      <c r="B242" s="91"/>
      <c r="C242" s="91"/>
      <c r="D242" s="91"/>
      <c r="E242" s="91"/>
      <c r="F242" s="92"/>
      <c r="G242" s="91"/>
      <c r="H242" s="91"/>
      <c r="I242" s="93"/>
    </row>
    <row r="243" spans="1:9">
      <c r="A243" s="94"/>
      <c r="B243" s="95"/>
      <c r="C243" s="95"/>
      <c r="D243" s="95"/>
      <c r="E243" s="95"/>
      <c r="F243" s="96"/>
      <c r="G243" s="95"/>
      <c r="H243" s="95"/>
      <c r="I243" s="97"/>
    </row>
    <row r="244" spans="1:9">
      <c r="A244" s="90"/>
      <c r="B244" s="91"/>
      <c r="C244" s="91"/>
      <c r="D244" s="91"/>
      <c r="E244" s="91"/>
      <c r="F244" s="92"/>
      <c r="G244" s="91"/>
      <c r="H244" s="91"/>
      <c r="I244" s="93"/>
    </row>
    <row r="245" spans="1:9">
      <c r="A245" s="94"/>
      <c r="B245" s="95"/>
      <c r="C245" s="95"/>
      <c r="D245" s="95"/>
      <c r="E245" s="95"/>
      <c r="F245" s="96"/>
      <c r="G245" s="95"/>
      <c r="H245" s="95"/>
      <c r="I245" s="97"/>
    </row>
    <row r="246" spans="1:9">
      <c r="A246" s="90"/>
      <c r="B246" s="91"/>
      <c r="C246" s="91"/>
      <c r="D246" s="91"/>
      <c r="E246" s="91"/>
      <c r="F246" s="92"/>
      <c r="G246" s="91"/>
      <c r="H246" s="91"/>
      <c r="I246" s="93"/>
    </row>
    <row r="247" spans="1:9">
      <c r="A247" s="94"/>
      <c r="B247" s="95"/>
      <c r="C247" s="95"/>
      <c r="D247" s="95"/>
      <c r="E247" s="95"/>
      <c r="F247" s="96"/>
      <c r="G247" s="95"/>
      <c r="H247" s="95"/>
      <c r="I247" s="97"/>
    </row>
    <row r="248" spans="1:9">
      <c r="A248" s="90"/>
      <c r="B248" s="91"/>
      <c r="C248" s="91"/>
      <c r="D248" s="91"/>
      <c r="E248" s="91"/>
      <c r="F248" s="92"/>
      <c r="G248" s="91"/>
      <c r="H248" s="91"/>
      <c r="I248" s="93"/>
    </row>
    <row r="249" spans="1:9">
      <c r="A249" s="94"/>
      <c r="B249" s="95"/>
      <c r="C249" s="95"/>
      <c r="D249" s="95"/>
      <c r="E249" s="95"/>
      <c r="F249" s="96"/>
      <c r="G249" s="95"/>
      <c r="H249" s="95"/>
      <c r="I249" s="97"/>
    </row>
    <row r="250" spans="1:9">
      <c r="A250" s="90"/>
      <c r="B250" s="91"/>
      <c r="C250" s="91"/>
      <c r="D250" s="91"/>
      <c r="E250" s="91"/>
      <c r="F250" s="92"/>
      <c r="G250" s="91"/>
      <c r="H250" s="91"/>
      <c r="I250" s="93"/>
    </row>
    <row r="251" spans="1:9">
      <c r="A251" s="94"/>
      <c r="B251" s="95"/>
      <c r="C251" s="95"/>
      <c r="D251" s="95"/>
      <c r="E251" s="95"/>
      <c r="F251" s="96"/>
      <c r="G251" s="95"/>
      <c r="H251" s="95"/>
      <c r="I251" s="97"/>
    </row>
    <row r="252" spans="1:9">
      <c r="A252" s="90"/>
      <c r="B252" s="91"/>
      <c r="C252" s="91"/>
      <c r="D252" s="91"/>
      <c r="E252" s="91"/>
      <c r="F252" s="92"/>
      <c r="G252" s="91"/>
      <c r="H252" s="91"/>
      <c r="I252" s="93"/>
    </row>
    <row r="253" spans="1:9">
      <c r="A253" s="94"/>
      <c r="B253" s="95"/>
      <c r="C253" s="95"/>
      <c r="D253" s="95"/>
      <c r="E253" s="95"/>
      <c r="F253" s="96"/>
      <c r="G253" s="95"/>
      <c r="H253" s="95"/>
      <c r="I253" s="97"/>
    </row>
    <row r="254" spans="1:9">
      <c r="A254" s="90"/>
      <c r="B254" s="91"/>
      <c r="C254" s="91"/>
      <c r="D254" s="91"/>
      <c r="E254" s="91"/>
      <c r="F254" s="92"/>
      <c r="G254" s="91"/>
      <c r="H254" s="91"/>
      <c r="I254" s="93"/>
    </row>
    <row r="255" spans="1:9">
      <c r="A255" s="94"/>
      <c r="B255" s="95"/>
      <c r="C255" s="95"/>
      <c r="D255" s="95"/>
      <c r="E255" s="95"/>
      <c r="F255" s="96"/>
      <c r="G255" s="95"/>
      <c r="H255" s="95"/>
      <c r="I255" s="97"/>
    </row>
    <row r="256" spans="1:9">
      <c r="A256" s="90"/>
      <c r="B256" s="91"/>
      <c r="C256" s="91"/>
      <c r="D256" s="91"/>
      <c r="E256" s="91"/>
      <c r="F256" s="92"/>
      <c r="G256" s="91"/>
      <c r="H256" s="91"/>
      <c r="I256" s="93"/>
    </row>
    <row r="257" spans="1:9">
      <c r="A257" s="94"/>
      <c r="B257" s="95"/>
      <c r="C257" s="95"/>
      <c r="D257" s="95"/>
      <c r="E257" s="95"/>
      <c r="F257" s="96"/>
      <c r="G257" s="95"/>
      <c r="H257" s="95"/>
      <c r="I257" s="97"/>
    </row>
    <row r="258" spans="1:9">
      <c r="A258" s="90"/>
      <c r="B258" s="91"/>
      <c r="C258" s="91"/>
      <c r="D258" s="91"/>
      <c r="E258" s="91"/>
      <c r="F258" s="92"/>
      <c r="G258" s="91"/>
      <c r="H258" s="91"/>
      <c r="I258" s="93"/>
    </row>
    <row r="259" spans="1:9">
      <c r="A259" s="94"/>
      <c r="B259" s="95"/>
      <c r="C259" s="95"/>
      <c r="D259" s="95"/>
      <c r="E259" s="95"/>
      <c r="F259" s="96"/>
      <c r="G259" s="95"/>
      <c r="H259" s="95"/>
      <c r="I259" s="97"/>
    </row>
    <row r="260" spans="1:9">
      <c r="A260" s="90"/>
      <c r="B260" s="91"/>
      <c r="C260" s="91"/>
      <c r="D260" s="91"/>
      <c r="E260" s="91"/>
      <c r="F260" s="92"/>
      <c r="G260" s="91"/>
      <c r="H260" s="91"/>
      <c r="I260" s="93"/>
    </row>
    <row r="261" spans="1:9">
      <c r="A261" s="94"/>
      <c r="B261" s="95"/>
      <c r="C261" s="95"/>
      <c r="D261" s="95"/>
      <c r="E261" s="95"/>
      <c r="F261" s="96"/>
      <c r="G261" s="95"/>
      <c r="H261" s="95"/>
      <c r="I261" s="97"/>
    </row>
    <row r="262" spans="1:9">
      <c r="A262" s="90"/>
      <c r="B262" s="91"/>
      <c r="C262" s="91"/>
      <c r="D262" s="91"/>
      <c r="E262" s="91"/>
      <c r="F262" s="92"/>
      <c r="G262" s="91"/>
      <c r="H262" s="91"/>
      <c r="I262" s="93"/>
    </row>
    <row r="263" spans="1:9">
      <c r="A263" s="94"/>
      <c r="B263" s="95"/>
      <c r="C263" s="95"/>
      <c r="D263" s="95"/>
      <c r="E263" s="95"/>
      <c r="F263" s="96"/>
      <c r="G263" s="95"/>
      <c r="H263" s="95"/>
      <c r="I263" s="97"/>
    </row>
    <row r="264" spans="1:9">
      <c r="A264" s="90"/>
      <c r="B264" s="91"/>
      <c r="C264" s="91"/>
      <c r="D264" s="91"/>
      <c r="E264" s="91"/>
      <c r="F264" s="92"/>
      <c r="G264" s="91"/>
      <c r="H264" s="91"/>
      <c r="I264" s="93"/>
    </row>
    <row r="265" spans="1:9">
      <c r="A265" s="94"/>
      <c r="B265" s="95"/>
      <c r="C265" s="95"/>
      <c r="D265" s="95"/>
      <c r="E265" s="95"/>
      <c r="F265" s="96"/>
      <c r="G265" s="95"/>
      <c r="H265" s="95"/>
      <c r="I265" s="97"/>
    </row>
    <row r="266" spans="1:9">
      <c r="A266" s="90"/>
      <c r="B266" s="91"/>
      <c r="C266" s="91"/>
      <c r="D266" s="91"/>
      <c r="E266" s="91"/>
      <c r="F266" s="92"/>
      <c r="G266" s="91"/>
      <c r="H266" s="91"/>
      <c r="I266" s="93"/>
    </row>
    <row r="267" spans="1:9">
      <c r="A267" s="94"/>
      <c r="B267" s="95"/>
      <c r="C267" s="95"/>
      <c r="D267" s="95"/>
      <c r="E267" s="95"/>
      <c r="F267" s="96"/>
      <c r="G267" s="95"/>
      <c r="H267" s="95"/>
      <c r="I267" s="97"/>
    </row>
    <row r="268" spans="1:9">
      <c r="A268" s="90"/>
      <c r="B268" s="91"/>
      <c r="C268" s="91"/>
      <c r="D268" s="91"/>
      <c r="E268" s="91"/>
      <c r="F268" s="92"/>
      <c r="G268" s="91"/>
      <c r="H268" s="91"/>
      <c r="I268" s="93"/>
    </row>
    <row r="269" spans="1:9">
      <c r="A269" s="94"/>
      <c r="B269" s="95"/>
      <c r="C269" s="95"/>
      <c r="D269" s="95"/>
      <c r="E269" s="95"/>
      <c r="F269" s="96"/>
      <c r="G269" s="95"/>
      <c r="H269" s="95"/>
      <c r="I269" s="97"/>
    </row>
    <row r="270" spans="1:9">
      <c r="A270" s="90"/>
      <c r="B270" s="91"/>
      <c r="C270" s="91"/>
      <c r="D270" s="91"/>
      <c r="E270" s="91"/>
      <c r="F270" s="92"/>
      <c r="G270" s="91"/>
      <c r="H270" s="91"/>
      <c r="I270" s="93"/>
    </row>
    <row r="271" spans="1:9">
      <c r="A271" s="94"/>
      <c r="B271" s="95"/>
      <c r="C271" s="95"/>
      <c r="D271" s="95"/>
      <c r="E271" s="95"/>
      <c r="F271" s="96"/>
      <c r="G271" s="95"/>
      <c r="H271" s="95"/>
      <c r="I271" s="97"/>
    </row>
    <row r="272" spans="1:9">
      <c r="A272" s="90"/>
      <c r="B272" s="91"/>
      <c r="C272" s="91"/>
      <c r="D272" s="91"/>
      <c r="E272" s="91"/>
      <c r="F272" s="92"/>
      <c r="G272" s="91"/>
      <c r="H272" s="91"/>
      <c r="I272" s="93"/>
    </row>
    <row r="273" spans="1:9">
      <c r="A273" s="94"/>
      <c r="B273" s="95"/>
      <c r="C273" s="95"/>
      <c r="D273" s="95"/>
      <c r="E273" s="95"/>
      <c r="F273" s="96"/>
      <c r="G273" s="95"/>
      <c r="H273" s="95"/>
      <c r="I273" s="97"/>
    </row>
    <row r="274" spans="1:9">
      <c r="A274" s="90"/>
      <c r="B274" s="91"/>
      <c r="C274" s="91"/>
      <c r="D274" s="91"/>
      <c r="E274" s="91"/>
      <c r="F274" s="92"/>
      <c r="G274" s="91"/>
      <c r="H274" s="91"/>
      <c r="I274" s="93"/>
    </row>
    <row r="275" spans="1:9">
      <c r="A275" s="94"/>
      <c r="B275" s="95"/>
      <c r="C275" s="95"/>
      <c r="D275" s="95"/>
      <c r="E275" s="95"/>
      <c r="F275" s="96"/>
      <c r="G275" s="95"/>
      <c r="H275" s="95"/>
      <c r="I275" s="97"/>
    </row>
    <row r="276" spans="1:9">
      <c r="A276" s="90"/>
      <c r="B276" s="91"/>
      <c r="C276" s="91"/>
      <c r="D276" s="91"/>
      <c r="E276" s="91"/>
      <c r="F276" s="92"/>
      <c r="G276" s="91"/>
      <c r="H276" s="91"/>
      <c r="I276" s="93"/>
    </row>
    <row r="277" spans="1:9">
      <c r="A277" s="94"/>
      <c r="B277" s="95"/>
      <c r="C277" s="95"/>
      <c r="D277" s="95"/>
      <c r="E277" s="95"/>
      <c r="F277" s="96"/>
      <c r="G277" s="95"/>
      <c r="H277" s="95"/>
      <c r="I277" s="97"/>
    </row>
    <row r="278" spans="1:9">
      <c r="A278" s="90"/>
      <c r="B278" s="91"/>
      <c r="C278" s="91"/>
      <c r="D278" s="91"/>
      <c r="E278" s="91"/>
      <c r="F278" s="92"/>
      <c r="G278" s="91"/>
      <c r="H278" s="91"/>
      <c r="I278" s="93"/>
    </row>
    <row r="279" spans="1:9">
      <c r="A279" s="94"/>
      <c r="B279" s="95"/>
      <c r="C279" s="95"/>
      <c r="D279" s="95"/>
      <c r="E279" s="95"/>
      <c r="F279" s="96"/>
      <c r="G279" s="95"/>
      <c r="H279" s="95"/>
      <c r="I279" s="97"/>
    </row>
    <row r="280" spans="1:9">
      <c r="A280" s="90"/>
      <c r="B280" s="91"/>
      <c r="C280" s="91"/>
      <c r="D280" s="91"/>
      <c r="E280" s="91"/>
      <c r="F280" s="92"/>
      <c r="G280" s="91"/>
      <c r="H280" s="91"/>
      <c r="I280" s="93"/>
    </row>
    <row r="281" spans="1:9">
      <c r="A281" s="94"/>
      <c r="B281" s="95"/>
      <c r="C281" s="95"/>
      <c r="D281" s="95"/>
      <c r="E281" s="95"/>
      <c r="F281" s="96"/>
      <c r="G281" s="95"/>
      <c r="H281" s="95"/>
      <c r="I281" s="97"/>
    </row>
    <row r="282" spans="1:9">
      <c r="A282" s="90"/>
      <c r="B282" s="91"/>
      <c r="C282" s="91"/>
      <c r="D282" s="91"/>
      <c r="E282" s="91"/>
      <c r="F282" s="92"/>
      <c r="G282" s="91"/>
      <c r="H282" s="91"/>
      <c r="I282" s="93"/>
    </row>
    <row r="283" spans="1:9">
      <c r="A283" s="94"/>
      <c r="B283" s="95"/>
      <c r="C283" s="95"/>
      <c r="D283" s="95"/>
      <c r="E283" s="95"/>
      <c r="F283" s="96"/>
      <c r="G283" s="95"/>
      <c r="H283" s="95"/>
      <c r="I283" s="97"/>
    </row>
    <row r="284" spans="1:9">
      <c r="A284" s="90"/>
      <c r="B284" s="91"/>
      <c r="C284" s="91"/>
      <c r="D284" s="91"/>
      <c r="E284" s="91"/>
      <c r="F284" s="92"/>
      <c r="G284" s="91"/>
      <c r="H284" s="91"/>
      <c r="I284" s="93"/>
    </row>
    <row r="285" spans="1:9">
      <c r="A285" s="94"/>
      <c r="B285" s="95"/>
      <c r="C285" s="95"/>
      <c r="D285" s="95"/>
      <c r="E285" s="95"/>
      <c r="F285" s="96"/>
      <c r="G285" s="95"/>
      <c r="H285" s="95"/>
      <c r="I285" s="97"/>
    </row>
    <row r="286" spans="1:9">
      <c r="A286" s="90"/>
      <c r="B286" s="91"/>
      <c r="C286" s="91"/>
      <c r="D286" s="91"/>
      <c r="E286" s="91"/>
      <c r="F286" s="92"/>
      <c r="G286" s="91"/>
      <c r="H286" s="91"/>
      <c r="I286" s="93"/>
    </row>
    <row r="287" spans="1:9">
      <c r="A287" s="94"/>
      <c r="B287" s="95"/>
      <c r="C287" s="95"/>
      <c r="D287" s="95"/>
      <c r="E287" s="95"/>
      <c r="F287" s="96"/>
      <c r="G287" s="95"/>
      <c r="H287" s="95"/>
      <c r="I287" s="97"/>
    </row>
    <row r="288" spans="1:9">
      <c r="A288" s="90"/>
      <c r="B288" s="91"/>
      <c r="C288" s="91"/>
      <c r="D288" s="91"/>
      <c r="E288" s="91"/>
      <c r="F288" s="92"/>
      <c r="G288" s="91"/>
      <c r="H288" s="91"/>
      <c r="I288" s="93"/>
    </row>
    <row r="289" spans="1:9">
      <c r="A289" s="94"/>
      <c r="B289" s="95"/>
      <c r="C289" s="95"/>
      <c r="D289" s="95"/>
      <c r="E289" s="95"/>
      <c r="F289" s="96"/>
      <c r="G289" s="95"/>
      <c r="H289" s="95"/>
      <c r="I289" s="97"/>
    </row>
    <row r="290" spans="1:9">
      <c r="A290" s="90"/>
      <c r="B290" s="91"/>
      <c r="C290" s="91"/>
      <c r="D290" s="91"/>
      <c r="E290" s="91"/>
      <c r="F290" s="92"/>
      <c r="G290" s="91"/>
      <c r="H290" s="91"/>
      <c r="I290" s="93"/>
    </row>
    <row r="291" spans="1:9">
      <c r="A291" s="94"/>
      <c r="B291" s="95"/>
      <c r="C291" s="95"/>
      <c r="D291" s="95"/>
      <c r="E291" s="95"/>
      <c r="F291" s="96"/>
      <c r="G291" s="95"/>
      <c r="H291" s="95"/>
      <c r="I291" s="97"/>
    </row>
    <row r="292" spans="1:9">
      <c r="A292" s="90"/>
      <c r="B292" s="91"/>
      <c r="C292" s="91"/>
      <c r="D292" s="91"/>
      <c r="E292" s="91"/>
      <c r="F292" s="92"/>
      <c r="G292" s="91"/>
      <c r="H292" s="91"/>
      <c r="I292" s="93"/>
    </row>
    <row r="293" spans="1:9">
      <c r="A293" s="94"/>
      <c r="B293" s="95"/>
      <c r="C293" s="95"/>
      <c r="D293" s="95"/>
      <c r="E293" s="95"/>
      <c r="F293" s="96"/>
      <c r="G293" s="95"/>
      <c r="H293" s="95"/>
      <c r="I293" s="97"/>
    </row>
    <row r="294" spans="1:9">
      <c r="A294" s="90"/>
      <c r="B294" s="91"/>
      <c r="C294" s="91"/>
      <c r="D294" s="91"/>
      <c r="E294" s="91"/>
      <c r="F294" s="92"/>
      <c r="G294" s="91"/>
      <c r="H294" s="91"/>
      <c r="I294" s="93"/>
    </row>
    <row r="295" spans="1:9">
      <c r="A295" s="94"/>
      <c r="B295" s="95"/>
      <c r="C295" s="95"/>
      <c r="D295" s="95"/>
      <c r="E295" s="95"/>
      <c r="F295" s="96"/>
      <c r="G295" s="95"/>
      <c r="H295" s="95"/>
      <c r="I295" s="97"/>
    </row>
    <row r="296" spans="1:9">
      <c r="A296" s="90"/>
      <c r="B296" s="91"/>
      <c r="C296" s="91"/>
      <c r="D296" s="91"/>
      <c r="E296" s="91"/>
      <c r="F296" s="92"/>
      <c r="G296" s="91"/>
      <c r="H296" s="91"/>
      <c r="I296" s="93"/>
    </row>
    <row r="297" spans="1:9">
      <c r="A297" s="94"/>
      <c r="B297" s="95"/>
      <c r="C297" s="95"/>
      <c r="D297" s="95"/>
      <c r="E297" s="95"/>
      <c r="F297" s="96"/>
      <c r="G297" s="95"/>
      <c r="H297" s="95"/>
      <c r="I297" s="97"/>
    </row>
    <row r="298" spans="1:9">
      <c r="A298" s="90"/>
      <c r="B298" s="91"/>
      <c r="C298" s="91"/>
      <c r="D298" s="91"/>
      <c r="E298" s="91"/>
      <c r="F298" s="92"/>
      <c r="G298" s="91"/>
      <c r="H298" s="91"/>
      <c r="I298" s="93"/>
    </row>
    <row r="299" spans="1:9">
      <c r="A299" s="94"/>
      <c r="B299" s="95"/>
      <c r="C299" s="95"/>
      <c r="D299" s="95"/>
      <c r="E299" s="95"/>
      <c r="F299" s="96"/>
      <c r="G299" s="95"/>
      <c r="H299" s="95"/>
      <c r="I299" s="97"/>
    </row>
    <row r="300" spans="1:9">
      <c r="A300" s="90"/>
      <c r="B300" s="91"/>
      <c r="C300" s="91"/>
      <c r="D300" s="91"/>
      <c r="E300" s="91"/>
      <c r="F300" s="92"/>
      <c r="G300" s="91"/>
      <c r="H300" s="91"/>
      <c r="I300" s="93"/>
    </row>
    <row r="301" spans="1:9">
      <c r="A301" s="94"/>
      <c r="B301" s="95"/>
      <c r="C301" s="95"/>
      <c r="D301" s="95"/>
      <c r="E301" s="95"/>
      <c r="F301" s="96"/>
      <c r="G301" s="95"/>
      <c r="H301" s="95"/>
      <c r="I301" s="97"/>
    </row>
    <row r="302" spans="1:9">
      <c r="A302" s="90"/>
      <c r="B302" s="91"/>
      <c r="C302" s="91"/>
      <c r="D302" s="91"/>
      <c r="E302" s="91"/>
      <c r="F302" s="92"/>
      <c r="G302" s="91"/>
      <c r="H302" s="91"/>
      <c r="I302" s="93"/>
    </row>
    <row r="303" spans="1:9">
      <c r="A303" s="94"/>
      <c r="B303" s="95"/>
      <c r="C303" s="95"/>
      <c r="D303" s="95"/>
      <c r="E303" s="95"/>
      <c r="F303" s="96"/>
      <c r="G303" s="95"/>
      <c r="H303" s="95"/>
      <c r="I303" s="97"/>
    </row>
    <row r="304" spans="1:9">
      <c r="A304" s="90"/>
      <c r="B304" s="91"/>
      <c r="C304" s="91"/>
      <c r="D304" s="91"/>
      <c r="E304" s="91"/>
      <c r="F304" s="92"/>
      <c r="G304" s="91"/>
      <c r="H304" s="91"/>
      <c r="I304" s="93"/>
    </row>
    <row r="305" spans="1:9">
      <c r="A305" s="94"/>
      <c r="B305" s="95"/>
      <c r="C305" s="95"/>
      <c r="D305" s="95"/>
      <c r="E305" s="95"/>
      <c r="F305" s="96"/>
      <c r="G305" s="95"/>
      <c r="H305" s="95"/>
      <c r="I305" s="97"/>
    </row>
    <row r="306" spans="1:9">
      <c r="A306" s="90"/>
      <c r="B306" s="91"/>
      <c r="C306" s="91"/>
      <c r="D306" s="91"/>
      <c r="E306" s="91"/>
      <c r="F306" s="92"/>
      <c r="G306" s="91"/>
      <c r="H306" s="91"/>
      <c r="I306" s="93"/>
    </row>
    <row r="307" spans="1:9">
      <c r="A307" s="94"/>
      <c r="B307" s="95"/>
      <c r="C307" s="95"/>
      <c r="D307" s="95"/>
      <c r="E307" s="95"/>
      <c r="F307" s="96"/>
      <c r="G307" s="95"/>
      <c r="H307" s="95"/>
      <c r="I307" s="97"/>
    </row>
    <row r="308" spans="1:9">
      <c r="A308" s="90"/>
      <c r="B308" s="91"/>
      <c r="C308" s="91"/>
      <c r="D308" s="91"/>
      <c r="E308" s="91"/>
      <c r="F308" s="92"/>
      <c r="G308" s="91"/>
      <c r="H308" s="91"/>
      <c r="I308" s="93"/>
    </row>
    <row r="309" spans="1:9">
      <c r="A309" s="94"/>
      <c r="B309" s="95"/>
      <c r="C309" s="95"/>
      <c r="D309" s="95"/>
      <c r="E309" s="95"/>
      <c r="F309" s="96"/>
      <c r="G309" s="95"/>
      <c r="H309" s="95"/>
      <c r="I309" s="97"/>
    </row>
    <row r="310" spans="1:9">
      <c r="A310" s="90"/>
      <c r="B310" s="91"/>
      <c r="C310" s="91"/>
      <c r="D310" s="91"/>
      <c r="E310" s="91"/>
      <c r="F310" s="92"/>
      <c r="G310" s="91"/>
      <c r="H310" s="91"/>
      <c r="I310" s="93"/>
    </row>
    <row r="311" spans="1:9">
      <c r="A311" s="94"/>
      <c r="B311" s="95"/>
      <c r="C311" s="95"/>
      <c r="D311" s="95"/>
      <c r="E311" s="95"/>
      <c r="F311" s="96"/>
      <c r="G311" s="95"/>
      <c r="H311" s="95"/>
      <c r="I311" s="97"/>
    </row>
    <row r="312" spans="1:9">
      <c r="A312" s="90"/>
      <c r="B312" s="91"/>
      <c r="C312" s="91"/>
      <c r="D312" s="91"/>
      <c r="E312" s="91"/>
      <c r="F312" s="92"/>
      <c r="G312" s="91"/>
      <c r="H312" s="91"/>
      <c r="I312" s="93"/>
    </row>
    <row r="313" spans="1:9">
      <c r="A313" s="94"/>
      <c r="B313" s="95"/>
      <c r="C313" s="95"/>
      <c r="D313" s="95"/>
      <c r="E313" s="95"/>
      <c r="F313" s="96"/>
      <c r="G313" s="95"/>
      <c r="H313" s="95"/>
      <c r="I313" s="97"/>
    </row>
    <row r="314" spans="1:9">
      <c r="A314" s="90"/>
      <c r="B314" s="91"/>
      <c r="C314" s="91"/>
      <c r="D314" s="91"/>
      <c r="E314" s="91"/>
      <c r="F314" s="92"/>
      <c r="G314" s="91"/>
      <c r="H314" s="91"/>
      <c r="I314" s="93"/>
    </row>
    <row r="315" spans="1:9">
      <c r="A315" s="94"/>
      <c r="B315" s="95"/>
      <c r="C315" s="95"/>
      <c r="D315" s="95"/>
      <c r="E315" s="95"/>
      <c r="F315" s="96"/>
      <c r="G315" s="95"/>
      <c r="H315" s="95"/>
      <c r="I315" s="97"/>
    </row>
    <row r="316" spans="1:9">
      <c r="A316" s="90"/>
      <c r="B316" s="91"/>
      <c r="C316" s="91"/>
      <c r="D316" s="91"/>
      <c r="E316" s="91"/>
      <c r="F316" s="92"/>
      <c r="G316" s="91"/>
      <c r="H316" s="91"/>
      <c r="I316" s="93"/>
    </row>
    <row r="317" spans="1:9">
      <c r="A317" s="94"/>
      <c r="B317" s="95"/>
      <c r="C317" s="95"/>
      <c r="D317" s="95"/>
      <c r="E317" s="95"/>
      <c r="F317" s="96"/>
      <c r="G317" s="95"/>
      <c r="H317" s="95"/>
      <c r="I317" s="97"/>
    </row>
    <row r="318" spans="1:9">
      <c r="A318" s="90"/>
      <c r="B318" s="91"/>
      <c r="C318" s="91"/>
      <c r="D318" s="91"/>
      <c r="E318" s="91"/>
      <c r="F318" s="92"/>
      <c r="G318" s="91"/>
      <c r="H318" s="91"/>
      <c r="I318" s="93"/>
    </row>
    <row r="319" spans="1:9">
      <c r="A319" s="94"/>
      <c r="B319" s="95"/>
      <c r="C319" s="95"/>
      <c r="D319" s="95"/>
      <c r="E319" s="95"/>
      <c r="F319" s="96"/>
      <c r="G319" s="95"/>
      <c r="H319" s="95"/>
      <c r="I319" s="97"/>
    </row>
    <row r="320" spans="1:9">
      <c r="A320" s="90"/>
      <c r="B320" s="91"/>
      <c r="C320" s="91"/>
      <c r="D320" s="91"/>
      <c r="E320" s="91"/>
      <c r="F320" s="92"/>
      <c r="G320" s="91"/>
      <c r="H320" s="91"/>
      <c r="I320" s="93"/>
    </row>
    <row r="321" spans="1:9">
      <c r="A321" s="94"/>
      <c r="B321" s="95"/>
      <c r="C321" s="95"/>
      <c r="D321" s="95"/>
      <c r="E321" s="95"/>
      <c r="F321" s="96"/>
      <c r="G321" s="95"/>
      <c r="H321" s="95"/>
      <c r="I321" s="97"/>
    </row>
    <row r="322" spans="1:9">
      <c r="A322" s="90"/>
      <c r="B322" s="91"/>
      <c r="C322" s="91"/>
      <c r="D322" s="91"/>
      <c r="E322" s="91"/>
      <c r="F322" s="92"/>
      <c r="G322" s="91"/>
      <c r="H322" s="91"/>
      <c r="I322" s="93"/>
    </row>
    <row r="323" spans="1:9">
      <c r="A323" s="94"/>
      <c r="B323" s="95"/>
      <c r="C323" s="95"/>
      <c r="D323" s="95"/>
      <c r="E323" s="95"/>
      <c r="F323" s="96"/>
      <c r="G323" s="95"/>
      <c r="H323" s="95"/>
      <c r="I323" s="97"/>
    </row>
    <row r="324" spans="1:9">
      <c r="A324" s="90"/>
      <c r="B324" s="91"/>
      <c r="C324" s="91"/>
      <c r="D324" s="91"/>
      <c r="E324" s="91"/>
      <c r="F324" s="92"/>
      <c r="G324" s="91"/>
      <c r="H324" s="91"/>
      <c r="I324" s="93"/>
    </row>
    <row r="325" spans="1:9">
      <c r="A325" s="94"/>
      <c r="B325" s="95"/>
      <c r="C325" s="95"/>
      <c r="D325" s="95"/>
      <c r="E325" s="95"/>
      <c r="F325" s="96"/>
      <c r="G325" s="95"/>
      <c r="H325" s="95"/>
      <c r="I325" s="97"/>
    </row>
    <row r="326" spans="1:9">
      <c r="A326" s="90"/>
      <c r="B326" s="91"/>
      <c r="C326" s="91"/>
      <c r="D326" s="91"/>
      <c r="E326" s="91"/>
      <c r="F326" s="92"/>
      <c r="G326" s="91"/>
      <c r="H326" s="91"/>
      <c r="I326" s="93"/>
    </row>
    <row r="327" spans="1:9">
      <c r="A327" s="94"/>
      <c r="B327" s="95"/>
      <c r="C327" s="95"/>
      <c r="D327" s="95"/>
      <c r="E327" s="95"/>
      <c r="F327" s="96"/>
      <c r="G327" s="95"/>
      <c r="H327" s="95"/>
      <c r="I327" s="97"/>
    </row>
    <row r="328" spans="1:9">
      <c r="A328" s="90"/>
      <c r="B328" s="91"/>
      <c r="C328" s="91"/>
      <c r="D328" s="91"/>
      <c r="E328" s="91"/>
      <c r="F328" s="92"/>
      <c r="G328" s="91"/>
      <c r="H328" s="91"/>
      <c r="I328" s="93"/>
    </row>
    <row r="329" spans="1:9">
      <c r="A329" s="94"/>
      <c r="B329" s="95"/>
      <c r="C329" s="95"/>
      <c r="D329" s="95"/>
      <c r="E329" s="95"/>
      <c r="F329" s="96"/>
      <c r="G329" s="95"/>
      <c r="H329" s="95"/>
      <c r="I329" s="97"/>
    </row>
    <row r="330" spans="1:9">
      <c r="A330" s="90"/>
      <c r="B330" s="91"/>
      <c r="C330" s="91"/>
      <c r="D330" s="91"/>
      <c r="E330" s="91"/>
      <c r="F330" s="92"/>
      <c r="G330" s="91"/>
      <c r="H330" s="91"/>
      <c r="I330" s="93"/>
    </row>
    <row r="331" spans="1:9">
      <c r="A331" s="94"/>
      <c r="B331" s="95"/>
      <c r="C331" s="95"/>
      <c r="D331" s="95"/>
      <c r="E331" s="95"/>
      <c r="F331" s="96"/>
      <c r="G331" s="95"/>
      <c r="H331" s="95"/>
      <c r="I331" s="97"/>
    </row>
    <row r="332" spans="1:9">
      <c r="A332" s="90"/>
      <c r="B332" s="91"/>
      <c r="C332" s="91"/>
      <c r="D332" s="91"/>
      <c r="E332" s="91"/>
      <c r="F332" s="92"/>
      <c r="G332" s="91"/>
      <c r="H332" s="91"/>
      <c r="I332" s="93"/>
    </row>
    <row r="333" spans="1:9">
      <c r="A333" s="94"/>
      <c r="B333" s="95"/>
      <c r="C333" s="95"/>
      <c r="D333" s="95"/>
      <c r="E333" s="95"/>
      <c r="F333" s="96"/>
      <c r="G333" s="95"/>
      <c r="H333" s="95"/>
      <c r="I333" s="97"/>
    </row>
    <row r="334" spans="1:9">
      <c r="A334" s="90"/>
      <c r="B334" s="91"/>
      <c r="C334" s="91"/>
      <c r="D334" s="91"/>
      <c r="E334" s="91"/>
      <c r="F334" s="92"/>
      <c r="G334" s="91"/>
      <c r="H334" s="91"/>
      <c r="I334" s="93"/>
    </row>
    <row r="335" spans="1:9">
      <c r="A335" s="94"/>
      <c r="B335" s="95"/>
      <c r="C335" s="95"/>
      <c r="D335" s="95"/>
      <c r="E335" s="95"/>
      <c r="F335" s="96"/>
      <c r="G335" s="95"/>
      <c r="H335" s="95"/>
      <c r="I335" s="97"/>
    </row>
    <row r="336" spans="1:9">
      <c r="A336" s="90"/>
      <c r="B336" s="91"/>
      <c r="C336" s="91"/>
      <c r="D336" s="91"/>
      <c r="E336" s="91"/>
      <c r="F336" s="92"/>
      <c r="G336" s="91"/>
      <c r="H336" s="91"/>
      <c r="I336" s="93"/>
    </row>
    <row r="337" spans="1:9">
      <c r="A337" s="94"/>
      <c r="B337" s="95"/>
      <c r="C337" s="95"/>
      <c r="D337" s="95"/>
      <c r="E337" s="95"/>
      <c r="F337" s="96"/>
      <c r="G337" s="95"/>
      <c r="H337" s="95"/>
      <c r="I337" s="97"/>
    </row>
    <row r="338" spans="1:9">
      <c r="A338" s="90"/>
      <c r="B338" s="91"/>
      <c r="C338" s="91"/>
      <c r="D338" s="91"/>
      <c r="E338" s="91"/>
      <c r="F338" s="92"/>
      <c r="G338" s="91"/>
      <c r="H338" s="91"/>
      <c r="I338" s="93"/>
    </row>
    <row r="339" spans="1:9">
      <c r="A339" s="94"/>
      <c r="B339" s="95"/>
      <c r="C339" s="95"/>
      <c r="D339" s="95"/>
      <c r="E339" s="95"/>
      <c r="F339" s="96"/>
      <c r="G339" s="95"/>
      <c r="H339" s="95"/>
      <c r="I339" s="97"/>
    </row>
    <row r="340" spans="1:9">
      <c r="A340" s="90"/>
      <c r="B340" s="91"/>
      <c r="C340" s="91"/>
      <c r="D340" s="91"/>
      <c r="E340" s="91"/>
      <c r="F340" s="92"/>
      <c r="G340" s="91"/>
      <c r="H340" s="91"/>
      <c r="I340" s="93"/>
    </row>
    <row r="341" spans="1:9">
      <c r="A341" s="94"/>
      <c r="B341" s="95"/>
      <c r="C341" s="95"/>
      <c r="D341" s="95"/>
      <c r="E341" s="95"/>
      <c r="F341" s="96"/>
      <c r="G341" s="95"/>
      <c r="H341" s="95"/>
      <c r="I341" s="97"/>
    </row>
    <row r="342" spans="1:9">
      <c r="A342" s="90"/>
      <c r="B342" s="91"/>
      <c r="C342" s="91"/>
      <c r="D342" s="91"/>
      <c r="E342" s="91"/>
      <c r="F342" s="92"/>
      <c r="G342" s="91"/>
      <c r="H342" s="91"/>
      <c r="I342" s="93"/>
    </row>
    <row r="343" spans="1:9">
      <c r="A343" s="94"/>
      <c r="B343" s="95"/>
      <c r="C343" s="95"/>
      <c r="D343" s="95"/>
      <c r="E343" s="95"/>
      <c r="F343" s="96"/>
      <c r="G343" s="95"/>
      <c r="H343" s="95"/>
      <c r="I343" s="97"/>
    </row>
    <row r="344" spans="1:9">
      <c r="A344" s="90"/>
      <c r="B344" s="91"/>
      <c r="C344" s="91"/>
      <c r="D344" s="91"/>
      <c r="E344" s="91"/>
      <c r="F344" s="92"/>
      <c r="G344" s="91"/>
      <c r="H344" s="91"/>
      <c r="I344" s="93"/>
    </row>
    <row r="345" spans="1:9">
      <c r="A345" s="94"/>
      <c r="B345" s="95"/>
      <c r="C345" s="95"/>
      <c r="D345" s="95"/>
      <c r="E345" s="95"/>
      <c r="F345" s="96"/>
      <c r="G345" s="95"/>
      <c r="H345" s="95"/>
      <c r="I345" s="97"/>
    </row>
    <row r="346" spans="1:9">
      <c r="A346" s="90"/>
      <c r="B346" s="91"/>
      <c r="C346" s="91"/>
      <c r="D346" s="91"/>
      <c r="E346" s="91"/>
      <c r="F346" s="92"/>
      <c r="G346" s="91"/>
      <c r="H346" s="91"/>
      <c r="I346" s="93"/>
    </row>
    <row r="347" spans="1:9">
      <c r="A347" s="94"/>
      <c r="B347" s="95"/>
      <c r="C347" s="95"/>
      <c r="D347" s="95"/>
      <c r="E347" s="95"/>
      <c r="F347" s="96"/>
      <c r="G347" s="95"/>
      <c r="H347" s="95"/>
      <c r="I347" s="97"/>
    </row>
    <row r="348" spans="1:9">
      <c r="A348" s="90"/>
      <c r="B348" s="91"/>
      <c r="C348" s="91"/>
      <c r="D348" s="91"/>
      <c r="E348" s="91"/>
      <c r="F348" s="92"/>
      <c r="G348" s="91"/>
      <c r="H348" s="91"/>
      <c r="I348" s="93"/>
    </row>
    <row r="349" spans="1:9">
      <c r="A349" s="94"/>
      <c r="B349" s="95"/>
      <c r="C349" s="95"/>
      <c r="D349" s="95"/>
      <c r="E349" s="95"/>
      <c r="F349" s="96"/>
      <c r="G349" s="95"/>
      <c r="H349" s="95"/>
      <c r="I349" s="97"/>
    </row>
    <row r="350" spans="1:9">
      <c r="A350" s="90"/>
      <c r="B350" s="91"/>
      <c r="C350" s="91"/>
      <c r="D350" s="91"/>
      <c r="E350" s="91"/>
      <c r="F350" s="92"/>
      <c r="G350" s="91"/>
      <c r="H350" s="91"/>
      <c r="I350" s="93"/>
    </row>
    <row r="351" spans="1:9">
      <c r="A351" s="94"/>
      <c r="B351" s="95"/>
      <c r="C351" s="95"/>
      <c r="D351" s="95"/>
      <c r="E351" s="95"/>
      <c r="F351" s="96"/>
      <c r="G351" s="95"/>
      <c r="H351" s="95"/>
      <c r="I351" s="97"/>
    </row>
    <row r="352" spans="1:9">
      <c r="A352" s="90"/>
      <c r="B352" s="91"/>
      <c r="C352" s="91"/>
      <c r="D352" s="91"/>
      <c r="E352" s="91"/>
      <c r="F352" s="92"/>
      <c r="G352" s="91"/>
      <c r="H352" s="91"/>
      <c r="I352" s="93"/>
    </row>
    <row r="353" spans="1:9">
      <c r="A353" s="94"/>
      <c r="B353" s="95"/>
      <c r="C353" s="95"/>
      <c r="D353" s="95"/>
      <c r="E353" s="95"/>
      <c r="F353" s="96"/>
      <c r="G353" s="95"/>
      <c r="H353" s="95"/>
      <c r="I353" s="97"/>
    </row>
    <row r="354" spans="1:9">
      <c r="A354" s="90"/>
      <c r="B354" s="91"/>
      <c r="C354" s="91"/>
      <c r="D354" s="91"/>
      <c r="E354" s="91"/>
      <c r="F354" s="92"/>
      <c r="G354" s="91"/>
      <c r="H354" s="91"/>
      <c r="I354" s="93"/>
    </row>
    <row r="355" spans="1:9">
      <c r="A355" s="94"/>
      <c r="B355" s="95"/>
      <c r="C355" s="95"/>
      <c r="D355" s="95"/>
      <c r="E355" s="95"/>
      <c r="F355" s="96"/>
      <c r="G355" s="95"/>
      <c r="H355" s="95"/>
      <c r="I355" s="97"/>
    </row>
    <row r="356" spans="1:9">
      <c r="A356" s="90"/>
      <c r="B356" s="91"/>
      <c r="C356" s="91"/>
      <c r="D356" s="91"/>
      <c r="E356" s="91"/>
      <c r="F356" s="92"/>
      <c r="G356" s="91"/>
      <c r="H356" s="91"/>
      <c r="I356" s="93"/>
    </row>
    <row r="357" spans="1:9">
      <c r="A357" s="94"/>
      <c r="B357" s="95"/>
      <c r="C357" s="95"/>
      <c r="D357" s="95"/>
      <c r="E357" s="95"/>
      <c r="F357" s="96"/>
      <c r="G357" s="95"/>
      <c r="H357" s="95"/>
      <c r="I357" s="97"/>
    </row>
    <row r="358" spans="1:9">
      <c r="A358" s="90"/>
      <c r="B358" s="91"/>
      <c r="C358" s="91"/>
      <c r="D358" s="91"/>
      <c r="E358" s="91"/>
      <c r="F358" s="92"/>
      <c r="G358" s="91"/>
      <c r="H358" s="91"/>
      <c r="I358" s="93"/>
    </row>
    <row r="359" spans="1:9">
      <c r="A359" s="94"/>
      <c r="B359" s="95"/>
      <c r="C359" s="95"/>
      <c r="D359" s="95"/>
      <c r="E359" s="95"/>
      <c r="F359" s="96"/>
      <c r="G359" s="95"/>
      <c r="H359" s="95"/>
      <c r="I359" s="97"/>
    </row>
    <row r="360" spans="1:9">
      <c r="A360" s="90"/>
      <c r="B360" s="91"/>
      <c r="C360" s="91"/>
      <c r="D360" s="91"/>
      <c r="E360" s="91"/>
      <c r="F360" s="92"/>
      <c r="G360" s="91"/>
      <c r="H360" s="91"/>
      <c r="I360" s="93"/>
    </row>
    <row r="361" spans="1:9">
      <c r="A361" s="94"/>
      <c r="B361" s="95"/>
      <c r="C361" s="95"/>
      <c r="D361" s="95"/>
      <c r="E361" s="95"/>
      <c r="F361" s="96"/>
      <c r="G361" s="95"/>
      <c r="H361" s="95"/>
      <c r="I361" s="97"/>
    </row>
    <row r="362" spans="1:9">
      <c r="A362" s="90"/>
      <c r="B362" s="91"/>
      <c r="C362" s="91"/>
      <c r="D362" s="91"/>
      <c r="E362" s="91"/>
      <c r="F362" s="92"/>
      <c r="G362" s="91"/>
      <c r="H362" s="91"/>
      <c r="I362" s="93"/>
    </row>
    <row r="363" spans="1:9">
      <c r="A363" s="94"/>
      <c r="B363" s="95"/>
      <c r="C363" s="95"/>
      <c r="D363" s="95"/>
      <c r="E363" s="95"/>
      <c r="F363" s="96"/>
      <c r="G363" s="95"/>
      <c r="H363" s="95"/>
      <c r="I363" s="97"/>
    </row>
    <row r="364" spans="1:9">
      <c r="A364" s="90"/>
      <c r="B364" s="91"/>
      <c r="C364" s="91"/>
      <c r="D364" s="91"/>
      <c r="E364" s="91"/>
      <c r="F364" s="92"/>
      <c r="G364" s="91"/>
      <c r="H364" s="91"/>
      <c r="I364" s="93"/>
    </row>
    <row r="365" spans="1:9">
      <c r="A365" s="94"/>
      <c r="B365" s="95"/>
      <c r="C365" s="95"/>
      <c r="D365" s="95"/>
      <c r="E365" s="95"/>
      <c r="F365" s="96"/>
      <c r="G365" s="95"/>
      <c r="H365" s="95"/>
      <c r="I365" s="97"/>
    </row>
    <row r="366" spans="1:9">
      <c r="A366" s="90"/>
      <c r="B366" s="91"/>
      <c r="C366" s="91"/>
      <c r="D366" s="91"/>
      <c r="E366" s="91"/>
      <c r="F366" s="92"/>
      <c r="G366" s="91"/>
      <c r="H366" s="91"/>
      <c r="I366" s="93"/>
    </row>
    <row r="367" spans="1:9">
      <c r="A367" s="94"/>
      <c r="B367" s="95"/>
      <c r="C367" s="95"/>
      <c r="D367" s="95"/>
      <c r="E367" s="95"/>
      <c r="F367" s="96"/>
      <c r="G367" s="95"/>
      <c r="H367" s="95"/>
      <c r="I367" s="97"/>
    </row>
    <row r="368" spans="1:9">
      <c r="A368" s="90"/>
      <c r="B368" s="91"/>
      <c r="C368" s="91"/>
      <c r="D368" s="91"/>
      <c r="E368" s="91"/>
      <c r="F368" s="92"/>
      <c r="G368" s="91"/>
      <c r="H368" s="91"/>
      <c r="I368" s="93"/>
    </row>
    <row r="369" spans="1:9">
      <c r="A369" s="94"/>
      <c r="B369" s="95"/>
      <c r="C369" s="95"/>
      <c r="D369" s="95"/>
      <c r="E369" s="95"/>
      <c r="F369" s="96"/>
      <c r="G369" s="95"/>
      <c r="H369" s="95"/>
      <c r="I369" s="97"/>
    </row>
    <row r="370" spans="1:9">
      <c r="A370" s="90"/>
      <c r="B370" s="91"/>
      <c r="C370" s="91"/>
      <c r="D370" s="91"/>
      <c r="E370" s="91"/>
      <c r="F370" s="92"/>
      <c r="G370" s="91"/>
      <c r="H370" s="91"/>
      <c r="I370" s="93"/>
    </row>
    <row r="371" spans="1:9">
      <c r="A371" s="94"/>
      <c r="B371" s="95"/>
      <c r="C371" s="95"/>
      <c r="D371" s="95"/>
      <c r="E371" s="95"/>
      <c r="F371" s="96"/>
      <c r="G371" s="95"/>
      <c r="H371" s="95"/>
      <c r="I371" s="97"/>
    </row>
    <row r="372" spans="1:9">
      <c r="A372" s="90"/>
      <c r="B372" s="91"/>
      <c r="C372" s="91"/>
      <c r="D372" s="91"/>
      <c r="E372" s="91"/>
      <c r="F372" s="92"/>
      <c r="G372" s="91"/>
      <c r="H372" s="91"/>
      <c r="I372" s="93"/>
    </row>
    <row r="373" spans="1:9">
      <c r="A373" s="94"/>
      <c r="B373" s="95"/>
      <c r="C373" s="95"/>
      <c r="D373" s="95"/>
      <c r="E373" s="95"/>
      <c r="F373" s="96"/>
      <c r="G373" s="95"/>
      <c r="H373" s="95"/>
      <c r="I373" s="97"/>
    </row>
    <row r="374" spans="1:9">
      <c r="A374" s="90"/>
      <c r="B374" s="91"/>
      <c r="C374" s="91"/>
      <c r="D374" s="91"/>
      <c r="E374" s="91"/>
      <c r="F374" s="92"/>
      <c r="G374" s="91"/>
      <c r="H374" s="91"/>
      <c r="I374" s="93"/>
    </row>
    <row r="375" spans="1:9">
      <c r="A375" s="94"/>
      <c r="B375" s="95"/>
      <c r="C375" s="95"/>
      <c r="D375" s="95"/>
      <c r="E375" s="95"/>
      <c r="F375" s="96"/>
      <c r="G375" s="95"/>
      <c r="H375" s="95"/>
      <c r="I375" s="97"/>
    </row>
    <row r="376" spans="1:9">
      <c r="A376" s="90"/>
      <c r="B376" s="91"/>
      <c r="C376" s="91"/>
      <c r="D376" s="91"/>
      <c r="E376" s="91"/>
      <c r="F376" s="92"/>
      <c r="G376" s="91"/>
      <c r="H376" s="91"/>
      <c r="I376" s="93"/>
    </row>
    <row r="377" spans="1:9">
      <c r="A377" s="94"/>
      <c r="B377" s="95"/>
      <c r="C377" s="95"/>
      <c r="D377" s="95"/>
      <c r="E377" s="95"/>
      <c r="F377" s="96"/>
      <c r="G377" s="95"/>
      <c r="H377" s="95"/>
      <c r="I377" s="97"/>
    </row>
    <row r="378" spans="1:9">
      <c r="A378" s="90"/>
      <c r="B378" s="91"/>
      <c r="C378" s="91"/>
      <c r="D378" s="91"/>
      <c r="E378" s="91"/>
      <c r="F378" s="92"/>
      <c r="G378" s="91"/>
      <c r="H378" s="91"/>
      <c r="I378" s="93"/>
    </row>
    <row r="379" spans="1:9">
      <c r="A379" s="94"/>
      <c r="B379" s="95"/>
      <c r="C379" s="95"/>
      <c r="D379" s="95"/>
      <c r="E379" s="95"/>
      <c r="F379" s="96"/>
      <c r="G379" s="95"/>
      <c r="H379" s="95"/>
      <c r="I379" s="97"/>
    </row>
    <row r="380" spans="1:9">
      <c r="A380" s="90"/>
      <c r="B380" s="91"/>
      <c r="C380" s="91"/>
      <c r="D380" s="91"/>
      <c r="E380" s="91"/>
      <c r="F380" s="92"/>
      <c r="G380" s="91"/>
      <c r="H380" s="91"/>
      <c r="I380" s="93"/>
    </row>
    <row r="381" spans="1:9">
      <c r="A381" s="94"/>
      <c r="B381" s="95"/>
      <c r="C381" s="95"/>
      <c r="D381" s="95"/>
      <c r="E381" s="95"/>
      <c r="F381" s="96"/>
      <c r="G381" s="95"/>
      <c r="H381" s="95"/>
      <c r="I381" s="97"/>
    </row>
    <row r="382" spans="1:9">
      <c r="A382" s="90"/>
      <c r="B382" s="91"/>
      <c r="C382" s="91"/>
      <c r="D382" s="91"/>
      <c r="E382" s="91"/>
      <c r="F382" s="92"/>
      <c r="G382" s="91"/>
      <c r="H382" s="91"/>
      <c r="I382" s="93"/>
    </row>
    <row r="383" spans="1:9">
      <c r="A383" s="94"/>
      <c r="B383" s="95"/>
      <c r="C383" s="95"/>
      <c r="D383" s="95"/>
      <c r="E383" s="95"/>
      <c r="F383" s="96"/>
      <c r="G383" s="95"/>
      <c r="H383" s="95"/>
      <c r="I383" s="97"/>
    </row>
    <row r="384" spans="1:9">
      <c r="A384" s="90"/>
      <c r="B384" s="91"/>
      <c r="C384" s="91"/>
      <c r="D384" s="91"/>
      <c r="E384" s="91"/>
      <c r="F384" s="92"/>
      <c r="G384" s="91"/>
      <c r="H384" s="91"/>
      <c r="I384" s="93"/>
    </row>
    <row r="385" spans="1:9">
      <c r="A385" s="94"/>
      <c r="B385" s="95"/>
      <c r="C385" s="95"/>
      <c r="D385" s="95"/>
      <c r="E385" s="95"/>
      <c r="F385" s="96"/>
      <c r="G385" s="95"/>
      <c r="H385" s="95"/>
      <c r="I385" s="97"/>
    </row>
    <row r="386" spans="1:9">
      <c r="A386" s="90"/>
      <c r="B386" s="91"/>
      <c r="C386" s="91"/>
      <c r="D386" s="91"/>
      <c r="E386" s="91"/>
      <c r="F386" s="92"/>
      <c r="G386" s="91"/>
      <c r="H386" s="91"/>
      <c r="I386" s="93"/>
    </row>
    <row r="387" spans="1:9">
      <c r="A387" s="94"/>
      <c r="B387" s="95"/>
      <c r="C387" s="95"/>
      <c r="D387" s="95"/>
      <c r="E387" s="95"/>
      <c r="F387" s="96"/>
      <c r="G387" s="95"/>
      <c r="H387" s="95"/>
      <c r="I387" s="97"/>
    </row>
    <row r="388" spans="1:9">
      <c r="A388" s="90"/>
      <c r="B388" s="91"/>
      <c r="C388" s="91"/>
      <c r="D388" s="91"/>
      <c r="E388" s="91"/>
      <c r="F388" s="92"/>
      <c r="G388" s="91"/>
      <c r="H388" s="91"/>
      <c r="I388" s="93"/>
    </row>
    <row r="389" spans="1:9">
      <c r="A389" s="94"/>
      <c r="B389" s="95"/>
      <c r="C389" s="95"/>
      <c r="D389" s="95"/>
      <c r="E389" s="95"/>
      <c r="F389" s="96"/>
      <c r="G389" s="95"/>
      <c r="H389" s="95"/>
      <c r="I389" s="97"/>
    </row>
    <row r="390" spans="1:9">
      <c r="A390" s="90"/>
      <c r="B390" s="91"/>
      <c r="C390" s="91"/>
      <c r="D390" s="91"/>
      <c r="E390" s="91"/>
      <c r="F390" s="92"/>
      <c r="G390" s="91"/>
      <c r="H390" s="91"/>
      <c r="I390" s="93"/>
    </row>
    <row r="391" spans="1:9">
      <c r="A391" s="94"/>
      <c r="B391" s="95"/>
      <c r="C391" s="95"/>
      <c r="D391" s="95"/>
      <c r="E391" s="95"/>
      <c r="F391" s="96"/>
      <c r="G391" s="95"/>
      <c r="H391" s="95"/>
      <c r="I391" s="97"/>
    </row>
    <row r="392" spans="1:9">
      <c r="A392" s="90"/>
      <c r="B392" s="91"/>
      <c r="C392" s="91"/>
      <c r="D392" s="91"/>
      <c r="E392" s="91"/>
      <c r="F392" s="92"/>
      <c r="G392" s="91"/>
      <c r="H392" s="91"/>
      <c r="I392" s="93"/>
    </row>
    <row r="393" spans="1:9">
      <c r="A393" s="94"/>
      <c r="B393" s="95"/>
      <c r="C393" s="95"/>
      <c r="D393" s="95"/>
      <c r="E393" s="95"/>
      <c r="F393" s="96"/>
      <c r="G393" s="95"/>
      <c r="H393" s="95"/>
      <c r="I393" s="97"/>
    </row>
    <row r="394" spans="1:9">
      <c r="A394" s="90"/>
      <c r="B394" s="91"/>
      <c r="C394" s="91"/>
      <c r="D394" s="91"/>
      <c r="E394" s="91"/>
      <c r="F394" s="92"/>
      <c r="G394" s="91"/>
      <c r="H394" s="91"/>
      <c r="I394" s="93"/>
    </row>
    <row r="395" spans="1:9">
      <c r="A395" s="94"/>
      <c r="B395" s="95"/>
      <c r="C395" s="95"/>
      <c r="D395" s="95"/>
      <c r="E395" s="95"/>
      <c r="F395" s="96"/>
      <c r="G395" s="95"/>
      <c r="H395" s="95"/>
      <c r="I395" s="97"/>
    </row>
    <row r="396" spans="1:9">
      <c r="A396" s="90"/>
      <c r="B396" s="91"/>
      <c r="C396" s="91"/>
      <c r="D396" s="91"/>
      <c r="E396" s="91"/>
      <c r="F396" s="92"/>
      <c r="G396" s="91"/>
      <c r="H396" s="91"/>
      <c r="I396" s="93"/>
    </row>
    <row r="397" spans="1:9">
      <c r="A397" s="94"/>
      <c r="B397" s="95"/>
      <c r="C397" s="95"/>
      <c r="D397" s="95"/>
      <c r="E397" s="95"/>
      <c r="F397" s="96"/>
      <c r="G397" s="95"/>
      <c r="H397" s="95"/>
      <c r="I397" s="97"/>
    </row>
    <row r="398" spans="1:9">
      <c r="A398" s="90"/>
      <c r="B398" s="91"/>
      <c r="C398" s="91"/>
      <c r="D398" s="91"/>
      <c r="E398" s="91"/>
      <c r="F398" s="92"/>
      <c r="G398" s="91"/>
      <c r="H398" s="91"/>
      <c r="I398" s="93"/>
    </row>
    <row r="399" spans="1:9">
      <c r="A399" s="94"/>
      <c r="B399" s="95"/>
      <c r="C399" s="95"/>
      <c r="D399" s="95"/>
      <c r="E399" s="95"/>
      <c r="F399" s="96"/>
      <c r="G399" s="95"/>
      <c r="H399" s="95"/>
      <c r="I399" s="97"/>
    </row>
    <row r="400" spans="1:9">
      <c r="A400" s="90"/>
      <c r="B400" s="91"/>
      <c r="C400" s="91"/>
      <c r="D400" s="91"/>
      <c r="E400" s="91"/>
      <c r="F400" s="92"/>
      <c r="G400" s="91"/>
      <c r="H400" s="91"/>
      <c r="I400" s="93"/>
    </row>
    <row r="401" spans="1:9">
      <c r="A401" s="94"/>
      <c r="B401" s="95"/>
      <c r="C401" s="95"/>
      <c r="D401" s="95"/>
      <c r="E401" s="95"/>
      <c r="F401" s="96"/>
      <c r="G401" s="95"/>
      <c r="H401" s="95"/>
      <c r="I401" s="97"/>
    </row>
    <row r="402" spans="1:9">
      <c r="A402" s="90"/>
      <c r="B402" s="91"/>
      <c r="C402" s="91"/>
      <c r="D402" s="91"/>
      <c r="E402" s="91"/>
      <c r="F402" s="92"/>
      <c r="G402" s="91"/>
      <c r="H402" s="91"/>
      <c r="I402" s="93"/>
    </row>
    <row r="403" spans="1:9">
      <c r="A403" s="94"/>
      <c r="B403" s="95"/>
      <c r="C403" s="95"/>
      <c r="D403" s="95"/>
      <c r="E403" s="95"/>
      <c r="F403" s="96"/>
      <c r="G403" s="95"/>
      <c r="H403" s="95"/>
      <c r="I403" s="97"/>
    </row>
    <row r="404" spans="1:9">
      <c r="A404" s="90"/>
      <c r="B404" s="91"/>
      <c r="C404" s="91"/>
      <c r="D404" s="91"/>
      <c r="E404" s="91"/>
      <c r="F404" s="92"/>
      <c r="G404" s="91"/>
      <c r="H404" s="91"/>
      <c r="I404" s="93"/>
    </row>
    <row r="405" spans="1:9">
      <c r="A405" s="94"/>
      <c r="B405" s="95"/>
      <c r="C405" s="95"/>
      <c r="D405" s="95"/>
      <c r="E405" s="95"/>
      <c r="F405" s="96"/>
      <c r="G405" s="95"/>
      <c r="H405" s="95"/>
      <c r="I405" s="97"/>
    </row>
    <row r="406" spans="1:9">
      <c r="A406" s="90"/>
      <c r="B406" s="91"/>
      <c r="C406" s="91"/>
      <c r="D406" s="91"/>
      <c r="E406" s="91"/>
      <c r="F406" s="92"/>
      <c r="G406" s="91"/>
      <c r="H406" s="91"/>
      <c r="I406" s="93"/>
    </row>
    <row r="407" spans="1:9">
      <c r="A407" s="94"/>
      <c r="B407" s="95"/>
      <c r="C407" s="95"/>
      <c r="D407" s="95"/>
      <c r="E407" s="95"/>
      <c r="F407" s="96"/>
      <c r="G407" s="95"/>
      <c r="H407" s="95"/>
      <c r="I407" s="97"/>
    </row>
    <row r="408" spans="1:9">
      <c r="A408" s="90"/>
      <c r="B408" s="91"/>
      <c r="C408" s="91"/>
      <c r="D408" s="91"/>
      <c r="E408" s="91"/>
      <c r="F408" s="92"/>
      <c r="G408" s="91"/>
      <c r="H408" s="91"/>
      <c r="I408" s="93"/>
    </row>
    <row r="409" spans="1:9">
      <c r="A409" s="94"/>
      <c r="B409" s="95"/>
      <c r="C409" s="95"/>
      <c r="D409" s="95"/>
      <c r="E409" s="95"/>
      <c r="F409" s="96"/>
      <c r="G409" s="95"/>
      <c r="H409" s="95"/>
      <c r="I409" s="97"/>
    </row>
    <row r="410" spans="1:9">
      <c r="A410" s="90"/>
      <c r="B410" s="91"/>
      <c r="C410" s="91"/>
      <c r="D410" s="91"/>
      <c r="E410" s="91"/>
      <c r="F410" s="92"/>
      <c r="G410" s="91"/>
      <c r="H410" s="91"/>
      <c r="I410" s="93"/>
    </row>
    <row r="411" spans="1:9">
      <c r="A411" s="94"/>
      <c r="B411" s="95"/>
      <c r="C411" s="95"/>
      <c r="D411" s="95"/>
      <c r="E411" s="95"/>
      <c r="F411" s="96"/>
      <c r="G411" s="95"/>
      <c r="H411" s="95"/>
      <c r="I411" s="97"/>
    </row>
    <row r="412" spans="1:9">
      <c r="A412" s="90"/>
      <c r="B412" s="91"/>
      <c r="C412" s="91"/>
      <c r="D412" s="91"/>
      <c r="E412" s="91"/>
      <c r="F412" s="92"/>
      <c r="G412" s="91"/>
      <c r="H412" s="91"/>
      <c r="I412" s="93"/>
    </row>
    <row r="413" spans="1:9">
      <c r="A413" s="94"/>
      <c r="B413" s="95"/>
      <c r="C413" s="95"/>
      <c r="D413" s="95"/>
      <c r="E413" s="95"/>
      <c r="F413" s="96"/>
      <c r="G413" s="95"/>
      <c r="H413" s="95"/>
      <c r="I413" s="97"/>
    </row>
    <row r="414" spans="1:9">
      <c r="A414" s="90"/>
      <c r="B414" s="91"/>
      <c r="C414" s="91"/>
      <c r="D414" s="91"/>
      <c r="E414" s="91"/>
      <c r="F414" s="92"/>
      <c r="G414" s="91"/>
      <c r="H414" s="91"/>
      <c r="I414" s="93"/>
    </row>
    <row r="415" spans="1:9">
      <c r="A415" s="94"/>
      <c r="B415" s="95"/>
      <c r="C415" s="95"/>
      <c r="D415" s="95"/>
      <c r="E415" s="95"/>
      <c r="F415" s="96"/>
      <c r="G415" s="95"/>
      <c r="H415" s="95"/>
      <c r="I415" s="97"/>
    </row>
    <row r="416" spans="1:9">
      <c r="A416" s="90"/>
      <c r="B416" s="91"/>
      <c r="C416" s="91"/>
      <c r="D416" s="91"/>
      <c r="E416" s="91"/>
      <c r="F416" s="92"/>
      <c r="G416" s="91"/>
      <c r="H416" s="91"/>
      <c r="I416" s="93"/>
    </row>
    <row r="417" spans="1:9">
      <c r="A417" s="94"/>
      <c r="B417" s="95"/>
      <c r="C417" s="95"/>
      <c r="D417" s="95"/>
      <c r="E417" s="95"/>
      <c r="F417" s="96"/>
      <c r="G417" s="95"/>
      <c r="H417" s="95"/>
      <c r="I417" s="97"/>
    </row>
    <row r="418" spans="1:9">
      <c r="A418" s="90"/>
      <c r="B418" s="91"/>
      <c r="C418" s="91"/>
      <c r="D418" s="91"/>
      <c r="E418" s="91"/>
      <c r="F418" s="92"/>
      <c r="G418" s="91"/>
      <c r="H418" s="91"/>
      <c r="I418" s="93"/>
    </row>
    <row r="419" spans="1:9">
      <c r="A419" s="94"/>
      <c r="B419" s="95"/>
      <c r="C419" s="95"/>
      <c r="D419" s="95"/>
      <c r="E419" s="95"/>
      <c r="F419" s="96"/>
      <c r="G419" s="95"/>
      <c r="H419" s="95"/>
      <c r="I419" s="97"/>
    </row>
    <row r="420" spans="1:9">
      <c r="A420" s="90"/>
      <c r="B420" s="91"/>
      <c r="C420" s="91"/>
      <c r="D420" s="91"/>
      <c r="E420" s="91"/>
      <c r="F420" s="92"/>
      <c r="G420" s="91"/>
      <c r="H420" s="91"/>
      <c r="I420" s="93"/>
    </row>
    <row r="421" spans="1:9">
      <c r="A421" s="94"/>
      <c r="B421" s="95"/>
      <c r="C421" s="95"/>
      <c r="D421" s="95"/>
      <c r="E421" s="95"/>
      <c r="F421" s="96"/>
      <c r="G421" s="95"/>
      <c r="H421" s="95"/>
      <c r="I421" s="97"/>
    </row>
    <row r="422" spans="1:9">
      <c r="A422" s="90"/>
      <c r="B422" s="91"/>
      <c r="C422" s="91"/>
      <c r="D422" s="91"/>
      <c r="E422" s="91"/>
      <c r="F422" s="92"/>
      <c r="G422" s="91"/>
      <c r="H422" s="91"/>
      <c r="I422" s="93"/>
    </row>
    <row r="423" spans="1:9">
      <c r="A423" s="94"/>
      <c r="B423" s="95"/>
      <c r="C423" s="95"/>
      <c r="D423" s="95"/>
      <c r="E423" s="95"/>
      <c r="F423" s="96"/>
      <c r="G423" s="95"/>
      <c r="H423" s="95"/>
      <c r="I423" s="97"/>
    </row>
    <row r="424" spans="1:9">
      <c r="A424" s="90"/>
      <c r="B424" s="91"/>
      <c r="C424" s="91"/>
      <c r="D424" s="91"/>
      <c r="E424" s="91"/>
      <c r="F424" s="92"/>
      <c r="G424" s="91"/>
      <c r="H424" s="91"/>
      <c r="I424" s="93"/>
    </row>
    <row r="425" spans="1:9">
      <c r="A425" s="94"/>
      <c r="B425" s="95"/>
      <c r="C425" s="95"/>
      <c r="D425" s="95"/>
      <c r="E425" s="95"/>
      <c r="F425" s="96"/>
      <c r="G425" s="95"/>
      <c r="H425" s="95"/>
      <c r="I425" s="97"/>
    </row>
    <row r="426" spans="1:9">
      <c r="A426" s="90"/>
      <c r="B426" s="91"/>
      <c r="C426" s="91"/>
      <c r="D426" s="91"/>
      <c r="E426" s="91"/>
      <c r="F426" s="92"/>
      <c r="G426" s="91"/>
      <c r="H426" s="91"/>
      <c r="I426" s="93"/>
    </row>
    <row r="427" spans="1:9">
      <c r="A427" s="94"/>
      <c r="B427" s="95"/>
      <c r="C427" s="95"/>
      <c r="D427" s="95"/>
      <c r="E427" s="95"/>
      <c r="F427" s="96"/>
      <c r="G427" s="95"/>
      <c r="H427" s="95"/>
      <c r="I427" s="97"/>
    </row>
    <row r="428" spans="1:9">
      <c r="A428" s="90"/>
      <c r="B428" s="91"/>
      <c r="C428" s="91"/>
      <c r="D428" s="91"/>
      <c r="E428" s="91"/>
      <c r="F428" s="92"/>
      <c r="G428" s="91"/>
      <c r="H428" s="91"/>
      <c r="I428" s="93"/>
    </row>
    <row r="429" spans="1:9">
      <c r="A429" s="94"/>
      <c r="B429" s="95"/>
      <c r="C429" s="95"/>
      <c r="D429" s="95"/>
      <c r="E429" s="95"/>
      <c r="F429" s="96"/>
      <c r="G429" s="95"/>
      <c r="H429" s="95"/>
      <c r="I429" s="97"/>
    </row>
    <row r="430" spans="1:9">
      <c r="A430" s="90"/>
      <c r="B430" s="91"/>
      <c r="C430" s="91"/>
      <c r="D430" s="91"/>
      <c r="E430" s="91"/>
      <c r="F430" s="92"/>
      <c r="G430" s="91"/>
      <c r="H430" s="91"/>
      <c r="I430" s="93"/>
    </row>
    <row r="431" spans="1:9">
      <c r="A431" s="94"/>
      <c r="B431" s="95"/>
      <c r="C431" s="95"/>
      <c r="D431" s="95"/>
      <c r="E431" s="95"/>
      <c r="F431" s="96"/>
      <c r="G431" s="95"/>
      <c r="H431" s="95"/>
      <c r="I431" s="97"/>
    </row>
    <row r="432" spans="1:9">
      <c r="A432" s="90"/>
      <c r="B432" s="91"/>
      <c r="C432" s="91"/>
      <c r="D432" s="91"/>
      <c r="E432" s="91"/>
      <c r="F432" s="92"/>
      <c r="G432" s="91"/>
      <c r="H432" s="91"/>
      <c r="I432" s="93"/>
    </row>
    <row r="433" spans="1:9">
      <c r="A433" s="94"/>
      <c r="B433" s="95"/>
      <c r="C433" s="95"/>
      <c r="D433" s="95"/>
      <c r="E433" s="95"/>
      <c r="F433" s="96"/>
      <c r="G433" s="95"/>
      <c r="H433" s="95"/>
      <c r="I433" s="97"/>
    </row>
    <row r="434" spans="1:9">
      <c r="A434" s="90"/>
      <c r="B434" s="91"/>
      <c r="C434" s="91"/>
      <c r="D434" s="91"/>
      <c r="E434" s="91"/>
      <c r="F434" s="92"/>
      <c r="G434" s="91"/>
      <c r="H434" s="91"/>
      <c r="I434" s="93"/>
    </row>
    <row r="435" spans="1:9">
      <c r="A435" s="94"/>
      <c r="B435" s="95"/>
      <c r="C435" s="95"/>
      <c r="D435" s="95"/>
      <c r="E435" s="95"/>
      <c r="F435" s="96"/>
      <c r="G435" s="95"/>
      <c r="H435" s="95"/>
      <c r="I435" s="97"/>
    </row>
    <row r="436" spans="1:9">
      <c r="A436" s="90"/>
      <c r="B436" s="91"/>
      <c r="C436" s="91"/>
      <c r="D436" s="91"/>
      <c r="E436" s="91"/>
      <c r="F436" s="92"/>
      <c r="G436" s="91"/>
      <c r="H436" s="91"/>
      <c r="I436" s="93"/>
    </row>
    <row r="437" spans="1:9">
      <c r="A437" s="94"/>
      <c r="B437" s="95"/>
      <c r="C437" s="95"/>
      <c r="D437" s="95"/>
      <c r="E437" s="95"/>
      <c r="F437" s="96"/>
      <c r="G437" s="95"/>
      <c r="H437" s="95"/>
      <c r="I437" s="97"/>
    </row>
    <row r="438" spans="1:9">
      <c r="A438" s="90"/>
      <c r="B438" s="91"/>
      <c r="C438" s="91"/>
      <c r="D438" s="91"/>
      <c r="E438" s="91"/>
      <c r="F438" s="92"/>
      <c r="G438" s="91"/>
      <c r="H438" s="91"/>
      <c r="I438" s="93"/>
    </row>
    <row r="439" spans="1:9">
      <c r="A439" s="94"/>
      <c r="B439" s="95"/>
      <c r="C439" s="95"/>
      <c r="D439" s="95"/>
      <c r="E439" s="95"/>
      <c r="F439" s="96"/>
      <c r="G439" s="95"/>
      <c r="H439" s="95"/>
      <c r="I439" s="97"/>
    </row>
    <row r="440" spans="1:9">
      <c r="A440" s="90"/>
      <c r="B440" s="91"/>
      <c r="C440" s="91"/>
      <c r="D440" s="91"/>
      <c r="E440" s="91"/>
      <c r="F440" s="92"/>
      <c r="G440" s="91"/>
      <c r="H440" s="91"/>
      <c r="I440" s="93"/>
    </row>
    <row r="441" spans="1:9">
      <c r="A441" s="94"/>
      <c r="B441" s="95"/>
      <c r="C441" s="95"/>
      <c r="D441" s="95"/>
      <c r="E441" s="95"/>
      <c r="F441" s="96"/>
      <c r="G441" s="95"/>
      <c r="H441" s="95"/>
      <c r="I441" s="97"/>
    </row>
    <row r="442" spans="1:9">
      <c r="A442" s="90"/>
      <c r="B442" s="91"/>
      <c r="C442" s="91"/>
      <c r="D442" s="91"/>
      <c r="E442" s="91"/>
      <c r="F442" s="92"/>
      <c r="G442" s="91"/>
      <c r="H442" s="91"/>
      <c r="I442" s="93"/>
    </row>
    <row r="443" spans="1:9">
      <c r="A443" s="94"/>
      <c r="B443" s="95"/>
      <c r="C443" s="95"/>
      <c r="D443" s="95"/>
      <c r="E443" s="95"/>
      <c r="F443" s="96"/>
      <c r="G443" s="95"/>
      <c r="H443" s="95"/>
      <c r="I443" s="97"/>
    </row>
    <row r="444" spans="1:9">
      <c r="A444" s="90"/>
      <c r="B444" s="91"/>
      <c r="C444" s="91"/>
      <c r="D444" s="91"/>
      <c r="E444" s="91"/>
      <c r="F444" s="92"/>
      <c r="G444" s="91"/>
      <c r="H444" s="91"/>
      <c r="I444" s="93"/>
    </row>
    <row r="445" spans="1:9">
      <c r="A445" s="94"/>
      <c r="B445" s="95"/>
      <c r="C445" s="95"/>
      <c r="D445" s="95"/>
      <c r="E445" s="95"/>
      <c r="F445" s="96"/>
      <c r="G445" s="95"/>
      <c r="H445" s="95"/>
      <c r="I445" s="97"/>
    </row>
    <row r="446" spans="1:9">
      <c r="A446" s="90"/>
      <c r="B446" s="91"/>
      <c r="C446" s="91"/>
      <c r="D446" s="91"/>
      <c r="E446" s="91"/>
      <c r="F446" s="92"/>
      <c r="G446" s="91"/>
      <c r="H446" s="91"/>
      <c r="I446" s="93"/>
    </row>
    <row r="447" spans="1:9">
      <c r="A447" s="94"/>
      <c r="B447" s="95"/>
      <c r="C447" s="95"/>
      <c r="D447" s="95"/>
      <c r="E447" s="95"/>
      <c r="F447" s="96"/>
      <c r="G447" s="95"/>
      <c r="H447" s="95"/>
      <c r="I447" s="97"/>
    </row>
    <row r="448" spans="1:9">
      <c r="A448" s="90"/>
      <c r="B448" s="91"/>
      <c r="C448" s="91"/>
      <c r="D448" s="91"/>
      <c r="E448" s="91"/>
      <c r="F448" s="92"/>
      <c r="G448" s="91"/>
      <c r="H448" s="91"/>
      <c r="I448" s="93"/>
    </row>
    <row r="449" spans="1:9">
      <c r="A449" s="94"/>
      <c r="B449" s="95"/>
      <c r="C449" s="95"/>
      <c r="D449" s="95"/>
      <c r="E449" s="95"/>
      <c r="F449" s="96"/>
      <c r="G449" s="95"/>
      <c r="H449" s="95"/>
      <c r="I449" s="97"/>
    </row>
    <row r="450" spans="1:9">
      <c r="A450" s="90"/>
      <c r="B450" s="91"/>
      <c r="C450" s="91"/>
      <c r="D450" s="91"/>
      <c r="E450" s="91"/>
      <c r="F450" s="92"/>
      <c r="G450" s="91"/>
      <c r="H450" s="91"/>
      <c r="I450" s="93"/>
    </row>
    <row r="451" spans="1:9">
      <c r="A451" s="94"/>
      <c r="B451" s="95"/>
      <c r="C451" s="95"/>
      <c r="D451" s="95"/>
      <c r="E451" s="95"/>
      <c r="F451" s="96"/>
      <c r="G451" s="95"/>
      <c r="H451" s="95"/>
      <c r="I451" s="97"/>
    </row>
    <row r="452" spans="1:9">
      <c r="A452" s="90"/>
      <c r="B452" s="91"/>
      <c r="C452" s="91"/>
      <c r="D452" s="91"/>
      <c r="E452" s="91"/>
      <c r="F452" s="92"/>
      <c r="G452" s="91"/>
      <c r="H452" s="91"/>
      <c r="I452" s="93"/>
    </row>
    <row r="453" spans="1:9">
      <c r="A453" s="94"/>
      <c r="B453" s="95"/>
      <c r="C453" s="95"/>
      <c r="D453" s="95"/>
      <c r="E453" s="95"/>
      <c r="F453" s="96"/>
      <c r="G453" s="95"/>
      <c r="H453" s="95"/>
      <c r="I453" s="97"/>
    </row>
    <row r="454" spans="1:9">
      <c r="A454" s="90"/>
      <c r="B454" s="91"/>
      <c r="C454" s="91"/>
      <c r="D454" s="91"/>
      <c r="E454" s="91"/>
      <c r="F454" s="92"/>
      <c r="G454" s="91"/>
      <c r="H454" s="91"/>
      <c r="I454" s="93"/>
    </row>
    <row r="455" spans="1:9">
      <c r="A455" s="94"/>
      <c r="B455" s="95"/>
      <c r="C455" s="95"/>
      <c r="D455" s="95"/>
      <c r="E455" s="95"/>
      <c r="F455" s="96"/>
      <c r="G455" s="95"/>
      <c r="H455" s="95"/>
      <c r="I455" s="97"/>
    </row>
    <row r="456" spans="1:9">
      <c r="A456" s="90"/>
      <c r="B456" s="91"/>
      <c r="C456" s="91"/>
      <c r="D456" s="91"/>
      <c r="E456" s="91"/>
      <c r="F456" s="92"/>
      <c r="G456" s="91"/>
      <c r="H456" s="91"/>
      <c r="I456" s="93"/>
    </row>
    <row r="457" spans="1:9">
      <c r="A457" s="94"/>
      <c r="B457" s="95"/>
      <c r="C457" s="95"/>
      <c r="D457" s="95"/>
      <c r="E457" s="95"/>
      <c r="F457" s="96"/>
      <c r="G457" s="95"/>
      <c r="H457" s="95"/>
      <c r="I457" s="97"/>
    </row>
    <row r="458" spans="1:9">
      <c r="A458" s="90"/>
      <c r="B458" s="91"/>
      <c r="C458" s="91"/>
      <c r="D458" s="91"/>
      <c r="E458" s="91"/>
      <c r="F458" s="92"/>
      <c r="G458" s="91"/>
      <c r="H458" s="91"/>
      <c r="I458" s="93"/>
    </row>
    <row r="459" spans="1:9">
      <c r="A459" s="94"/>
      <c r="B459" s="95"/>
      <c r="C459" s="95"/>
      <c r="D459" s="95"/>
      <c r="E459" s="95"/>
      <c r="F459" s="96"/>
      <c r="G459" s="95"/>
      <c r="H459" s="95"/>
      <c r="I459" s="97"/>
    </row>
    <row r="460" spans="1:9">
      <c r="A460" s="90"/>
      <c r="B460" s="91"/>
      <c r="C460" s="91"/>
      <c r="D460" s="91"/>
      <c r="E460" s="91"/>
      <c r="F460" s="92"/>
      <c r="G460" s="91"/>
      <c r="H460" s="91"/>
      <c r="I460" s="93"/>
    </row>
    <row r="461" spans="1:9">
      <c r="A461" s="94"/>
      <c r="B461" s="95"/>
      <c r="C461" s="95"/>
      <c r="D461" s="95"/>
      <c r="E461" s="95"/>
      <c r="F461" s="96"/>
      <c r="G461" s="95"/>
      <c r="H461" s="95"/>
      <c r="I461" s="97"/>
    </row>
    <row r="462" spans="1:9">
      <c r="A462" s="90"/>
      <c r="B462" s="91"/>
      <c r="C462" s="91"/>
      <c r="D462" s="91"/>
      <c r="E462" s="91"/>
      <c r="F462" s="92"/>
      <c r="G462" s="91"/>
      <c r="H462" s="91"/>
      <c r="I462" s="93"/>
    </row>
    <row r="463" spans="1:9">
      <c r="A463" s="94"/>
      <c r="B463" s="95"/>
      <c r="C463" s="95"/>
      <c r="D463" s="95"/>
      <c r="E463" s="95"/>
      <c r="F463" s="96"/>
      <c r="G463" s="95"/>
      <c r="H463" s="95"/>
      <c r="I463" s="97"/>
    </row>
    <row r="464" spans="1:9">
      <c r="A464" s="90"/>
      <c r="B464" s="91"/>
      <c r="C464" s="91"/>
      <c r="D464" s="91"/>
      <c r="E464" s="91"/>
      <c r="F464" s="92"/>
      <c r="G464" s="91"/>
      <c r="H464" s="91"/>
      <c r="I464" s="93"/>
    </row>
    <row r="465" spans="1:9">
      <c r="A465" s="94"/>
      <c r="B465" s="95"/>
      <c r="C465" s="95"/>
      <c r="D465" s="95"/>
      <c r="E465" s="95"/>
      <c r="F465" s="96"/>
      <c r="G465" s="95"/>
      <c r="H465" s="95"/>
      <c r="I465" s="97"/>
    </row>
    <row r="466" spans="1:9">
      <c r="A466" s="90"/>
      <c r="B466" s="91"/>
      <c r="C466" s="91"/>
      <c r="D466" s="91"/>
      <c r="E466" s="91"/>
      <c r="F466" s="92"/>
      <c r="G466" s="91"/>
      <c r="H466" s="91"/>
      <c r="I466" s="93"/>
    </row>
    <row r="467" spans="1:9">
      <c r="A467" s="94"/>
      <c r="B467" s="95"/>
      <c r="C467" s="95"/>
      <c r="D467" s="95"/>
      <c r="E467" s="95"/>
      <c r="F467" s="96"/>
      <c r="G467" s="95"/>
      <c r="H467" s="95"/>
      <c r="I467" s="97"/>
    </row>
    <row r="468" spans="1:9">
      <c r="A468" s="90"/>
      <c r="B468" s="91"/>
      <c r="C468" s="91"/>
      <c r="D468" s="91"/>
      <c r="E468" s="91"/>
      <c r="F468" s="92"/>
      <c r="G468" s="91"/>
      <c r="H468" s="91"/>
      <c r="I468" s="93"/>
    </row>
    <row r="469" spans="1:9">
      <c r="A469" s="94"/>
      <c r="B469" s="95"/>
      <c r="C469" s="95"/>
      <c r="D469" s="95"/>
      <c r="E469" s="95"/>
      <c r="F469" s="96"/>
      <c r="G469" s="95"/>
      <c r="H469" s="95"/>
      <c r="I469" s="97"/>
    </row>
    <row r="470" spans="1:9">
      <c r="A470" s="90"/>
      <c r="B470" s="91"/>
      <c r="C470" s="91"/>
      <c r="D470" s="91"/>
      <c r="E470" s="91"/>
      <c r="F470" s="92"/>
      <c r="G470" s="91"/>
      <c r="H470" s="91"/>
      <c r="I470" s="93"/>
    </row>
    <row r="471" spans="1:9">
      <c r="A471" s="94"/>
      <c r="B471" s="95"/>
      <c r="C471" s="95"/>
      <c r="D471" s="95"/>
      <c r="E471" s="95"/>
      <c r="F471" s="96"/>
      <c r="G471" s="95"/>
      <c r="H471" s="95"/>
      <c r="I471" s="97"/>
    </row>
    <row r="472" spans="1:9">
      <c r="A472" s="90"/>
      <c r="B472" s="91"/>
      <c r="C472" s="91"/>
      <c r="D472" s="91"/>
      <c r="E472" s="91"/>
      <c r="F472" s="92"/>
      <c r="G472" s="91"/>
      <c r="H472" s="91"/>
      <c r="I472" s="93"/>
    </row>
    <row r="473" spans="1:9">
      <c r="A473" s="94"/>
      <c r="B473" s="95"/>
      <c r="C473" s="95"/>
      <c r="D473" s="95"/>
      <c r="E473" s="95"/>
      <c r="F473" s="96"/>
      <c r="G473" s="95"/>
      <c r="H473" s="95"/>
      <c r="I473" s="97"/>
    </row>
    <row r="474" spans="1:9">
      <c r="A474" s="90"/>
      <c r="B474" s="91"/>
      <c r="C474" s="91"/>
      <c r="D474" s="91"/>
      <c r="E474" s="91"/>
      <c r="F474" s="92"/>
      <c r="G474" s="91"/>
      <c r="H474" s="91"/>
      <c r="I474" s="93"/>
    </row>
    <row r="475" spans="1:9">
      <c r="A475" s="94"/>
      <c r="B475" s="95"/>
      <c r="C475" s="95"/>
      <c r="D475" s="95"/>
      <c r="E475" s="95"/>
      <c r="F475" s="96"/>
      <c r="G475" s="95"/>
      <c r="H475" s="95"/>
      <c r="I475" s="97"/>
    </row>
    <row r="476" spans="1:9">
      <c r="A476" s="90"/>
      <c r="B476" s="91"/>
      <c r="C476" s="91"/>
      <c r="D476" s="91"/>
      <c r="E476" s="91"/>
      <c r="F476" s="92"/>
      <c r="G476" s="91"/>
      <c r="H476" s="91"/>
      <c r="I476" s="93"/>
    </row>
    <row r="477" spans="1:9">
      <c r="A477" s="94"/>
      <c r="B477" s="95"/>
      <c r="C477" s="95"/>
      <c r="D477" s="95"/>
      <c r="E477" s="95"/>
      <c r="F477" s="96"/>
      <c r="G477" s="95"/>
      <c r="H477" s="95"/>
      <c r="I477" s="97"/>
    </row>
    <row r="478" spans="1:9">
      <c r="A478" s="90"/>
      <c r="B478" s="91"/>
      <c r="C478" s="91"/>
      <c r="D478" s="91"/>
      <c r="E478" s="91"/>
      <c r="F478" s="92"/>
      <c r="G478" s="91"/>
      <c r="H478" s="91"/>
      <c r="I478" s="93"/>
    </row>
    <row r="479" spans="1:9">
      <c r="A479" s="94"/>
      <c r="B479" s="95"/>
      <c r="C479" s="95"/>
      <c r="D479" s="95"/>
      <c r="E479" s="95"/>
      <c r="F479" s="96"/>
      <c r="G479" s="95"/>
      <c r="H479" s="95"/>
      <c r="I479" s="97"/>
    </row>
    <row r="480" spans="1:9">
      <c r="A480" s="90"/>
      <c r="B480" s="91"/>
      <c r="C480" s="91"/>
      <c r="D480" s="91"/>
      <c r="E480" s="91"/>
      <c r="F480" s="92"/>
      <c r="G480" s="91"/>
      <c r="H480" s="91"/>
      <c r="I480" s="93"/>
    </row>
    <row r="481" spans="1:9">
      <c r="A481" s="94"/>
      <c r="B481" s="95"/>
      <c r="C481" s="95"/>
      <c r="D481" s="95"/>
      <c r="E481" s="95"/>
      <c r="F481" s="96"/>
      <c r="G481" s="95"/>
      <c r="H481" s="95"/>
      <c r="I481" s="97"/>
    </row>
    <row r="482" spans="1:9">
      <c r="A482" s="90"/>
      <c r="B482" s="91"/>
      <c r="C482" s="91"/>
      <c r="D482" s="91"/>
      <c r="E482" s="91"/>
      <c r="F482" s="92"/>
      <c r="G482" s="91"/>
      <c r="H482" s="91"/>
      <c r="I482" s="93"/>
    </row>
    <row r="483" spans="1:9">
      <c r="A483" s="94"/>
      <c r="B483" s="95"/>
      <c r="C483" s="95"/>
      <c r="D483" s="95"/>
      <c r="E483" s="95"/>
      <c r="F483" s="96"/>
      <c r="G483" s="95"/>
      <c r="H483" s="95"/>
      <c r="I483" s="97"/>
    </row>
    <row r="484" spans="1:9">
      <c r="A484" s="90"/>
      <c r="B484" s="91"/>
      <c r="C484" s="91"/>
      <c r="D484" s="91"/>
      <c r="E484" s="91"/>
      <c r="F484" s="92"/>
      <c r="G484" s="91"/>
      <c r="H484" s="91"/>
      <c r="I484" s="93"/>
    </row>
    <row r="485" spans="1:9">
      <c r="A485" s="94"/>
      <c r="B485" s="95"/>
      <c r="C485" s="95"/>
      <c r="D485" s="95"/>
      <c r="E485" s="95"/>
      <c r="F485" s="96"/>
      <c r="G485" s="95"/>
      <c r="H485" s="95"/>
      <c r="I485" s="97"/>
    </row>
    <row r="486" spans="1:9">
      <c r="A486" s="90"/>
      <c r="B486" s="91"/>
      <c r="C486" s="91"/>
      <c r="D486" s="91"/>
      <c r="E486" s="91"/>
      <c r="F486" s="92"/>
      <c r="G486" s="91"/>
      <c r="H486" s="91"/>
      <c r="I486" s="93"/>
    </row>
    <row r="487" spans="1:9">
      <c r="A487" s="94"/>
      <c r="B487" s="95"/>
      <c r="C487" s="95"/>
      <c r="D487" s="95"/>
      <c r="E487" s="95"/>
      <c r="F487" s="96"/>
      <c r="G487" s="95"/>
      <c r="H487" s="95"/>
      <c r="I487" s="97"/>
    </row>
    <row r="488" spans="1:9">
      <c r="A488" s="90"/>
      <c r="B488" s="91"/>
      <c r="C488" s="91"/>
      <c r="D488" s="91"/>
      <c r="E488" s="91"/>
      <c r="F488" s="92"/>
      <c r="G488" s="91"/>
      <c r="H488" s="91"/>
      <c r="I488" s="93"/>
    </row>
    <row r="489" spans="1:9">
      <c r="A489" s="94"/>
      <c r="B489" s="95"/>
      <c r="C489" s="95"/>
      <c r="D489" s="95"/>
      <c r="E489" s="95"/>
      <c r="F489" s="96"/>
      <c r="G489" s="95"/>
      <c r="H489" s="95"/>
      <c r="I489" s="97"/>
    </row>
    <row r="490" spans="1:9">
      <c r="A490" s="90"/>
      <c r="B490" s="91"/>
      <c r="C490" s="91"/>
      <c r="D490" s="91"/>
      <c r="E490" s="91"/>
      <c r="F490" s="92"/>
      <c r="G490" s="91"/>
      <c r="H490" s="91"/>
      <c r="I490" s="93"/>
    </row>
    <row r="491" spans="1:9">
      <c r="A491" s="94"/>
      <c r="B491" s="95"/>
      <c r="C491" s="95"/>
      <c r="D491" s="95"/>
      <c r="E491" s="95"/>
      <c r="F491" s="96"/>
      <c r="G491" s="95"/>
      <c r="H491" s="95"/>
      <c r="I491" s="97"/>
    </row>
    <row r="492" spans="1:9">
      <c r="A492" s="90"/>
      <c r="B492" s="91"/>
      <c r="C492" s="91"/>
      <c r="D492" s="91"/>
      <c r="E492" s="91"/>
      <c r="F492" s="92"/>
      <c r="G492" s="91"/>
      <c r="H492" s="91"/>
      <c r="I492" s="93"/>
    </row>
    <row r="493" spans="1:9">
      <c r="A493" s="94"/>
      <c r="B493" s="95"/>
      <c r="C493" s="95"/>
      <c r="D493" s="95"/>
      <c r="E493" s="95"/>
      <c r="F493" s="96"/>
      <c r="G493" s="95"/>
      <c r="H493" s="95"/>
      <c r="I493" s="97"/>
    </row>
    <row r="494" spans="1:9">
      <c r="A494" s="90"/>
      <c r="B494" s="91"/>
      <c r="C494" s="91"/>
      <c r="D494" s="91"/>
      <c r="E494" s="91"/>
      <c r="F494" s="92"/>
      <c r="G494" s="91"/>
      <c r="H494" s="91"/>
      <c r="I494" s="93"/>
    </row>
    <row r="495" spans="1:9">
      <c r="A495" s="94"/>
      <c r="B495" s="95"/>
      <c r="C495" s="95"/>
      <c r="D495" s="95"/>
      <c r="E495" s="95"/>
      <c r="F495" s="96"/>
      <c r="G495" s="95"/>
      <c r="H495" s="95"/>
      <c r="I495" s="97"/>
    </row>
    <row r="496" spans="1:9">
      <c r="A496" s="90"/>
      <c r="B496" s="91"/>
      <c r="C496" s="91"/>
      <c r="D496" s="91"/>
      <c r="E496" s="91"/>
      <c r="F496" s="92"/>
      <c r="G496" s="91"/>
      <c r="H496" s="91"/>
      <c r="I496" s="93"/>
    </row>
    <row r="497" spans="1:9">
      <c r="A497" s="94"/>
      <c r="B497" s="95"/>
      <c r="C497" s="95"/>
      <c r="D497" s="95"/>
      <c r="E497" s="95"/>
      <c r="F497" s="96"/>
      <c r="G497" s="95"/>
      <c r="H497" s="95"/>
      <c r="I497" s="97"/>
    </row>
    <row r="498" spans="1:9">
      <c r="A498" s="90"/>
      <c r="B498" s="91"/>
      <c r="C498" s="91"/>
      <c r="D498" s="91"/>
      <c r="E498" s="91"/>
      <c r="F498" s="92"/>
      <c r="G498" s="91"/>
      <c r="H498" s="91"/>
      <c r="I498" s="93"/>
    </row>
    <row r="499" spans="1:9">
      <c r="A499" s="94"/>
      <c r="B499" s="95"/>
      <c r="C499" s="95"/>
      <c r="D499" s="95"/>
      <c r="E499" s="95"/>
      <c r="F499" s="96"/>
      <c r="G499" s="95"/>
      <c r="H499" s="95"/>
      <c r="I499" s="97"/>
    </row>
    <row r="500" spans="1:9">
      <c r="A500" s="90"/>
      <c r="B500" s="91"/>
      <c r="C500" s="91"/>
      <c r="D500" s="91"/>
      <c r="E500" s="91"/>
      <c r="F500" s="92"/>
      <c r="G500" s="91"/>
      <c r="H500" s="91"/>
      <c r="I500" s="93"/>
    </row>
    <row r="501" spans="1:9">
      <c r="A501" s="94"/>
      <c r="B501" s="95"/>
      <c r="C501" s="95"/>
      <c r="D501" s="95"/>
      <c r="E501" s="95"/>
      <c r="F501" s="96"/>
      <c r="G501" s="95"/>
      <c r="H501" s="95"/>
      <c r="I501" s="97"/>
    </row>
    <row r="502" spans="1:9">
      <c r="A502" s="90"/>
      <c r="B502" s="91"/>
      <c r="C502" s="91"/>
      <c r="D502" s="91"/>
      <c r="E502" s="91"/>
      <c r="F502" s="92"/>
      <c r="G502" s="91"/>
      <c r="H502" s="91"/>
      <c r="I502" s="93"/>
    </row>
    <row r="503" spans="1:9">
      <c r="A503" s="94"/>
      <c r="B503" s="95"/>
      <c r="C503" s="95"/>
      <c r="D503" s="95"/>
      <c r="E503" s="95"/>
      <c r="F503" s="96"/>
      <c r="G503" s="95"/>
      <c r="H503" s="95"/>
      <c r="I503" s="97"/>
    </row>
    <row r="504" spans="1:9">
      <c r="A504" s="90"/>
      <c r="B504" s="91"/>
      <c r="C504" s="91"/>
      <c r="D504" s="91"/>
      <c r="E504" s="91"/>
      <c r="F504" s="92"/>
      <c r="G504" s="91"/>
      <c r="H504" s="91"/>
      <c r="I504" s="93"/>
    </row>
    <row r="505" spans="1:9">
      <c r="A505" s="94"/>
      <c r="B505" s="95"/>
      <c r="C505" s="95"/>
      <c r="D505" s="95"/>
      <c r="E505" s="95"/>
      <c r="F505" s="96"/>
      <c r="G505" s="95"/>
      <c r="H505" s="95"/>
      <c r="I505" s="97"/>
    </row>
    <row r="506" spans="1:9">
      <c r="A506" s="90"/>
      <c r="B506" s="91"/>
      <c r="C506" s="91"/>
      <c r="D506" s="91"/>
      <c r="E506" s="91"/>
      <c r="F506" s="92"/>
      <c r="G506" s="91"/>
      <c r="H506" s="91"/>
      <c r="I506" s="93"/>
    </row>
    <row r="507" spans="1:9">
      <c r="A507" s="94"/>
      <c r="B507" s="95"/>
      <c r="C507" s="95"/>
      <c r="D507" s="95"/>
      <c r="E507" s="95"/>
      <c r="F507" s="96"/>
      <c r="G507" s="95"/>
      <c r="H507" s="95"/>
      <c r="I507" s="97"/>
    </row>
    <row r="508" spans="1:9">
      <c r="A508" s="90"/>
      <c r="B508" s="91"/>
      <c r="C508" s="91"/>
      <c r="D508" s="91"/>
      <c r="E508" s="91"/>
      <c r="F508" s="92"/>
      <c r="G508" s="91"/>
      <c r="H508" s="91"/>
      <c r="I508" s="93"/>
    </row>
    <row r="509" spans="1:9">
      <c r="A509" s="94"/>
      <c r="B509" s="95"/>
      <c r="C509" s="95"/>
      <c r="D509" s="95"/>
      <c r="E509" s="95"/>
      <c r="F509" s="96"/>
      <c r="G509" s="95"/>
      <c r="H509" s="95"/>
      <c r="I509" s="97"/>
    </row>
    <row r="510" spans="1:9">
      <c r="A510" s="90"/>
      <c r="B510" s="91"/>
      <c r="C510" s="91"/>
      <c r="D510" s="91"/>
      <c r="E510" s="91"/>
      <c r="F510" s="92"/>
      <c r="G510" s="91"/>
      <c r="H510" s="91"/>
      <c r="I510" s="93"/>
    </row>
    <row r="511" spans="1:9">
      <c r="A511" s="94"/>
      <c r="B511" s="95"/>
      <c r="C511" s="95"/>
      <c r="D511" s="95"/>
      <c r="E511" s="95"/>
      <c r="F511" s="96"/>
      <c r="G511" s="95"/>
      <c r="H511" s="95"/>
      <c r="I511" s="97"/>
    </row>
    <row r="512" spans="1:9">
      <c r="A512" s="90"/>
      <c r="B512" s="91"/>
      <c r="C512" s="91"/>
      <c r="D512" s="91"/>
      <c r="E512" s="91"/>
      <c r="F512" s="92"/>
      <c r="G512" s="91"/>
      <c r="H512" s="91"/>
      <c r="I512" s="93"/>
    </row>
    <row r="513" spans="1:9">
      <c r="A513" s="94"/>
      <c r="B513" s="95"/>
      <c r="C513" s="95"/>
      <c r="D513" s="95"/>
      <c r="E513" s="95"/>
      <c r="F513" s="96"/>
      <c r="G513" s="95"/>
      <c r="H513" s="95"/>
      <c r="I513" s="97"/>
    </row>
    <row r="514" spans="1:9">
      <c r="A514" s="90"/>
      <c r="B514" s="91"/>
      <c r="C514" s="91"/>
      <c r="D514" s="91"/>
      <c r="E514" s="91"/>
      <c r="F514" s="92"/>
      <c r="G514" s="91"/>
      <c r="H514" s="91"/>
      <c r="I514" s="93"/>
    </row>
    <row r="515" spans="1:9">
      <c r="A515" s="94"/>
      <c r="B515" s="95"/>
      <c r="C515" s="95"/>
      <c r="D515" s="95"/>
      <c r="E515" s="95"/>
      <c r="F515" s="96"/>
      <c r="G515" s="95"/>
      <c r="H515" s="95"/>
      <c r="I515" s="97"/>
    </row>
    <row r="516" spans="1:9">
      <c r="A516" s="90"/>
      <c r="B516" s="91"/>
      <c r="C516" s="91"/>
      <c r="D516" s="91"/>
      <c r="E516" s="91"/>
      <c r="F516" s="92"/>
      <c r="G516" s="91"/>
      <c r="H516" s="91"/>
      <c r="I516" s="93"/>
    </row>
    <row r="517" spans="1:9">
      <c r="A517" s="94"/>
      <c r="B517" s="95"/>
      <c r="C517" s="95"/>
      <c r="D517" s="95"/>
      <c r="E517" s="95"/>
      <c r="F517" s="96"/>
      <c r="G517" s="95"/>
      <c r="H517" s="95"/>
      <c r="I517" s="97"/>
    </row>
    <row r="518" spans="1:9">
      <c r="A518" s="90"/>
      <c r="B518" s="91"/>
      <c r="C518" s="91"/>
      <c r="D518" s="91"/>
      <c r="E518" s="91"/>
      <c r="F518" s="92"/>
      <c r="G518" s="91"/>
      <c r="H518" s="91"/>
      <c r="I518" s="93"/>
    </row>
    <row r="519" spans="1:9">
      <c r="A519" s="94"/>
      <c r="B519" s="95"/>
      <c r="C519" s="95"/>
      <c r="D519" s="95"/>
      <c r="E519" s="95"/>
      <c r="F519" s="96"/>
      <c r="G519" s="95"/>
      <c r="H519" s="95"/>
      <c r="I519" s="97"/>
    </row>
    <row r="520" spans="1:9">
      <c r="A520" s="90"/>
      <c r="B520" s="91"/>
      <c r="C520" s="91"/>
      <c r="D520" s="91"/>
      <c r="E520" s="91"/>
      <c r="F520" s="92"/>
      <c r="G520" s="91"/>
      <c r="H520" s="91"/>
      <c r="I520" s="93"/>
    </row>
    <row r="521" spans="1:9">
      <c r="A521" s="94"/>
      <c r="B521" s="95"/>
      <c r="C521" s="95"/>
      <c r="D521" s="95"/>
      <c r="E521" s="95"/>
      <c r="F521" s="96"/>
      <c r="G521" s="95"/>
      <c r="H521" s="95"/>
      <c r="I521" s="97"/>
    </row>
    <row r="522" spans="1:9">
      <c r="A522" s="90"/>
      <c r="B522" s="91"/>
      <c r="C522" s="91"/>
      <c r="D522" s="91"/>
      <c r="E522" s="91"/>
      <c r="F522" s="92"/>
      <c r="G522" s="91"/>
      <c r="H522" s="91"/>
      <c r="I522" s="93"/>
    </row>
    <row r="523" spans="1:9">
      <c r="A523" s="94"/>
      <c r="B523" s="95"/>
      <c r="C523" s="95"/>
      <c r="D523" s="95"/>
      <c r="E523" s="95"/>
      <c r="F523" s="96"/>
      <c r="G523" s="95"/>
      <c r="H523" s="95"/>
      <c r="I523" s="97"/>
    </row>
    <row r="524" spans="1:9">
      <c r="A524" s="90"/>
      <c r="B524" s="91"/>
      <c r="C524" s="91"/>
      <c r="D524" s="91"/>
      <c r="E524" s="91"/>
      <c r="F524" s="92"/>
      <c r="G524" s="91"/>
      <c r="H524" s="91"/>
      <c r="I524" s="93"/>
    </row>
    <row r="525" spans="1:9">
      <c r="A525" s="94"/>
      <c r="B525" s="95"/>
      <c r="C525" s="95"/>
      <c r="D525" s="95"/>
      <c r="E525" s="95"/>
      <c r="F525" s="96"/>
      <c r="G525" s="95"/>
      <c r="H525" s="95"/>
      <c r="I525" s="97"/>
    </row>
    <row r="526" spans="1:9">
      <c r="A526" s="90"/>
      <c r="B526" s="91"/>
      <c r="C526" s="91"/>
      <c r="D526" s="91"/>
      <c r="E526" s="91"/>
      <c r="F526" s="92"/>
      <c r="G526" s="91"/>
      <c r="H526" s="91"/>
      <c r="I526" s="93"/>
    </row>
    <row r="527" spans="1:9">
      <c r="A527" s="94"/>
      <c r="B527" s="95"/>
      <c r="C527" s="95"/>
      <c r="D527" s="95"/>
      <c r="E527" s="95"/>
      <c r="F527" s="96"/>
      <c r="G527" s="95"/>
      <c r="H527" s="95"/>
      <c r="I527" s="97"/>
    </row>
    <row r="528" spans="1:9">
      <c r="A528" s="90"/>
      <c r="B528" s="91"/>
      <c r="C528" s="91"/>
      <c r="D528" s="91"/>
      <c r="E528" s="91"/>
      <c r="F528" s="92"/>
      <c r="G528" s="91"/>
      <c r="H528" s="91"/>
      <c r="I528" s="93"/>
    </row>
    <row r="529" spans="1:9">
      <c r="A529" s="94"/>
      <c r="B529" s="95"/>
      <c r="C529" s="95"/>
      <c r="D529" s="95"/>
      <c r="E529" s="95"/>
      <c r="F529" s="96"/>
      <c r="G529" s="95"/>
      <c r="H529" s="95"/>
      <c r="I529" s="97"/>
    </row>
    <row r="530" spans="1:9">
      <c r="A530" s="90"/>
      <c r="B530" s="91"/>
      <c r="C530" s="91"/>
      <c r="D530" s="91"/>
      <c r="E530" s="91"/>
      <c r="F530" s="92"/>
      <c r="G530" s="91"/>
      <c r="H530" s="91"/>
      <c r="I530" s="93"/>
    </row>
    <row r="531" spans="1:9">
      <c r="A531" s="94"/>
      <c r="B531" s="95"/>
      <c r="C531" s="95"/>
      <c r="D531" s="95"/>
      <c r="E531" s="95"/>
      <c r="F531" s="96"/>
      <c r="G531" s="95"/>
      <c r="H531" s="95"/>
      <c r="I531" s="97"/>
    </row>
    <row r="532" spans="1:9">
      <c r="A532" s="90"/>
      <c r="B532" s="91"/>
      <c r="C532" s="91"/>
      <c r="D532" s="91"/>
      <c r="E532" s="91"/>
      <c r="F532" s="92"/>
      <c r="G532" s="91"/>
      <c r="H532" s="91"/>
      <c r="I532" s="93"/>
    </row>
    <row r="533" spans="1:9">
      <c r="A533" s="94"/>
      <c r="B533" s="95"/>
      <c r="C533" s="95"/>
      <c r="D533" s="95"/>
      <c r="E533" s="95"/>
      <c r="F533" s="96"/>
      <c r="G533" s="95"/>
      <c r="H533" s="95"/>
      <c r="I533" s="97"/>
    </row>
    <row r="534" spans="1:9">
      <c r="A534" s="90"/>
      <c r="B534" s="91"/>
      <c r="C534" s="91"/>
      <c r="D534" s="91"/>
      <c r="E534" s="91"/>
      <c r="F534" s="92"/>
      <c r="G534" s="91"/>
      <c r="H534" s="91"/>
      <c r="I534" s="93"/>
    </row>
    <row r="535" spans="1:9">
      <c r="A535" s="94"/>
      <c r="B535" s="95"/>
      <c r="C535" s="95"/>
      <c r="D535" s="95"/>
      <c r="E535" s="95"/>
      <c r="F535" s="96"/>
      <c r="G535" s="95"/>
      <c r="H535" s="95"/>
      <c r="I535" s="97"/>
    </row>
    <row r="536" spans="1:9">
      <c r="A536" s="90"/>
      <c r="B536" s="91"/>
      <c r="C536" s="91"/>
      <c r="D536" s="91"/>
      <c r="E536" s="91"/>
      <c r="F536" s="92"/>
      <c r="G536" s="91"/>
      <c r="H536" s="91"/>
      <c r="I536" s="93"/>
    </row>
    <row r="537" spans="1:9">
      <c r="A537" s="94"/>
      <c r="B537" s="95"/>
      <c r="C537" s="95"/>
      <c r="D537" s="95"/>
      <c r="E537" s="95"/>
      <c r="F537" s="96"/>
      <c r="G537" s="95"/>
      <c r="H537" s="95"/>
      <c r="I537" s="97"/>
    </row>
    <row r="538" spans="1:9">
      <c r="A538" s="90"/>
      <c r="B538" s="91"/>
      <c r="C538" s="91"/>
      <c r="D538" s="91"/>
      <c r="E538" s="91"/>
      <c r="F538" s="92"/>
      <c r="G538" s="91"/>
      <c r="H538" s="91"/>
      <c r="I538" s="93"/>
    </row>
    <row r="539" spans="1:9">
      <c r="A539" s="94"/>
      <c r="B539" s="95"/>
      <c r="C539" s="95"/>
      <c r="D539" s="95"/>
      <c r="E539" s="95"/>
      <c r="F539" s="96"/>
      <c r="G539" s="95"/>
      <c r="H539" s="95"/>
      <c r="I539" s="97"/>
    </row>
    <row r="540" spans="1:9">
      <c r="A540" s="90"/>
      <c r="B540" s="91"/>
      <c r="C540" s="91"/>
      <c r="D540" s="91"/>
      <c r="E540" s="91"/>
      <c r="F540" s="92"/>
      <c r="G540" s="91"/>
      <c r="H540" s="91"/>
      <c r="I540" s="93"/>
    </row>
    <row r="541" spans="1:9">
      <c r="A541" s="94"/>
      <c r="B541" s="95"/>
      <c r="C541" s="95"/>
      <c r="D541" s="95"/>
      <c r="E541" s="95"/>
      <c r="F541" s="96"/>
      <c r="G541" s="95"/>
      <c r="H541" s="95"/>
      <c r="I541" s="97"/>
    </row>
    <row r="542" spans="1:9">
      <c r="A542" s="90"/>
      <c r="B542" s="91"/>
      <c r="C542" s="91"/>
      <c r="D542" s="91"/>
      <c r="E542" s="91"/>
      <c r="F542" s="92"/>
      <c r="G542" s="91"/>
      <c r="H542" s="91"/>
      <c r="I542" s="93"/>
    </row>
    <row r="543" spans="1:9">
      <c r="A543" s="94"/>
      <c r="B543" s="95"/>
      <c r="C543" s="95"/>
      <c r="D543" s="95"/>
      <c r="E543" s="95"/>
      <c r="F543" s="96"/>
      <c r="G543" s="95"/>
      <c r="H543" s="95"/>
      <c r="I543" s="97"/>
    </row>
    <row r="544" spans="1:9">
      <c r="A544" s="90"/>
      <c r="B544" s="91"/>
      <c r="C544" s="91"/>
      <c r="D544" s="91"/>
      <c r="E544" s="91"/>
      <c r="F544" s="92"/>
      <c r="G544" s="91"/>
      <c r="H544" s="91"/>
      <c r="I544" s="93"/>
    </row>
    <row r="545" spans="1:9">
      <c r="A545" s="94"/>
      <c r="B545" s="95"/>
      <c r="C545" s="95"/>
      <c r="D545" s="95"/>
      <c r="E545" s="95"/>
      <c r="F545" s="96"/>
      <c r="G545" s="95"/>
      <c r="H545" s="95"/>
      <c r="I545" s="97"/>
    </row>
    <row r="546" spans="1:9">
      <c r="A546" s="90"/>
      <c r="B546" s="91"/>
      <c r="C546" s="91"/>
      <c r="D546" s="91"/>
      <c r="E546" s="91"/>
      <c r="F546" s="92"/>
      <c r="G546" s="91"/>
      <c r="H546" s="91"/>
      <c r="I546" s="93"/>
    </row>
    <row r="547" spans="1:9">
      <c r="A547" s="94"/>
      <c r="B547" s="95"/>
      <c r="C547" s="95"/>
      <c r="D547" s="95"/>
      <c r="E547" s="95"/>
      <c r="F547" s="96"/>
      <c r="G547" s="95"/>
      <c r="H547" s="95"/>
      <c r="I547" s="97"/>
    </row>
    <row r="548" spans="1:9">
      <c r="A548" s="90"/>
      <c r="B548" s="91"/>
      <c r="C548" s="91"/>
      <c r="D548" s="91"/>
      <c r="E548" s="91"/>
      <c r="F548" s="92"/>
      <c r="G548" s="91"/>
      <c r="H548" s="91"/>
      <c r="I548" s="93"/>
    </row>
    <row r="549" spans="1:9">
      <c r="A549" s="94"/>
      <c r="B549" s="95"/>
      <c r="C549" s="95"/>
      <c r="D549" s="95"/>
      <c r="E549" s="95"/>
      <c r="F549" s="96"/>
      <c r="G549" s="95"/>
      <c r="H549" s="95"/>
      <c r="I549" s="97"/>
    </row>
    <row r="550" spans="1:9">
      <c r="A550" s="90"/>
      <c r="B550" s="91"/>
      <c r="C550" s="91"/>
      <c r="D550" s="91"/>
      <c r="E550" s="91"/>
      <c r="F550" s="92"/>
      <c r="G550" s="91"/>
      <c r="H550" s="91"/>
      <c r="I550" s="93"/>
    </row>
    <row r="551" spans="1:9">
      <c r="A551" s="94"/>
      <c r="B551" s="95"/>
      <c r="C551" s="95"/>
      <c r="D551" s="95"/>
      <c r="E551" s="95"/>
      <c r="F551" s="96"/>
      <c r="G551" s="95"/>
      <c r="H551" s="95"/>
      <c r="I551" s="97"/>
    </row>
    <row r="552" spans="1:9">
      <c r="A552" s="90"/>
      <c r="B552" s="91"/>
      <c r="C552" s="91"/>
      <c r="D552" s="91"/>
      <c r="E552" s="91"/>
      <c r="F552" s="92"/>
      <c r="G552" s="91"/>
      <c r="H552" s="91"/>
      <c r="I552" s="93"/>
    </row>
    <row r="553" spans="1:9">
      <c r="A553" s="94"/>
      <c r="B553" s="95"/>
      <c r="C553" s="95"/>
      <c r="D553" s="95"/>
      <c r="E553" s="95"/>
      <c r="F553" s="96"/>
      <c r="G553" s="95"/>
      <c r="H553" s="95"/>
      <c r="I553" s="97"/>
    </row>
    <row r="554" spans="1:9">
      <c r="A554" s="90"/>
      <c r="B554" s="91"/>
      <c r="C554" s="91"/>
      <c r="D554" s="91"/>
      <c r="E554" s="91"/>
      <c r="F554" s="92"/>
      <c r="G554" s="91"/>
      <c r="H554" s="91"/>
      <c r="I554" s="93"/>
    </row>
    <row r="555" spans="1:9">
      <c r="A555" s="94"/>
      <c r="B555" s="95"/>
      <c r="C555" s="95"/>
      <c r="D555" s="95"/>
      <c r="E555" s="95"/>
      <c r="F555" s="96"/>
      <c r="G555" s="95"/>
      <c r="H555" s="95"/>
      <c r="I555" s="97"/>
    </row>
    <row r="556" spans="1:9">
      <c r="A556" s="90"/>
      <c r="B556" s="91"/>
      <c r="C556" s="91"/>
      <c r="D556" s="91"/>
      <c r="E556" s="91"/>
      <c r="F556" s="92"/>
      <c r="G556" s="91"/>
      <c r="H556" s="91"/>
      <c r="I556" s="93"/>
    </row>
    <row r="557" spans="1:9">
      <c r="A557" s="94"/>
      <c r="B557" s="95"/>
      <c r="C557" s="95"/>
      <c r="D557" s="95"/>
      <c r="E557" s="95"/>
      <c r="F557" s="96"/>
      <c r="G557" s="95"/>
      <c r="H557" s="95"/>
      <c r="I557" s="97"/>
    </row>
    <row r="558" spans="1:9">
      <c r="A558" s="90"/>
      <c r="B558" s="91"/>
      <c r="C558" s="91"/>
      <c r="D558" s="91"/>
      <c r="E558" s="91"/>
      <c r="F558" s="92"/>
      <c r="G558" s="91"/>
      <c r="H558" s="91"/>
      <c r="I558" s="93"/>
    </row>
    <row r="559" spans="1:9">
      <c r="A559" s="94"/>
      <c r="B559" s="95"/>
      <c r="C559" s="95"/>
      <c r="D559" s="95"/>
      <c r="E559" s="95"/>
      <c r="F559" s="96"/>
      <c r="G559" s="95"/>
      <c r="H559" s="95"/>
      <c r="I559" s="97"/>
    </row>
    <row r="560" spans="1:9">
      <c r="A560" s="90"/>
      <c r="B560" s="91"/>
      <c r="C560" s="91"/>
      <c r="D560" s="91"/>
      <c r="E560" s="91"/>
      <c r="F560" s="92"/>
      <c r="G560" s="91"/>
      <c r="H560" s="91"/>
      <c r="I560" s="93"/>
    </row>
    <row r="561" spans="1:9">
      <c r="A561" s="94"/>
      <c r="B561" s="95"/>
      <c r="C561" s="95"/>
      <c r="D561" s="95"/>
      <c r="E561" s="95"/>
      <c r="F561" s="96"/>
      <c r="G561" s="95"/>
      <c r="H561" s="95"/>
      <c r="I561" s="97"/>
    </row>
    <row r="562" spans="1:9">
      <c r="A562" s="90"/>
      <c r="B562" s="91"/>
      <c r="C562" s="91"/>
      <c r="D562" s="91"/>
      <c r="E562" s="91"/>
      <c r="F562" s="92"/>
      <c r="G562" s="91"/>
      <c r="H562" s="91"/>
      <c r="I562" s="93"/>
    </row>
    <row r="563" spans="1:9">
      <c r="A563" s="94"/>
      <c r="B563" s="95"/>
      <c r="C563" s="95"/>
      <c r="D563" s="95"/>
      <c r="E563" s="95"/>
      <c r="F563" s="96"/>
      <c r="G563" s="95"/>
      <c r="H563" s="95"/>
      <c r="I563" s="97"/>
    </row>
    <row r="564" spans="1:9">
      <c r="A564" s="90"/>
      <c r="B564" s="91"/>
      <c r="C564" s="91"/>
      <c r="D564" s="91"/>
      <c r="E564" s="91"/>
      <c r="F564" s="92"/>
      <c r="G564" s="91"/>
      <c r="H564" s="91"/>
      <c r="I564" s="93"/>
    </row>
    <row r="565" spans="1:9">
      <c r="A565" s="94"/>
      <c r="B565" s="95"/>
      <c r="C565" s="95"/>
      <c r="D565" s="95"/>
      <c r="E565" s="95"/>
      <c r="F565" s="96"/>
      <c r="G565" s="95"/>
      <c r="H565" s="95"/>
      <c r="I565" s="97"/>
    </row>
    <row r="566" spans="1:9">
      <c r="A566" s="90"/>
      <c r="B566" s="91"/>
      <c r="C566" s="91"/>
      <c r="D566" s="91"/>
      <c r="E566" s="91"/>
      <c r="F566" s="92"/>
      <c r="G566" s="91"/>
      <c r="H566" s="91"/>
      <c r="I566" s="93"/>
    </row>
    <row r="567" spans="1:9">
      <c r="A567" s="94"/>
      <c r="B567" s="95"/>
      <c r="C567" s="95"/>
      <c r="D567" s="95"/>
      <c r="E567" s="95"/>
      <c r="F567" s="96"/>
      <c r="G567" s="95"/>
      <c r="H567" s="95"/>
      <c r="I567" s="97"/>
    </row>
    <row r="568" spans="1:9">
      <c r="A568" s="90"/>
      <c r="B568" s="91"/>
      <c r="C568" s="91"/>
      <c r="D568" s="91"/>
      <c r="E568" s="91"/>
      <c r="F568" s="92"/>
      <c r="G568" s="91"/>
      <c r="H568" s="91"/>
      <c r="I568" s="93"/>
    </row>
    <row r="569" spans="1:9">
      <c r="A569" s="94"/>
      <c r="B569" s="95"/>
      <c r="C569" s="95"/>
      <c r="D569" s="95"/>
      <c r="E569" s="95"/>
      <c r="F569" s="96"/>
      <c r="G569" s="95"/>
      <c r="H569" s="95"/>
      <c r="I569" s="97"/>
    </row>
    <row r="570" spans="1:9">
      <c r="A570" s="90"/>
      <c r="B570" s="91"/>
      <c r="C570" s="91"/>
      <c r="D570" s="91"/>
      <c r="E570" s="91"/>
      <c r="F570" s="92"/>
      <c r="G570" s="91"/>
      <c r="H570" s="91"/>
      <c r="I570" s="93"/>
    </row>
    <row r="571" spans="1:9">
      <c r="A571" s="94"/>
      <c r="B571" s="95"/>
      <c r="C571" s="95"/>
      <c r="D571" s="95"/>
      <c r="E571" s="95"/>
      <c r="F571" s="96"/>
      <c r="G571" s="95"/>
      <c r="H571" s="95"/>
      <c r="I571" s="97"/>
    </row>
    <row r="572" spans="1:9">
      <c r="A572" s="90"/>
      <c r="B572" s="91"/>
      <c r="C572" s="91"/>
      <c r="D572" s="91"/>
      <c r="E572" s="91"/>
      <c r="F572" s="92"/>
      <c r="G572" s="91"/>
      <c r="H572" s="91"/>
      <c r="I572" s="93"/>
    </row>
    <row r="573" spans="1:9">
      <c r="A573" s="94"/>
      <c r="B573" s="95"/>
      <c r="C573" s="95"/>
      <c r="D573" s="95"/>
      <c r="E573" s="95"/>
      <c r="F573" s="96"/>
      <c r="G573" s="95"/>
      <c r="H573" s="95"/>
      <c r="I573" s="97"/>
    </row>
    <row r="574" spans="1:9">
      <c r="A574" s="90"/>
      <c r="B574" s="91"/>
      <c r="C574" s="91"/>
      <c r="D574" s="91"/>
      <c r="E574" s="91"/>
      <c r="F574" s="92"/>
      <c r="G574" s="91"/>
      <c r="H574" s="91"/>
      <c r="I574" s="93"/>
    </row>
    <row r="575" spans="1:9">
      <c r="A575" s="94"/>
      <c r="B575" s="95"/>
      <c r="C575" s="95"/>
      <c r="D575" s="95"/>
      <c r="E575" s="95"/>
      <c r="F575" s="96"/>
      <c r="G575" s="95"/>
      <c r="H575" s="95"/>
      <c r="I575" s="97"/>
    </row>
    <row r="576" spans="1:9">
      <c r="A576" s="90"/>
      <c r="B576" s="91"/>
      <c r="C576" s="91"/>
      <c r="D576" s="91"/>
      <c r="E576" s="91"/>
      <c r="F576" s="92"/>
      <c r="G576" s="91"/>
      <c r="H576" s="91"/>
      <c r="I576" s="93"/>
    </row>
    <row r="577" spans="1:9">
      <c r="A577" s="94"/>
      <c r="B577" s="95"/>
      <c r="C577" s="95"/>
      <c r="D577" s="95"/>
      <c r="E577" s="95"/>
      <c r="F577" s="96"/>
      <c r="G577" s="95"/>
      <c r="H577" s="95"/>
      <c r="I577" s="97"/>
    </row>
    <row r="578" spans="1:9">
      <c r="A578" s="90"/>
      <c r="B578" s="91"/>
      <c r="C578" s="91"/>
      <c r="D578" s="91"/>
      <c r="E578" s="91"/>
      <c r="F578" s="92"/>
      <c r="G578" s="91"/>
      <c r="H578" s="91"/>
      <c r="I578" s="93"/>
    </row>
    <row r="579" spans="1:9">
      <c r="A579" s="94"/>
      <c r="B579" s="95"/>
      <c r="C579" s="95"/>
      <c r="D579" s="95"/>
      <c r="E579" s="95"/>
      <c r="F579" s="96"/>
      <c r="G579" s="95"/>
      <c r="H579" s="95"/>
      <c r="I579" s="97"/>
    </row>
    <row r="580" spans="1:9">
      <c r="A580" s="90"/>
      <c r="B580" s="91"/>
      <c r="C580" s="91"/>
      <c r="D580" s="91"/>
      <c r="E580" s="91"/>
      <c r="F580" s="92"/>
      <c r="G580" s="91"/>
      <c r="H580" s="91"/>
      <c r="I580" s="93"/>
    </row>
    <row r="581" spans="1:9">
      <c r="A581" s="94"/>
      <c r="B581" s="95"/>
      <c r="C581" s="95"/>
      <c r="D581" s="95"/>
      <c r="E581" s="95"/>
      <c r="F581" s="96"/>
      <c r="G581" s="95"/>
      <c r="H581" s="95"/>
      <c r="I581" s="97"/>
    </row>
    <row r="582" spans="1:9">
      <c r="A582" s="90"/>
      <c r="B582" s="91"/>
      <c r="C582" s="91"/>
      <c r="D582" s="91"/>
      <c r="E582" s="91"/>
      <c r="F582" s="92"/>
      <c r="G582" s="91"/>
      <c r="H582" s="91"/>
      <c r="I582" s="93"/>
    </row>
    <row r="583" spans="1:9">
      <c r="A583" s="94"/>
      <c r="B583" s="95"/>
      <c r="C583" s="95"/>
      <c r="D583" s="95"/>
      <c r="E583" s="95"/>
      <c r="F583" s="96"/>
      <c r="G583" s="95"/>
      <c r="H583" s="95"/>
      <c r="I583" s="97"/>
    </row>
    <row r="584" spans="1:9">
      <c r="A584" s="90"/>
      <c r="B584" s="91"/>
      <c r="C584" s="91"/>
      <c r="D584" s="91"/>
      <c r="E584" s="91"/>
      <c r="F584" s="92"/>
      <c r="G584" s="91"/>
      <c r="H584" s="91"/>
      <c r="I584" s="93"/>
    </row>
    <row r="585" spans="1:9">
      <c r="A585" s="94"/>
      <c r="B585" s="95"/>
      <c r="C585" s="95"/>
      <c r="D585" s="95"/>
      <c r="E585" s="95"/>
      <c r="F585" s="96"/>
      <c r="G585" s="95"/>
      <c r="H585" s="95"/>
      <c r="I585" s="97"/>
    </row>
    <row r="586" spans="1:9">
      <c r="A586" s="90"/>
      <c r="B586" s="91"/>
      <c r="C586" s="91"/>
      <c r="D586" s="91"/>
      <c r="E586" s="91"/>
      <c r="F586" s="92"/>
      <c r="G586" s="91"/>
      <c r="H586" s="91"/>
      <c r="I586" s="93"/>
    </row>
    <row r="587" spans="1:9">
      <c r="A587" s="94"/>
      <c r="B587" s="95"/>
      <c r="C587" s="95"/>
      <c r="D587" s="95"/>
      <c r="E587" s="95"/>
      <c r="F587" s="96"/>
      <c r="G587" s="95"/>
      <c r="H587" s="95"/>
      <c r="I587" s="97"/>
    </row>
    <row r="588" spans="1:9">
      <c r="A588" s="90"/>
      <c r="B588" s="91"/>
      <c r="C588" s="91"/>
      <c r="D588" s="91"/>
      <c r="E588" s="91"/>
      <c r="F588" s="92"/>
      <c r="G588" s="91"/>
      <c r="H588" s="91"/>
      <c r="I588" s="93"/>
    </row>
    <row r="589" spans="1:9">
      <c r="A589" s="94"/>
      <c r="B589" s="95"/>
      <c r="C589" s="95"/>
      <c r="D589" s="95"/>
      <c r="E589" s="95"/>
      <c r="F589" s="96"/>
      <c r="G589" s="95"/>
      <c r="H589" s="95"/>
      <c r="I589" s="97"/>
    </row>
    <row r="590" spans="1:9">
      <c r="A590" s="90"/>
      <c r="B590" s="91"/>
      <c r="C590" s="91"/>
      <c r="D590" s="91"/>
      <c r="E590" s="91"/>
      <c r="F590" s="92"/>
      <c r="G590" s="91"/>
      <c r="H590" s="91"/>
      <c r="I590" s="93"/>
    </row>
    <row r="591" spans="1:9">
      <c r="A591" s="94"/>
      <c r="B591" s="95"/>
      <c r="C591" s="95"/>
      <c r="D591" s="95"/>
      <c r="E591" s="95"/>
      <c r="F591" s="96"/>
      <c r="G591" s="95"/>
      <c r="H591" s="95"/>
      <c r="I591" s="97"/>
    </row>
    <row r="592" spans="1:9">
      <c r="A592" s="90"/>
      <c r="B592" s="91"/>
      <c r="C592" s="91"/>
      <c r="D592" s="91"/>
      <c r="E592" s="91"/>
      <c r="F592" s="92"/>
      <c r="G592" s="91"/>
      <c r="H592" s="91"/>
      <c r="I592" s="93"/>
    </row>
    <row r="593" spans="1:9">
      <c r="A593" s="94"/>
      <c r="B593" s="95"/>
      <c r="C593" s="95"/>
      <c r="D593" s="95"/>
      <c r="E593" s="95"/>
      <c r="F593" s="96"/>
      <c r="G593" s="95"/>
      <c r="H593" s="95"/>
      <c r="I593" s="97"/>
    </row>
    <row r="594" spans="1:9">
      <c r="A594" s="90"/>
      <c r="B594" s="91"/>
      <c r="C594" s="91"/>
      <c r="D594" s="91"/>
      <c r="E594" s="91"/>
      <c r="F594" s="92"/>
      <c r="G594" s="91"/>
      <c r="H594" s="91"/>
      <c r="I594" s="93"/>
    </row>
    <row r="595" spans="1:9">
      <c r="A595" s="94"/>
      <c r="B595" s="95"/>
      <c r="C595" s="95"/>
      <c r="D595" s="95"/>
      <c r="E595" s="95"/>
      <c r="F595" s="96"/>
      <c r="G595" s="95"/>
      <c r="H595" s="95"/>
      <c r="I595" s="97"/>
    </row>
    <row r="596" spans="1:9">
      <c r="A596" s="90"/>
      <c r="B596" s="91"/>
      <c r="C596" s="91"/>
      <c r="D596" s="91"/>
      <c r="E596" s="91"/>
      <c r="F596" s="92"/>
      <c r="G596" s="91"/>
      <c r="H596" s="91"/>
      <c r="I596" s="93"/>
    </row>
    <row r="597" spans="1:9">
      <c r="A597" s="94"/>
      <c r="B597" s="95"/>
      <c r="C597" s="95"/>
      <c r="D597" s="95"/>
      <c r="E597" s="95"/>
      <c r="F597" s="96"/>
      <c r="G597" s="95"/>
      <c r="H597" s="95"/>
      <c r="I597" s="97"/>
    </row>
    <row r="598" spans="1:9">
      <c r="A598" s="90"/>
      <c r="B598" s="91"/>
      <c r="C598" s="91"/>
      <c r="D598" s="91"/>
      <c r="E598" s="91"/>
      <c r="F598" s="92"/>
      <c r="G598" s="91"/>
      <c r="H598" s="91"/>
      <c r="I598" s="93"/>
    </row>
    <row r="599" spans="1:9">
      <c r="A599" s="94"/>
      <c r="B599" s="95"/>
      <c r="C599" s="95"/>
      <c r="D599" s="95"/>
      <c r="E599" s="95"/>
      <c r="F599" s="96"/>
      <c r="G599" s="95"/>
      <c r="H599" s="95"/>
      <c r="I599" s="97"/>
    </row>
    <row r="600" spans="1:9">
      <c r="A600" s="90"/>
      <c r="B600" s="91"/>
      <c r="C600" s="91"/>
      <c r="D600" s="91"/>
      <c r="E600" s="91"/>
      <c r="F600" s="92"/>
      <c r="G600" s="91"/>
      <c r="H600" s="91"/>
      <c r="I600" s="93"/>
    </row>
    <row r="601" spans="1:9">
      <c r="A601" s="94"/>
      <c r="B601" s="95"/>
      <c r="C601" s="95"/>
      <c r="D601" s="95"/>
      <c r="E601" s="95"/>
      <c r="F601" s="96"/>
      <c r="G601" s="95"/>
      <c r="H601" s="95"/>
      <c r="I601" s="97"/>
    </row>
    <row r="602" spans="1:9">
      <c r="A602" s="90"/>
      <c r="B602" s="91"/>
      <c r="C602" s="91"/>
      <c r="D602" s="91"/>
      <c r="E602" s="91"/>
      <c r="F602" s="92"/>
      <c r="G602" s="91"/>
      <c r="H602" s="91"/>
      <c r="I602" s="93"/>
    </row>
    <row r="603" spans="1:9">
      <c r="A603" s="94"/>
      <c r="B603" s="95"/>
      <c r="C603" s="95"/>
      <c r="D603" s="95"/>
      <c r="E603" s="95"/>
      <c r="F603" s="96"/>
      <c r="G603" s="95"/>
      <c r="H603" s="95"/>
      <c r="I603" s="97"/>
    </row>
    <row r="604" spans="1:9">
      <c r="A604" s="90"/>
      <c r="B604" s="91"/>
      <c r="C604" s="91"/>
      <c r="D604" s="91"/>
      <c r="E604" s="91"/>
      <c r="F604" s="92"/>
      <c r="G604" s="91"/>
      <c r="H604" s="91"/>
      <c r="I604" s="93"/>
    </row>
    <row r="605" spans="1:9">
      <c r="A605" s="94"/>
      <c r="B605" s="95"/>
      <c r="C605" s="95"/>
      <c r="D605" s="95"/>
      <c r="E605" s="95"/>
      <c r="F605" s="96"/>
      <c r="G605" s="95"/>
      <c r="H605" s="95"/>
      <c r="I605" s="97"/>
    </row>
    <row r="606" spans="1:9">
      <c r="A606" s="90"/>
      <c r="B606" s="91"/>
      <c r="C606" s="91"/>
      <c r="D606" s="91"/>
      <c r="E606" s="91"/>
      <c r="F606" s="92"/>
      <c r="G606" s="91"/>
      <c r="H606" s="91"/>
      <c r="I606" s="93"/>
    </row>
    <row r="607" spans="1:9">
      <c r="A607" s="94"/>
      <c r="B607" s="95"/>
      <c r="C607" s="95"/>
      <c r="D607" s="95"/>
      <c r="E607" s="95"/>
      <c r="F607" s="96"/>
      <c r="G607" s="95"/>
      <c r="H607" s="95"/>
      <c r="I607" s="97"/>
    </row>
    <row r="608" spans="1:9">
      <c r="A608" s="90"/>
      <c r="B608" s="91"/>
      <c r="C608" s="91"/>
      <c r="D608" s="91"/>
      <c r="E608" s="91"/>
      <c r="F608" s="92"/>
      <c r="G608" s="91"/>
      <c r="H608" s="91"/>
      <c r="I608" s="93"/>
    </row>
    <row r="609" spans="1:9">
      <c r="A609" s="94"/>
      <c r="B609" s="95"/>
      <c r="C609" s="95"/>
      <c r="D609" s="95"/>
      <c r="E609" s="95"/>
      <c r="F609" s="96"/>
      <c r="G609" s="95"/>
      <c r="H609" s="95"/>
      <c r="I609" s="97"/>
    </row>
    <row r="610" spans="1:9">
      <c r="A610" s="90"/>
      <c r="B610" s="91"/>
      <c r="C610" s="91"/>
      <c r="D610" s="91"/>
      <c r="E610" s="91"/>
      <c r="F610" s="92"/>
      <c r="G610" s="91"/>
      <c r="H610" s="91"/>
      <c r="I610" s="93"/>
    </row>
    <row r="611" spans="1:9">
      <c r="A611" s="94"/>
      <c r="B611" s="95"/>
      <c r="C611" s="95"/>
      <c r="D611" s="95"/>
      <c r="E611" s="95"/>
      <c r="F611" s="96"/>
      <c r="G611" s="95"/>
      <c r="H611" s="95"/>
      <c r="I611" s="97"/>
    </row>
    <row r="612" spans="1:9">
      <c r="A612" s="90"/>
      <c r="B612" s="91"/>
      <c r="C612" s="91"/>
      <c r="D612" s="91"/>
      <c r="E612" s="91"/>
      <c r="F612" s="92"/>
      <c r="G612" s="91"/>
      <c r="H612" s="91"/>
      <c r="I612" s="93"/>
    </row>
    <row r="613" spans="1:9">
      <c r="A613" s="94"/>
      <c r="B613" s="95"/>
      <c r="C613" s="95"/>
      <c r="D613" s="95"/>
      <c r="E613" s="95"/>
      <c r="F613" s="96"/>
      <c r="G613" s="95"/>
      <c r="H613" s="95"/>
      <c r="I613" s="97"/>
    </row>
    <row r="614" spans="1:9">
      <c r="A614" s="90"/>
      <c r="B614" s="91"/>
      <c r="C614" s="91"/>
      <c r="D614" s="91"/>
      <c r="E614" s="91"/>
      <c r="F614" s="92"/>
      <c r="G614" s="91"/>
      <c r="H614" s="91"/>
      <c r="I614" s="93"/>
    </row>
    <row r="615" spans="1:9">
      <c r="A615" s="94"/>
      <c r="B615" s="95"/>
      <c r="C615" s="95"/>
      <c r="D615" s="95"/>
      <c r="E615" s="95"/>
      <c r="F615" s="96"/>
      <c r="G615" s="95"/>
      <c r="H615" s="95"/>
      <c r="I615" s="97"/>
    </row>
    <row r="616" spans="1:9">
      <c r="A616" s="90"/>
      <c r="B616" s="91"/>
      <c r="C616" s="91"/>
      <c r="D616" s="91"/>
      <c r="E616" s="91"/>
      <c r="F616" s="92"/>
      <c r="G616" s="91"/>
      <c r="H616" s="91"/>
      <c r="I616" s="93"/>
    </row>
    <row r="617" spans="1:9">
      <c r="A617" s="94"/>
      <c r="B617" s="95"/>
      <c r="C617" s="95"/>
      <c r="D617" s="95"/>
      <c r="E617" s="95"/>
      <c r="F617" s="96"/>
      <c r="G617" s="95"/>
      <c r="H617" s="95"/>
      <c r="I617" s="97"/>
    </row>
    <row r="618" spans="1:9">
      <c r="A618" s="90"/>
      <c r="B618" s="91"/>
      <c r="C618" s="91"/>
      <c r="D618" s="91"/>
      <c r="E618" s="91"/>
      <c r="F618" s="92"/>
      <c r="G618" s="91"/>
      <c r="H618" s="91"/>
      <c r="I618" s="93"/>
    </row>
    <row r="619" spans="1:9">
      <c r="A619" s="94"/>
      <c r="B619" s="95"/>
      <c r="C619" s="95"/>
      <c r="D619" s="95"/>
      <c r="E619" s="95"/>
      <c r="F619" s="96"/>
      <c r="G619" s="95"/>
      <c r="H619" s="95"/>
      <c r="I619" s="97"/>
    </row>
    <row r="620" spans="1:9">
      <c r="A620" s="90"/>
      <c r="B620" s="91"/>
      <c r="C620" s="91"/>
      <c r="D620" s="91"/>
      <c r="E620" s="91"/>
      <c r="F620" s="92"/>
      <c r="G620" s="91"/>
      <c r="H620" s="91"/>
      <c r="I620" s="93"/>
    </row>
    <row r="621" spans="1:9">
      <c r="A621" s="94"/>
      <c r="B621" s="95"/>
      <c r="C621" s="95"/>
      <c r="D621" s="95"/>
      <c r="E621" s="95"/>
      <c r="F621" s="96"/>
      <c r="G621" s="95"/>
      <c r="H621" s="95"/>
      <c r="I621" s="97"/>
    </row>
    <row r="622" spans="1:9">
      <c r="A622" s="90"/>
      <c r="B622" s="91"/>
      <c r="C622" s="91"/>
      <c r="D622" s="91"/>
      <c r="E622" s="91"/>
      <c r="F622" s="92"/>
      <c r="G622" s="91"/>
      <c r="H622" s="91"/>
      <c r="I622" s="93"/>
    </row>
    <row r="623" spans="1:9">
      <c r="A623" s="94"/>
      <c r="B623" s="95"/>
      <c r="C623" s="95"/>
      <c r="D623" s="95"/>
      <c r="E623" s="95"/>
      <c r="F623" s="96"/>
      <c r="G623" s="95"/>
      <c r="H623" s="95"/>
      <c r="I623" s="97"/>
    </row>
    <row r="624" spans="1:9">
      <c r="A624" s="90"/>
      <c r="B624" s="91"/>
      <c r="C624" s="91"/>
      <c r="D624" s="91"/>
      <c r="E624" s="91"/>
      <c r="F624" s="92"/>
      <c r="G624" s="91"/>
      <c r="H624" s="91"/>
      <c r="I624" s="93"/>
    </row>
    <row r="625" spans="1:9">
      <c r="A625" s="94"/>
      <c r="B625" s="95"/>
      <c r="C625" s="95"/>
      <c r="D625" s="95"/>
      <c r="E625" s="95"/>
      <c r="F625" s="96"/>
      <c r="G625" s="95"/>
      <c r="H625" s="95"/>
      <c r="I625" s="97"/>
    </row>
    <row r="626" spans="1:9">
      <c r="A626" s="90"/>
      <c r="B626" s="91"/>
      <c r="C626" s="91"/>
      <c r="D626" s="91"/>
      <c r="E626" s="91"/>
      <c r="F626" s="92"/>
      <c r="G626" s="91"/>
      <c r="H626" s="91"/>
      <c r="I626" s="93"/>
    </row>
    <row r="627" spans="1:9">
      <c r="A627" s="94"/>
      <c r="B627" s="95"/>
      <c r="C627" s="95"/>
      <c r="D627" s="95"/>
      <c r="E627" s="95"/>
      <c r="F627" s="96"/>
      <c r="G627" s="95"/>
      <c r="H627" s="95"/>
      <c r="I627" s="97"/>
    </row>
    <row r="628" spans="1:9">
      <c r="A628" s="90"/>
      <c r="B628" s="91"/>
      <c r="C628" s="91"/>
      <c r="D628" s="91"/>
      <c r="E628" s="91"/>
      <c r="F628" s="92"/>
      <c r="G628" s="91"/>
      <c r="H628" s="91"/>
      <c r="I628" s="93"/>
    </row>
    <row r="629" spans="1:9">
      <c r="A629" s="94"/>
      <c r="B629" s="95"/>
      <c r="C629" s="95"/>
      <c r="D629" s="95"/>
      <c r="E629" s="95"/>
      <c r="F629" s="96"/>
      <c r="G629" s="95"/>
      <c r="H629" s="95"/>
      <c r="I629" s="97"/>
    </row>
    <row r="630" spans="1:9">
      <c r="A630" s="90"/>
      <c r="B630" s="91"/>
      <c r="C630" s="91"/>
      <c r="D630" s="91"/>
      <c r="E630" s="91"/>
      <c r="F630" s="92"/>
      <c r="G630" s="91"/>
      <c r="H630" s="91"/>
      <c r="I630" s="93"/>
    </row>
    <row r="631" spans="1:9">
      <c r="A631" s="94"/>
      <c r="B631" s="95"/>
      <c r="C631" s="95"/>
      <c r="D631" s="95"/>
      <c r="E631" s="95"/>
      <c r="F631" s="96"/>
      <c r="G631" s="95"/>
      <c r="H631" s="95"/>
      <c r="I631" s="97"/>
    </row>
    <row r="632" spans="1:9">
      <c r="A632" s="90"/>
      <c r="B632" s="91"/>
      <c r="C632" s="91"/>
      <c r="D632" s="91"/>
      <c r="E632" s="91"/>
      <c r="F632" s="92"/>
      <c r="G632" s="91"/>
      <c r="H632" s="91"/>
      <c r="I632" s="93"/>
    </row>
    <row r="633" spans="1:9">
      <c r="A633" s="94"/>
      <c r="B633" s="95"/>
      <c r="C633" s="95"/>
      <c r="D633" s="95"/>
      <c r="E633" s="95"/>
      <c r="F633" s="96"/>
      <c r="G633" s="95"/>
      <c r="H633" s="95"/>
      <c r="I633" s="97"/>
    </row>
    <row r="634" spans="1:9">
      <c r="A634" s="90"/>
      <c r="B634" s="91"/>
      <c r="C634" s="91"/>
      <c r="D634" s="91"/>
      <c r="E634" s="91"/>
      <c r="F634" s="92"/>
      <c r="G634" s="91"/>
      <c r="H634" s="91"/>
      <c r="I634" s="93"/>
    </row>
    <row r="635" spans="1:9">
      <c r="A635" s="94"/>
      <c r="B635" s="95"/>
      <c r="C635" s="95"/>
      <c r="D635" s="95"/>
      <c r="E635" s="95"/>
      <c r="F635" s="96"/>
      <c r="G635" s="95"/>
      <c r="H635" s="95"/>
      <c r="I635" s="97"/>
    </row>
    <row r="636" spans="1:9">
      <c r="A636" s="90"/>
      <c r="B636" s="91"/>
      <c r="C636" s="91"/>
      <c r="D636" s="91"/>
      <c r="E636" s="91"/>
      <c r="F636" s="92"/>
      <c r="G636" s="91"/>
      <c r="H636" s="91"/>
      <c r="I636" s="93"/>
    </row>
    <row r="637" spans="1:9">
      <c r="A637" s="94"/>
      <c r="B637" s="95"/>
      <c r="C637" s="95"/>
      <c r="D637" s="95"/>
      <c r="E637" s="95"/>
      <c r="F637" s="96"/>
      <c r="G637" s="95"/>
      <c r="H637" s="95"/>
      <c r="I637" s="97"/>
    </row>
    <row r="638" spans="1:9">
      <c r="A638" s="90"/>
      <c r="B638" s="91"/>
      <c r="C638" s="91"/>
      <c r="D638" s="91"/>
      <c r="E638" s="91"/>
      <c r="F638" s="92"/>
      <c r="G638" s="91"/>
      <c r="H638" s="91"/>
      <c r="I638" s="93"/>
    </row>
    <row r="639" spans="1:9">
      <c r="A639" s="94"/>
      <c r="B639" s="95"/>
      <c r="C639" s="95"/>
      <c r="D639" s="95"/>
      <c r="E639" s="95"/>
      <c r="F639" s="96"/>
      <c r="G639" s="95"/>
      <c r="H639" s="95"/>
      <c r="I639" s="97"/>
    </row>
    <row r="640" spans="1:9">
      <c r="A640" s="90"/>
      <c r="B640" s="91"/>
      <c r="C640" s="91"/>
      <c r="D640" s="91"/>
      <c r="E640" s="91"/>
      <c r="F640" s="92"/>
      <c r="G640" s="91"/>
      <c r="H640" s="91"/>
      <c r="I640" s="93"/>
    </row>
    <row r="641" spans="1:9">
      <c r="A641" s="94"/>
      <c r="B641" s="95"/>
      <c r="C641" s="95"/>
      <c r="D641" s="95"/>
      <c r="E641" s="95"/>
      <c r="F641" s="96"/>
      <c r="G641" s="95"/>
      <c r="H641" s="95"/>
      <c r="I641" s="97"/>
    </row>
    <row r="642" spans="1:9">
      <c r="A642" s="90"/>
      <c r="B642" s="91"/>
      <c r="C642" s="91"/>
      <c r="D642" s="91"/>
      <c r="E642" s="91"/>
      <c r="F642" s="92"/>
      <c r="G642" s="91"/>
      <c r="H642" s="91"/>
      <c r="I642" s="93"/>
    </row>
    <row r="643" spans="1:9">
      <c r="A643" s="94"/>
      <c r="B643" s="95"/>
      <c r="C643" s="95"/>
      <c r="D643" s="95"/>
      <c r="E643" s="95"/>
      <c r="F643" s="96"/>
      <c r="G643" s="95"/>
      <c r="H643" s="95"/>
      <c r="I643" s="97"/>
    </row>
    <row r="644" spans="1:9">
      <c r="A644" s="90"/>
      <c r="B644" s="91"/>
      <c r="C644" s="91"/>
      <c r="D644" s="91"/>
      <c r="E644" s="91"/>
      <c r="F644" s="92"/>
      <c r="G644" s="91"/>
      <c r="H644" s="91"/>
      <c r="I644" s="93"/>
    </row>
    <row r="645" spans="1:9">
      <c r="A645" s="94"/>
      <c r="B645" s="95"/>
      <c r="C645" s="95"/>
      <c r="D645" s="95"/>
      <c r="E645" s="95"/>
      <c r="F645" s="96"/>
      <c r="G645" s="95"/>
      <c r="H645" s="95"/>
      <c r="I645" s="97"/>
    </row>
    <row r="646" spans="1:9">
      <c r="A646" s="90"/>
      <c r="B646" s="91"/>
      <c r="C646" s="91"/>
      <c r="D646" s="91"/>
      <c r="E646" s="91"/>
      <c r="F646" s="92"/>
      <c r="G646" s="91"/>
      <c r="H646" s="91"/>
      <c r="I646" s="93"/>
    </row>
    <row r="647" spans="1:9">
      <c r="A647" s="94"/>
      <c r="B647" s="95"/>
      <c r="C647" s="95"/>
      <c r="D647" s="95"/>
      <c r="E647" s="95"/>
      <c r="F647" s="96"/>
      <c r="G647" s="95"/>
      <c r="H647" s="95"/>
      <c r="I647" s="97"/>
    </row>
    <row r="648" spans="1:9">
      <c r="A648" s="90"/>
      <c r="B648" s="91"/>
      <c r="C648" s="91"/>
      <c r="D648" s="91"/>
      <c r="E648" s="91"/>
      <c r="F648" s="92"/>
      <c r="G648" s="91"/>
      <c r="H648" s="91"/>
      <c r="I648" s="93"/>
    </row>
    <row r="649" spans="1:9">
      <c r="A649" s="94"/>
      <c r="B649" s="95"/>
      <c r="C649" s="95"/>
      <c r="D649" s="95"/>
      <c r="E649" s="95"/>
      <c r="F649" s="96"/>
      <c r="G649" s="95"/>
      <c r="H649" s="95"/>
      <c r="I649" s="97"/>
    </row>
    <row r="650" spans="1:9">
      <c r="A650" s="90"/>
      <c r="B650" s="91"/>
      <c r="C650" s="91"/>
      <c r="D650" s="91"/>
      <c r="E650" s="91"/>
      <c r="F650" s="92"/>
      <c r="G650" s="91"/>
      <c r="H650" s="91"/>
      <c r="I650" s="93"/>
    </row>
    <row r="651" spans="1:9">
      <c r="A651" s="94"/>
      <c r="B651" s="95"/>
      <c r="C651" s="95"/>
      <c r="D651" s="95"/>
      <c r="E651" s="95"/>
      <c r="F651" s="96"/>
      <c r="G651" s="95"/>
      <c r="H651" s="95"/>
      <c r="I651" s="97"/>
    </row>
    <row r="652" spans="1:9">
      <c r="A652" s="90"/>
      <c r="B652" s="91"/>
      <c r="C652" s="91"/>
      <c r="D652" s="91"/>
      <c r="E652" s="91"/>
      <c r="F652" s="92"/>
      <c r="G652" s="91"/>
      <c r="H652" s="91"/>
      <c r="I652" s="93"/>
    </row>
    <row r="653" spans="1:9">
      <c r="A653" s="94"/>
      <c r="B653" s="95"/>
      <c r="C653" s="95"/>
      <c r="D653" s="95"/>
      <c r="E653" s="95"/>
      <c r="F653" s="96"/>
      <c r="G653" s="95"/>
      <c r="H653" s="95"/>
      <c r="I653" s="97"/>
    </row>
    <row r="654" spans="1:9">
      <c r="A654" s="90"/>
      <c r="B654" s="91"/>
      <c r="C654" s="91"/>
      <c r="D654" s="91"/>
      <c r="E654" s="91"/>
      <c r="F654" s="92"/>
      <c r="G654" s="91"/>
      <c r="H654" s="91"/>
      <c r="I654" s="93"/>
    </row>
    <row r="655" spans="1:9">
      <c r="A655" s="94"/>
      <c r="B655" s="95"/>
      <c r="C655" s="95"/>
      <c r="D655" s="95"/>
      <c r="E655" s="95"/>
      <c r="F655" s="96"/>
      <c r="G655" s="95"/>
      <c r="H655" s="95"/>
      <c r="I655" s="97"/>
    </row>
    <row r="656" spans="1:9">
      <c r="A656" s="90"/>
      <c r="B656" s="91"/>
      <c r="C656" s="91"/>
      <c r="D656" s="91"/>
      <c r="E656" s="91"/>
      <c r="F656" s="92"/>
      <c r="G656" s="91"/>
      <c r="H656" s="91"/>
      <c r="I656" s="93"/>
    </row>
    <row r="657" spans="1:9">
      <c r="A657" s="94"/>
      <c r="B657" s="95"/>
      <c r="C657" s="95"/>
      <c r="D657" s="95"/>
      <c r="E657" s="95"/>
      <c r="F657" s="96"/>
      <c r="G657" s="95"/>
      <c r="H657" s="95"/>
      <c r="I657" s="97"/>
    </row>
    <row r="658" spans="1:9">
      <c r="A658" s="90"/>
      <c r="B658" s="91"/>
      <c r="C658" s="91"/>
      <c r="D658" s="91"/>
      <c r="E658" s="91"/>
      <c r="F658" s="92"/>
      <c r="G658" s="91"/>
      <c r="H658" s="91"/>
      <c r="I658" s="93"/>
    </row>
    <row r="659" spans="1:9">
      <c r="A659" s="94"/>
      <c r="B659" s="95"/>
      <c r="C659" s="95"/>
      <c r="D659" s="95"/>
      <c r="E659" s="95"/>
      <c r="F659" s="96"/>
      <c r="G659" s="95"/>
      <c r="H659" s="95"/>
      <c r="I659" s="97"/>
    </row>
    <row r="660" spans="1:9">
      <c r="A660" s="90"/>
      <c r="B660" s="91"/>
      <c r="C660" s="91"/>
      <c r="D660" s="91"/>
      <c r="E660" s="91"/>
      <c r="F660" s="92"/>
      <c r="G660" s="91"/>
      <c r="H660" s="91"/>
      <c r="I660" s="93"/>
    </row>
    <row r="661" spans="1:9">
      <c r="A661" s="94"/>
      <c r="B661" s="95"/>
      <c r="C661" s="95"/>
      <c r="D661" s="95"/>
      <c r="E661" s="95"/>
      <c r="F661" s="96"/>
      <c r="G661" s="95"/>
      <c r="H661" s="95"/>
      <c r="I661" s="97"/>
    </row>
    <row r="662" spans="1:9">
      <c r="A662" s="90"/>
      <c r="B662" s="91"/>
      <c r="C662" s="91"/>
      <c r="D662" s="91"/>
      <c r="E662" s="91"/>
      <c r="F662" s="92"/>
      <c r="G662" s="91"/>
      <c r="H662" s="91"/>
      <c r="I662" s="93"/>
    </row>
    <row r="663" spans="1:9">
      <c r="A663" s="94"/>
      <c r="B663" s="95"/>
      <c r="C663" s="95"/>
      <c r="D663" s="95"/>
      <c r="E663" s="95"/>
      <c r="F663" s="96"/>
      <c r="G663" s="95"/>
      <c r="H663" s="95"/>
      <c r="I663" s="97"/>
    </row>
    <row r="664" spans="1:9">
      <c r="A664" s="90"/>
      <c r="B664" s="91"/>
      <c r="C664" s="91"/>
      <c r="D664" s="91"/>
      <c r="E664" s="91"/>
      <c r="F664" s="92"/>
      <c r="G664" s="91"/>
      <c r="H664" s="91"/>
      <c r="I664" s="93"/>
    </row>
    <row r="665" spans="1:9">
      <c r="A665" s="94"/>
      <c r="B665" s="95"/>
      <c r="C665" s="95"/>
      <c r="D665" s="95"/>
      <c r="E665" s="95"/>
      <c r="F665" s="96"/>
      <c r="G665" s="95"/>
      <c r="H665" s="95"/>
      <c r="I665" s="97"/>
    </row>
    <row r="666" spans="1:9">
      <c r="A666" s="90"/>
      <c r="B666" s="91"/>
      <c r="C666" s="91"/>
      <c r="D666" s="91"/>
      <c r="E666" s="91"/>
      <c r="F666" s="92"/>
      <c r="G666" s="91"/>
      <c r="H666" s="91"/>
      <c r="I666" s="93"/>
    </row>
    <row r="667" spans="1:9">
      <c r="A667" s="94"/>
      <c r="B667" s="95"/>
      <c r="C667" s="95"/>
      <c r="D667" s="95"/>
      <c r="E667" s="95"/>
      <c r="F667" s="96"/>
      <c r="G667" s="95"/>
      <c r="H667" s="95"/>
      <c r="I667" s="97"/>
    </row>
    <row r="668" spans="1:9">
      <c r="A668" s="90"/>
      <c r="B668" s="91"/>
      <c r="C668" s="91"/>
      <c r="D668" s="91"/>
      <c r="E668" s="91"/>
      <c r="F668" s="92"/>
      <c r="G668" s="91"/>
      <c r="H668" s="91"/>
      <c r="I668" s="93"/>
    </row>
    <row r="669" spans="1:9">
      <c r="A669" s="94"/>
      <c r="B669" s="95"/>
      <c r="C669" s="95"/>
      <c r="D669" s="95"/>
      <c r="E669" s="95"/>
      <c r="F669" s="96"/>
      <c r="G669" s="95"/>
      <c r="H669" s="95"/>
      <c r="I669" s="97"/>
    </row>
    <row r="670" spans="1:9">
      <c r="A670" s="90"/>
      <c r="B670" s="91"/>
      <c r="C670" s="91"/>
      <c r="D670" s="91"/>
      <c r="E670" s="91"/>
      <c r="F670" s="92"/>
      <c r="G670" s="91"/>
      <c r="H670" s="91"/>
      <c r="I670" s="93"/>
    </row>
    <row r="671" spans="1:9">
      <c r="A671" s="94"/>
      <c r="B671" s="95"/>
      <c r="C671" s="95"/>
      <c r="D671" s="95"/>
      <c r="E671" s="95"/>
      <c r="F671" s="96"/>
      <c r="G671" s="95"/>
      <c r="H671" s="95"/>
      <c r="I671" s="97"/>
    </row>
    <row r="672" spans="1:9">
      <c r="A672" s="90"/>
      <c r="B672" s="91"/>
      <c r="C672" s="91"/>
      <c r="D672" s="91"/>
      <c r="E672" s="91"/>
      <c r="F672" s="92"/>
      <c r="G672" s="91"/>
      <c r="H672" s="91"/>
      <c r="I672" s="93"/>
    </row>
    <row r="673" spans="1:9">
      <c r="A673" s="94"/>
      <c r="B673" s="95"/>
      <c r="C673" s="95"/>
      <c r="D673" s="95"/>
      <c r="E673" s="95"/>
      <c r="F673" s="96"/>
      <c r="G673" s="95"/>
      <c r="H673" s="95"/>
      <c r="I673" s="97"/>
    </row>
    <row r="674" spans="1:9">
      <c r="A674" s="90"/>
      <c r="B674" s="91"/>
      <c r="C674" s="91"/>
      <c r="D674" s="91"/>
      <c r="E674" s="91"/>
      <c r="F674" s="92"/>
      <c r="G674" s="91"/>
      <c r="H674" s="91"/>
      <c r="I674" s="93"/>
    </row>
    <row r="675" spans="1:9">
      <c r="A675" s="94"/>
      <c r="B675" s="95"/>
      <c r="C675" s="95"/>
      <c r="D675" s="95"/>
      <c r="E675" s="95"/>
      <c r="F675" s="96"/>
      <c r="G675" s="95"/>
      <c r="H675" s="95"/>
      <c r="I675" s="97"/>
    </row>
    <row r="676" spans="1:9">
      <c r="A676" s="90"/>
      <c r="B676" s="91"/>
      <c r="C676" s="91"/>
      <c r="D676" s="91"/>
      <c r="E676" s="91"/>
      <c r="F676" s="92"/>
      <c r="G676" s="91"/>
      <c r="H676" s="91"/>
      <c r="I676" s="93"/>
    </row>
    <row r="677" spans="1:9">
      <c r="A677" s="94"/>
      <c r="B677" s="95"/>
      <c r="C677" s="95"/>
      <c r="D677" s="95"/>
      <c r="E677" s="95"/>
      <c r="F677" s="96"/>
      <c r="G677" s="95"/>
      <c r="H677" s="95"/>
      <c r="I677" s="97"/>
    </row>
    <row r="678" spans="1:9">
      <c r="A678" s="90"/>
      <c r="B678" s="91"/>
      <c r="C678" s="91"/>
      <c r="D678" s="91"/>
      <c r="E678" s="91"/>
      <c r="F678" s="92"/>
      <c r="G678" s="91"/>
      <c r="H678" s="91"/>
      <c r="I678" s="93"/>
    </row>
    <row r="679" spans="1:9">
      <c r="A679" s="94"/>
      <c r="B679" s="95"/>
      <c r="C679" s="95"/>
      <c r="D679" s="95"/>
      <c r="E679" s="95"/>
      <c r="F679" s="96"/>
      <c r="G679" s="95"/>
      <c r="H679" s="95"/>
      <c r="I679" s="97"/>
    </row>
    <row r="680" spans="1:9">
      <c r="A680" s="90"/>
      <c r="B680" s="91"/>
      <c r="C680" s="91"/>
      <c r="D680" s="91"/>
      <c r="E680" s="91"/>
      <c r="F680" s="92"/>
      <c r="G680" s="91"/>
      <c r="H680" s="91"/>
      <c r="I680" s="93"/>
    </row>
    <row r="681" spans="1:9">
      <c r="A681" s="94"/>
      <c r="B681" s="95"/>
      <c r="C681" s="95"/>
      <c r="D681" s="95"/>
      <c r="E681" s="95"/>
      <c r="F681" s="96"/>
      <c r="G681" s="95"/>
      <c r="H681" s="95"/>
      <c r="I681" s="97"/>
    </row>
    <row r="682" spans="1:9">
      <c r="A682" s="90"/>
      <c r="B682" s="91"/>
      <c r="C682" s="91"/>
      <c r="D682" s="91"/>
      <c r="E682" s="91"/>
      <c r="F682" s="92"/>
      <c r="G682" s="91"/>
      <c r="H682" s="91"/>
      <c r="I682" s="93"/>
    </row>
    <row r="683" spans="1:9">
      <c r="A683" s="94"/>
      <c r="B683" s="95"/>
      <c r="C683" s="95"/>
      <c r="D683" s="95"/>
      <c r="E683" s="95"/>
      <c r="F683" s="96"/>
      <c r="G683" s="95"/>
      <c r="H683" s="95"/>
      <c r="I683" s="97"/>
    </row>
    <row r="684" spans="1:9">
      <c r="A684" s="90"/>
      <c r="B684" s="91"/>
      <c r="C684" s="91"/>
      <c r="D684" s="91"/>
      <c r="E684" s="91"/>
      <c r="F684" s="92"/>
      <c r="G684" s="91"/>
      <c r="H684" s="91"/>
      <c r="I684" s="93"/>
    </row>
    <row r="685" spans="1:9">
      <c r="A685" s="94"/>
      <c r="B685" s="95"/>
      <c r="C685" s="95"/>
      <c r="D685" s="95"/>
      <c r="E685" s="95"/>
      <c r="F685" s="96"/>
      <c r="G685" s="95"/>
      <c r="H685" s="95"/>
      <c r="I685" s="97"/>
    </row>
    <row r="686" spans="1:9">
      <c r="A686" s="90"/>
      <c r="B686" s="91"/>
      <c r="C686" s="91"/>
      <c r="D686" s="91"/>
      <c r="E686" s="91"/>
      <c r="F686" s="92"/>
      <c r="G686" s="91"/>
      <c r="H686" s="91"/>
      <c r="I686" s="93"/>
    </row>
    <row r="687" spans="1:9">
      <c r="A687" s="94"/>
      <c r="B687" s="95"/>
      <c r="C687" s="95"/>
      <c r="D687" s="95"/>
      <c r="E687" s="95"/>
      <c r="F687" s="96"/>
      <c r="G687" s="95"/>
      <c r="H687" s="95"/>
      <c r="I687" s="97"/>
    </row>
    <row r="688" spans="1:9">
      <c r="A688" s="90"/>
      <c r="B688" s="91"/>
      <c r="C688" s="91"/>
      <c r="D688" s="91"/>
      <c r="E688" s="91"/>
      <c r="F688" s="92"/>
      <c r="G688" s="91"/>
      <c r="H688" s="91"/>
      <c r="I688" s="93"/>
    </row>
    <row r="689" spans="1:9">
      <c r="A689" s="94"/>
      <c r="B689" s="95"/>
      <c r="C689" s="95"/>
      <c r="D689" s="95"/>
      <c r="E689" s="95"/>
      <c r="F689" s="96"/>
      <c r="G689" s="95"/>
      <c r="H689" s="95"/>
      <c r="I689" s="97"/>
    </row>
    <row r="690" spans="1:9">
      <c r="A690" s="90"/>
      <c r="B690" s="91"/>
      <c r="C690" s="91"/>
      <c r="D690" s="91"/>
      <c r="E690" s="91"/>
      <c r="F690" s="92"/>
      <c r="G690" s="91"/>
      <c r="H690" s="91"/>
      <c r="I690" s="93"/>
    </row>
    <row r="691" spans="1:9">
      <c r="A691" s="94"/>
      <c r="B691" s="95"/>
      <c r="C691" s="95"/>
      <c r="D691" s="95"/>
      <c r="E691" s="95"/>
      <c r="F691" s="96"/>
      <c r="G691" s="95"/>
      <c r="H691" s="95"/>
      <c r="I691" s="97"/>
    </row>
    <row r="692" spans="1:9">
      <c r="A692" s="90"/>
      <c r="B692" s="91"/>
      <c r="C692" s="91"/>
      <c r="D692" s="91"/>
      <c r="E692" s="91"/>
      <c r="F692" s="92"/>
      <c r="G692" s="91"/>
      <c r="H692" s="91"/>
      <c r="I692" s="93"/>
    </row>
    <row r="693" spans="1:9">
      <c r="A693" s="94"/>
      <c r="B693" s="95"/>
      <c r="C693" s="95"/>
      <c r="D693" s="95"/>
      <c r="E693" s="95"/>
      <c r="F693" s="96"/>
      <c r="G693" s="95"/>
      <c r="H693" s="95"/>
      <c r="I693" s="97"/>
    </row>
    <row r="694" spans="1:9">
      <c r="A694" s="90"/>
      <c r="B694" s="91"/>
      <c r="C694" s="91"/>
      <c r="D694" s="91"/>
      <c r="E694" s="91"/>
      <c r="F694" s="92"/>
      <c r="G694" s="91"/>
      <c r="H694" s="91"/>
      <c r="I694" s="93"/>
    </row>
    <row r="695" spans="1:9">
      <c r="A695" s="94"/>
      <c r="B695" s="95"/>
      <c r="C695" s="95"/>
      <c r="D695" s="95"/>
      <c r="E695" s="95"/>
      <c r="F695" s="96"/>
      <c r="G695" s="95"/>
      <c r="H695" s="95"/>
      <c r="I695" s="97"/>
    </row>
    <row r="696" spans="1:9">
      <c r="A696" s="90"/>
      <c r="B696" s="91"/>
      <c r="C696" s="91"/>
      <c r="D696" s="91"/>
      <c r="E696" s="91"/>
      <c r="F696" s="92"/>
      <c r="G696" s="91"/>
      <c r="H696" s="91"/>
      <c r="I696" s="93"/>
    </row>
    <row r="697" spans="1:9">
      <c r="A697" s="94"/>
      <c r="B697" s="95"/>
      <c r="C697" s="95"/>
      <c r="D697" s="95"/>
      <c r="E697" s="95"/>
      <c r="F697" s="96"/>
      <c r="G697" s="95"/>
      <c r="H697" s="95"/>
      <c r="I697" s="97"/>
    </row>
    <row r="698" spans="1:9">
      <c r="A698" s="90"/>
      <c r="B698" s="91"/>
      <c r="C698" s="91"/>
      <c r="D698" s="91"/>
      <c r="E698" s="91"/>
      <c r="F698" s="92"/>
      <c r="G698" s="91"/>
      <c r="H698" s="91"/>
      <c r="I698" s="93"/>
    </row>
    <row r="699" spans="1:9">
      <c r="A699" s="94"/>
      <c r="B699" s="95"/>
      <c r="C699" s="95"/>
      <c r="D699" s="95"/>
      <c r="E699" s="95"/>
      <c r="F699" s="96"/>
      <c r="G699" s="95"/>
      <c r="H699" s="95"/>
      <c r="I699" s="97"/>
    </row>
    <row r="700" spans="1:9">
      <c r="A700" s="90"/>
      <c r="B700" s="91"/>
      <c r="C700" s="91"/>
      <c r="D700" s="91"/>
      <c r="E700" s="91"/>
      <c r="F700" s="92"/>
      <c r="G700" s="91"/>
      <c r="H700" s="91"/>
      <c r="I700" s="93"/>
    </row>
    <row r="701" spans="1:9">
      <c r="A701" s="98"/>
      <c r="B701" s="99"/>
      <c r="C701" s="99"/>
      <c r="D701" s="99"/>
      <c r="E701" s="99"/>
      <c r="F701" s="100"/>
      <c r="G701" s="99"/>
      <c r="H701" s="99"/>
      <c r="I701" s="101"/>
    </row>
  </sheetData>
  <autoFilter ref="A1:I159" xr:uid="{286421FE-0326-4EF5-A61A-E52F0649731C}">
    <filterColumn colId="0">
      <filters>
        <dateGroupItem year="2025" month="3" dateTimeGrouping="month"/>
      </filters>
    </filterColumn>
  </autoFilter>
  <customSheetViews>
    <customSheetView guid="{B061BDB8-F860-4D44-941F-C2AA21ACDACC}" showRowCol="0" filter="1" showAutoFilter="1">
      <pane ySplit="100" topLeftCell="A156" activePane="bottomLeft" state="frozen"/>
      <selection pane="bottomLeft" activeCell="F164" sqref="F164"/>
      <pageMargins left="0" right="0" top="0" bottom="0" header="0" footer="0"/>
      <autoFilter ref="A1:I159" xr:uid="{33A642A3-649C-5F47-873A-8E0A8375FDD2}">
        <filterColumn colId="0">
          <filters>
            <dateGroupItem year="2025" month="3" dateTimeGrouping="month"/>
          </filters>
        </filterColumn>
      </autoFilter>
    </customSheetView>
  </customSheetViews>
  <phoneticPr fontId="1"/>
  <dataValidations count="2">
    <dataValidation type="list" allowBlank="1" showInputMessage="1" showErrorMessage="1" sqref="E2:E701" xr:uid="{152DD9D5-EDD0-4FC1-B6EF-F008309D49FB}">
      <formula1>"予約,キャンセル,変更,契約,問い合わせ,その他"</formula1>
    </dataValidation>
    <dataValidation type="list" allowBlank="1" showInputMessage="1" showErrorMessage="1" sqref="H2:H701" xr:uid="{B35E6032-A5EF-4C54-A5EC-1633B714BD19}">
      <formula1>"✓"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C7D11-01AA-45E2-BDFD-41F1C5DF087B}">
  <sheetPr codeName="空きFAX">
    <tabColor rgb="FF92D050"/>
  </sheetPr>
  <dimension ref="A1:AP48"/>
  <sheetViews>
    <sheetView showZeros="0" view="pageBreakPreview" topLeftCell="A4" zoomScale="70" zoomScaleNormal="50" zoomScaleSheetLayoutView="70" workbookViewId="0">
      <selection activeCell="A8" sqref="A8:W14"/>
    </sheetView>
  </sheetViews>
  <sheetFormatPr baseColWidth="10" defaultColWidth="8" defaultRowHeight="18"/>
  <cols>
    <col min="1" max="1" width="4.140625" style="46" customWidth="1"/>
    <col min="2" max="2" width="3.5703125" style="46" customWidth="1"/>
    <col min="3" max="3" width="4.140625" style="46" customWidth="1"/>
    <col min="4" max="4" width="3.5703125" style="46" customWidth="1"/>
    <col min="5" max="5" width="4.140625" style="46" customWidth="1"/>
    <col min="6" max="6" width="3.5703125" style="46" customWidth="1"/>
    <col min="7" max="7" width="4.140625" style="46" customWidth="1"/>
    <col min="8" max="8" width="3.5703125" style="46" customWidth="1"/>
    <col min="9" max="9" width="4.140625" style="46" customWidth="1"/>
    <col min="10" max="10" width="3.5703125" style="46" customWidth="1"/>
    <col min="11" max="11" width="4.140625" style="46" customWidth="1"/>
    <col min="12" max="12" width="3.5703125" style="46" customWidth="1"/>
    <col min="13" max="13" width="4.140625" style="46" customWidth="1"/>
    <col min="14" max="14" width="3.5703125" style="46" customWidth="1"/>
    <col min="15" max="15" width="4.140625" style="46" customWidth="1"/>
    <col min="16" max="16" width="3.5703125" style="46" customWidth="1"/>
    <col min="17" max="17" width="4.140625" style="46" customWidth="1"/>
    <col min="18" max="18" width="3.5703125" style="46" customWidth="1"/>
    <col min="19" max="19" width="4.140625" style="46" customWidth="1"/>
    <col min="20" max="20" width="3.5703125" style="46" customWidth="1"/>
    <col min="21" max="21" width="4.140625" style="46" customWidth="1"/>
    <col min="22" max="22" width="3.5703125" style="46" customWidth="1"/>
    <col min="23" max="23" width="2.140625" style="46" customWidth="1"/>
    <col min="24" max="24" width="0" style="46" hidden="1" customWidth="1"/>
    <col min="25" max="31" width="8" style="46"/>
    <col min="32" max="32" width="8" style="46" hidden="1" customWidth="1"/>
    <col min="33" max="16384" width="8" style="46"/>
  </cols>
  <sheetData>
    <row r="1" spans="1:32" s="50" customFormat="1" ht="18" customHeight="1">
      <c r="A1" s="205" t="s">
        <v>697</v>
      </c>
      <c r="B1" s="205"/>
      <c r="C1" s="205"/>
      <c r="D1" s="205"/>
      <c r="E1" s="205"/>
      <c r="F1" s="205"/>
      <c r="G1" s="205"/>
      <c r="H1" s="205"/>
      <c r="I1" s="205"/>
      <c r="J1" s="58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</row>
    <row r="2" spans="1:32" s="47" customFormat="1" ht="13.5" customHeight="1">
      <c r="A2" s="205"/>
      <c r="B2" s="205"/>
      <c r="C2" s="205"/>
      <c r="D2" s="205"/>
      <c r="E2" s="205"/>
      <c r="F2" s="205"/>
      <c r="G2" s="205"/>
      <c r="H2" s="205"/>
      <c r="I2" s="205"/>
      <c r="J2" s="58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</row>
    <row r="3" spans="1:32" s="47" customFormat="1" ht="13.5" customHeight="1">
      <c r="A3" s="205"/>
      <c r="B3" s="205"/>
      <c r="C3" s="205"/>
      <c r="D3" s="205"/>
      <c r="E3" s="205"/>
      <c r="F3" s="205"/>
      <c r="G3" s="205"/>
      <c r="H3" s="205"/>
      <c r="I3" s="205"/>
      <c r="J3" s="58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</row>
    <row r="4" spans="1:32" s="47" customFormat="1" ht="18.75" customHeight="1">
      <c r="AF4" s="81" t="s">
        <v>698</v>
      </c>
    </row>
    <row r="5" spans="1:32" s="47" customFormat="1" ht="26">
      <c r="A5" s="207" t="s">
        <v>699</v>
      </c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AF5" s="122">
        <v>3</v>
      </c>
    </row>
    <row r="6" spans="1:32" s="47" customFormat="1" ht="23.25" customHeight="1">
      <c r="M6" s="208">
        <f ca="1">TODAY()</f>
        <v>45778</v>
      </c>
      <c r="N6" s="208"/>
      <c r="O6" s="208"/>
      <c r="P6" s="208"/>
      <c r="Q6" s="208"/>
      <c r="R6" s="208"/>
      <c r="S6" s="208"/>
      <c r="T6" s="208"/>
      <c r="U6" s="208"/>
      <c r="V6" s="208"/>
      <c r="W6" s="208"/>
    </row>
    <row r="7" spans="1:32" s="47" customFormat="1" ht="14"/>
    <row r="8" spans="1:32" s="47" customFormat="1" ht="13.5" customHeight="1">
      <c r="A8" s="206" t="s">
        <v>700</v>
      </c>
      <c r="B8" s="206"/>
      <c r="C8" s="206"/>
      <c r="D8" s="206"/>
      <c r="E8" s="206"/>
      <c r="F8" s="206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6"/>
      <c r="U8" s="206"/>
      <c r="V8" s="206"/>
      <c r="W8" s="206"/>
    </row>
    <row r="9" spans="1:32" s="47" customFormat="1" ht="13.5" customHeight="1">
      <c r="A9" s="206"/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</row>
    <row r="10" spans="1:32" s="47" customFormat="1" ht="13.5" customHeight="1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</row>
    <row r="11" spans="1:32" s="47" customFormat="1" ht="13.5" customHeight="1">
      <c r="A11" s="206"/>
      <c r="B11" s="206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</row>
    <row r="12" spans="1:32" s="47" customFormat="1" ht="13.5" customHeight="1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</row>
    <row r="13" spans="1:32" s="47" customFormat="1" ht="13.5" customHeight="1">
      <c r="A13" s="206"/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</row>
    <row r="14" spans="1:32" s="47" customFormat="1" ht="23.25" customHeight="1">
      <c r="A14" s="206"/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</row>
    <row r="15" spans="1:32" s="47" customFormat="1" ht="14"/>
    <row r="16" spans="1:32" s="50" customFormat="1" ht="17.25" customHeight="1">
      <c r="A16" s="52">
        <f>DATE(s年,空き開始月,1)</f>
        <v>45717</v>
      </c>
      <c r="B16" s="51" t="str">
        <f>TEXT(A16,"aaa")</f>
        <v>土</v>
      </c>
      <c r="C16" s="52">
        <f>DATE(s年,空き開始月,2)</f>
        <v>45718</v>
      </c>
      <c r="D16" s="51" t="str">
        <f>TEXT(C16,"aaa")</f>
        <v>日</v>
      </c>
      <c r="E16" s="52">
        <f>DATE(s年,空き開始月,3)</f>
        <v>45719</v>
      </c>
      <c r="F16" s="51" t="str">
        <f>TEXT(E16,"aaa")</f>
        <v>月</v>
      </c>
      <c r="G16" s="52">
        <f>DATE(s年,空き開始月,4)</f>
        <v>45720</v>
      </c>
      <c r="H16" s="51" t="str">
        <f>TEXT(G16,"aaa")</f>
        <v>火</v>
      </c>
      <c r="I16" s="52">
        <f>DATE(s年,空き開始月,5)</f>
        <v>45721</v>
      </c>
      <c r="J16" s="51" t="str">
        <f>TEXT(I16,"aaa")</f>
        <v>水</v>
      </c>
      <c r="K16" s="52">
        <f>DATE(s年,空き開始月,6)</f>
        <v>45722</v>
      </c>
      <c r="L16" s="51" t="str">
        <f>TEXT(K16,"aaa")</f>
        <v>木</v>
      </c>
      <c r="M16" s="52">
        <f>DATE(s年,空き開始月,7)</f>
        <v>45723</v>
      </c>
      <c r="N16" s="51" t="str">
        <f>TEXT(M16,"aaa")</f>
        <v>金</v>
      </c>
      <c r="O16" s="52">
        <f>DATE(s年,空き開始月,8)</f>
        <v>45724</v>
      </c>
      <c r="P16" s="51" t="str">
        <f>TEXT(O16,"aaa")</f>
        <v>土</v>
      </c>
      <c r="Q16" s="52">
        <f>DATE(s年,空き開始月,9)</f>
        <v>45725</v>
      </c>
      <c r="R16" s="51" t="str">
        <f>TEXT(Q16,"aaa")</f>
        <v>日</v>
      </c>
      <c r="S16" s="52">
        <f>DATE(s年,空き開始月,10)</f>
        <v>45726</v>
      </c>
      <c r="T16" s="51" t="str">
        <f>TEXT(S16,"aaa")</f>
        <v>月</v>
      </c>
      <c r="U16" s="56"/>
      <c r="V16" s="55"/>
      <c r="X16" s="50">
        <v>1</v>
      </c>
      <c r="Z16" s="46"/>
      <c r="AA16" s="46"/>
    </row>
    <row r="17" spans="1:27" s="50" customFormat="1" ht="24" customHeight="1">
      <c r="A17" s="204" t="s">
        <v>701</v>
      </c>
      <c r="B17" s="204"/>
      <c r="C17" s="204" t="s">
        <v>701</v>
      </c>
      <c r="D17" s="204"/>
      <c r="E17" s="204" t="s">
        <v>701</v>
      </c>
      <c r="F17" s="204"/>
      <c r="G17" s="204" t="s">
        <v>701</v>
      </c>
      <c r="H17" s="204"/>
      <c r="I17" s="204" t="s">
        <v>701</v>
      </c>
      <c r="J17" s="204"/>
      <c r="K17" s="204" t="s">
        <v>701</v>
      </c>
      <c r="L17" s="204"/>
      <c r="M17" s="204" t="s">
        <v>701</v>
      </c>
      <c r="N17" s="204"/>
      <c r="O17" s="204" t="s">
        <v>701</v>
      </c>
      <c r="P17" s="204"/>
      <c r="Q17" s="204" t="s">
        <v>701</v>
      </c>
      <c r="R17" s="204"/>
      <c r="S17" s="204" t="s">
        <v>701</v>
      </c>
      <c r="T17" s="204"/>
      <c r="U17" s="54"/>
      <c r="V17" s="53"/>
      <c r="Z17" s="46"/>
      <c r="AA17" s="46"/>
    </row>
    <row r="18" spans="1:27" s="50" customFormat="1" ht="17.25" customHeight="1">
      <c r="A18" s="64">
        <f>DATE(s年,空き開始月,11)</f>
        <v>45727</v>
      </c>
      <c r="B18" s="65" t="str">
        <f>TEXT(A18,"aaa")</f>
        <v>火</v>
      </c>
      <c r="C18" s="64">
        <f>DATE(s年,空き開始月,12)</f>
        <v>45728</v>
      </c>
      <c r="D18" s="65" t="str">
        <f>TEXT(C18,"aaa")</f>
        <v>水</v>
      </c>
      <c r="E18" s="64">
        <f>DATE(s年,空き開始月,13)</f>
        <v>45729</v>
      </c>
      <c r="F18" s="65" t="str">
        <f>TEXT(E18,"aaa")</f>
        <v>木</v>
      </c>
      <c r="G18" s="64">
        <f>DATE(s年,空き開始月,14)</f>
        <v>45730</v>
      </c>
      <c r="H18" s="65" t="str">
        <f>TEXT(G18,"aaa")</f>
        <v>金</v>
      </c>
      <c r="I18" s="64">
        <f>DATE(s年,空き開始月,15)</f>
        <v>45731</v>
      </c>
      <c r="J18" s="65" t="str">
        <f>TEXT(I18,"aaa")</f>
        <v>土</v>
      </c>
      <c r="K18" s="64">
        <f>DATE(s年,空き開始月,16)</f>
        <v>45732</v>
      </c>
      <c r="L18" s="65" t="str">
        <f>TEXT(K18,"aaa")</f>
        <v>日</v>
      </c>
      <c r="M18" s="64">
        <f>DATE(s年,空き開始月,17)</f>
        <v>45733</v>
      </c>
      <c r="N18" s="65" t="str">
        <f>TEXT(M18,"aaa")</f>
        <v>月</v>
      </c>
      <c r="O18" s="64">
        <f>DATE(s年,空き開始月,18)</f>
        <v>45734</v>
      </c>
      <c r="P18" s="65" t="str">
        <f>TEXT(O18,"aaa")</f>
        <v>火</v>
      </c>
      <c r="Q18" s="64">
        <f>DATE(s年,空き開始月,19)</f>
        <v>45735</v>
      </c>
      <c r="R18" s="65" t="str">
        <f>TEXT(Q18,"aaa")</f>
        <v>水</v>
      </c>
      <c r="S18" s="64">
        <f>DATE(s年,空き開始月,20)</f>
        <v>45736</v>
      </c>
      <c r="T18" s="65" t="str">
        <f>TEXT(S18,"aaa")</f>
        <v>木</v>
      </c>
      <c r="U18" s="56"/>
      <c r="V18" s="55"/>
      <c r="Z18" s="46"/>
      <c r="AA18" s="46"/>
    </row>
    <row r="19" spans="1:27" s="50" customFormat="1" ht="24" customHeight="1">
      <c r="A19" s="204" t="s">
        <v>701</v>
      </c>
      <c r="B19" s="204"/>
      <c r="C19" s="204" t="s">
        <v>701</v>
      </c>
      <c r="D19" s="204"/>
      <c r="E19" s="204" t="s">
        <v>701</v>
      </c>
      <c r="F19" s="204"/>
      <c r="G19" s="204" t="s">
        <v>701</v>
      </c>
      <c r="H19" s="204"/>
      <c r="I19" s="204" t="s">
        <v>701</v>
      </c>
      <c r="J19" s="204"/>
      <c r="K19" s="204" t="s">
        <v>701</v>
      </c>
      <c r="L19" s="204"/>
      <c r="M19" s="204" t="s">
        <v>701</v>
      </c>
      <c r="N19" s="204"/>
      <c r="O19" s="204" t="s">
        <v>701</v>
      </c>
      <c r="P19" s="204"/>
      <c r="Q19" s="204" t="s">
        <v>701</v>
      </c>
      <c r="R19" s="204"/>
      <c r="S19" s="204" t="s">
        <v>701</v>
      </c>
      <c r="T19" s="204"/>
      <c r="U19" s="54"/>
      <c r="V19" s="53"/>
      <c r="Z19" s="46"/>
      <c r="AA19" s="46"/>
    </row>
    <row r="20" spans="1:27" s="50" customFormat="1" ht="17.25" customHeight="1">
      <c r="A20" s="64">
        <f>DATE(s年,空き開始月,21)</f>
        <v>45737</v>
      </c>
      <c r="B20" s="65" t="str">
        <f>TEXT(A20,"aaa")</f>
        <v>金</v>
      </c>
      <c r="C20" s="64">
        <f>DATE(s年,空き開始月,22)</f>
        <v>45738</v>
      </c>
      <c r="D20" s="65" t="str">
        <f>TEXT(C20,"aaa")</f>
        <v>土</v>
      </c>
      <c r="E20" s="64">
        <f>DATE(s年,空き開始月,23)</f>
        <v>45739</v>
      </c>
      <c r="F20" s="65" t="str">
        <f>TEXT(E20,"aaa")</f>
        <v>日</v>
      </c>
      <c r="G20" s="64">
        <f>DATE(s年,空き開始月,24)</f>
        <v>45740</v>
      </c>
      <c r="H20" s="65" t="str">
        <f>TEXT(G20,"aaa")</f>
        <v>月</v>
      </c>
      <c r="I20" s="64">
        <f>DATE(s年,空き開始月,25)</f>
        <v>45741</v>
      </c>
      <c r="J20" s="65" t="str">
        <f>TEXT(I20,"aaa")</f>
        <v>火</v>
      </c>
      <c r="K20" s="64">
        <f>DATE(s年,空き開始月,26)</f>
        <v>45742</v>
      </c>
      <c r="L20" s="65" t="str">
        <f>TEXT(K20,"aaa")</f>
        <v>水</v>
      </c>
      <c r="M20" s="64">
        <f>DATE(s年,空き開始月,27)</f>
        <v>45743</v>
      </c>
      <c r="N20" s="65" t="str">
        <f>TEXT(M20,"aaa")</f>
        <v>木</v>
      </c>
      <c r="O20" s="64">
        <f>DATE(s年,空き開始月,28)</f>
        <v>45744</v>
      </c>
      <c r="P20" s="65" t="str">
        <f>TEXT(O20,"aaa")</f>
        <v>金</v>
      </c>
      <c r="Q20" s="64">
        <f>IF(DAY(DATE(s年,空き開始月,29))=29,DATE(s年,空き開始月,29),"")</f>
        <v>45745</v>
      </c>
      <c r="R20" s="65" t="str">
        <f>IF(Q20="","",TEXT(Q20,"aaa"))</f>
        <v>土</v>
      </c>
      <c r="S20" s="64">
        <f>IF(DAY(DATE(s年,空き開始月,30))=30,DATE(s年,空き開始月,30),"")</f>
        <v>45746</v>
      </c>
      <c r="T20" s="65" t="str">
        <f>IF(S20="","",TEXT(S20,"aaa"))</f>
        <v>日</v>
      </c>
      <c r="U20" s="52">
        <f>IF(DAY(DATE(s年,空き開始月,31))=31,DATE(s年,空き開始月,31),"")</f>
        <v>45747</v>
      </c>
      <c r="V20" s="51" t="str">
        <f>IF(U20="","",TEXT(U20,"aaa"))</f>
        <v>月</v>
      </c>
      <c r="Z20" s="46"/>
      <c r="AA20" s="46"/>
    </row>
    <row r="21" spans="1:27" s="50" customFormat="1" ht="24" customHeight="1">
      <c r="A21" s="204" t="s">
        <v>701</v>
      </c>
      <c r="B21" s="204"/>
      <c r="C21" s="204" t="s">
        <v>702</v>
      </c>
      <c r="D21" s="204"/>
      <c r="E21" s="204" t="s">
        <v>701</v>
      </c>
      <c r="F21" s="204"/>
      <c r="G21" s="204" t="s">
        <v>701</v>
      </c>
      <c r="H21" s="204"/>
      <c r="I21" s="204" t="s">
        <v>701</v>
      </c>
      <c r="J21" s="204"/>
      <c r="K21" s="204" t="s">
        <v>701</v>
      </c>
      <c r="L21" s="204"/>
      <c r="M21" s="204" t="s">
        <v>702</v>
      </c>
      <c r="N21" s="204"/>
      <c r="O21" s="204" t="s">
        <v>701</v>
      </c>
      <c r="P21" s="204"/>
      <c r="Q21" s="204" t="s">
        <v>702</v>
      </c>
      <c r="R21" s="204"/>
      <c r="S21" s="204" t="s">
        <v>701</v>
      </c>
      <c r="T21" s="204"/>
      <c r="U21" s="204" t="s">
        <v>701</v>
      </c>
      <c r="V21" s="204"/>
      <c r="Z21" s="46"/>
      <c r="AA21" s="46"/>
    </row>
    <row r="23" spans="1:27" s="50" customFormat="1" ht="17.25" customHeight="1">
      <c r="A23" s="52">
        <f>DATE(s年,空き開始月+1,1)</f>
        <v>45748</v>
      </c>
      <c r="B23" s="51" t="str">
        <f>TEXT(A23,"aaa")</f>
        <v>火</v>
      </c>
      <c r="C23" s="52">
        <f>DATE(s年,空き開始月+1,2)</f>
        <v>45749</v>
      </c>
      <c r="D23" s="51" t="str">
        <f>TEXT(C23,"aaa")</f>
        <v>水</v>
      </c>
      <c r="E23" s="52">
        <f>DATE(s年,空き開始月+1,3)</f>
        <v>45750</v>
      </c>
      <c r="F23" s="51" t="str">
        <f>TEXT(E23,"aaa")</f>
        <v>木</v>
      </c>
      <c r="G23" s="52">
        <f>DATE(s年,空き開始月+1,4)</f>
        <v>45751</v>
      </c>
      <c r="H23" s="51" t="str">
        <f>TEXT(G23,"aaa")</f>
        <v>金</v>
      </c>
      <c r="I23" s="52">
        <f>DATE(s年,空き開始月+1,5)</f>
        <v>45752</v>
      </c>
      <c r="J23" s="51" t="str">
        <f>TEXT(I23,"aaa")</f>
        <v>土</v>
      </c>
      <c r="K23" s="52">
        <f>DATE(s年,空き開始月+1,6)</f>
        <v>45753</v>
      </c>
      <c r="L23" s="51" t="str">
        <f>TEXT(K23,"aaa")</f>
        <v>日</v>
      </c>
      <c r="M23" s="52">
        <f>DATE(s年,空き開始月+1,7)</f>
        <v>45754</v>
      </c>
      <c r="N23" s="51" t="str">
        <f>TEXT(M23,"aaa")</f>
        <v>月</v>
      </c>
      <c r="O23" s="52">
        <f>DATE(s年,空き開始月+1,8)</f>
        <v>45755</v>
      </c>
      <c r="P23" s="51" t="str">
        <f>TEXT(O23,"aaa")</f>
        <v>火</v>
      </c>
      <c r="Q23" s="52">
        <f>DATE(s年,空き開始月+1,9)</f>
        <v>45756</v>
      </c>
      <c r="R23" s="51" t="str">
        <f>TEXT(Q23,"aaa")</f>
        <v>水</v>
      </c>
      <c r="S23" s="52">
        <f>DATE(s年,空き開始月+1,10)</f>
        <v>45757</v>
      </c>
      <c r="T23" s="51" t="str">
        <f>TEXT(S23,"aaa")</f>
        <v>木</v>
      </c>
      <c r="U23" s="56"/>
      <c r="V23" s="55"/>
      <c r="X23" s="50">
        <v>2</v>
      </c>
      <c r="Z23" s="46"/>
      <c r="AA23" s="46"/>
    </row>
    <row r="24" spans="1:27" s="50" customFormat="1" ht="24" customHeight="1">
      <c r="A24" s="204" t="s">
        <v>701</v>
      </c>
      <c r="B24" s="204"/>
      <c r="C24" s="204" t="s">
        <v>701</v>
      </c>
      <c r="D24" s="204"/>
      <c r="E24" s="204" t="s">
        <v>701</v>
      </c>
      <c r="F24" s="204"/>
      <c r="G24" s="204" t="s">
        <v>701</v>
      </c>
      <c r="H24" s="204"/>
      <c r="I24" s="204" t="s">
        <v>701</v>
      </c>
      <c r="J24" s="204"/>
      <c r="K24" s="204" t="s">
        <v>701</v>
      </c>
      <c r="L24" s="204"/>
      <c r="M24" s="204" t="s">
        <v>701</v>
      </c>
      <c r="N24" s="204"/>
      <c r="O24" s="204" t="s">
        <v>701</v>
      </c>
      <c r="P24" s="204"/>
      <c r="Q24" s="204" t="s">
        <v>701</v>
      </c>
      <c r="R24" s="204"/>
      <c r="S24" s="204" t="s">
        <v>701</v>
      </c>
      <c r="T24" s="204"/>
      <c r="U24" s="54"/>
      <c r="V24" s="53"/>
      <c r="Z24" s="46"/>
      <c r="AA24" s="46"/>
    </row>
    <row r="25" spans="1:27" s="50" customFormat="1" ht="17.25" customHeight="1">
      <c r="A25" s="64">
        <f>DATE(s年,空き開始月+1,11)</f>
        <v>45758</v>
      </c>
      <c r="B25" s="65" t="str">
        <f>TEXT(A25,"aaa")</f>
        <v>金</v>
      </c>
      <c r="C25" s="64">
        <f>DATE(s年,空き開始月+1,12)</f>
        <v>45759</v>
      </c>
      <c r="D25" s="65" t="str">
        <f>TEXT(C25,"aaa")</f>
        <v>土</v>
      </c>
      <c r="E25" s="64">
        <f>DATE(s年,空き開始月+1,13)</f>
        <v>45760</v>
      </c>
      <c r="F25" s="65" t="str">
        <f>TEXT(E25,"aaa")</f>
        <v>日</v>
      </c>
      <c r="G25" s="64">
        <f>DATE(s年,空き開始月+1,14)</f>
        <v>45761</v>
      </c>
      <c r="H25" s="65" t="str">
        <f>TEXT(G25,"aaa")</f>
        <v>月</v>
      </c>
      <c r="I25" s="64">
        <f>DATE(s年,空き開始月+1,15)</f>
        <v>45762</v>
      </c>
      <c r="J25" s="65" t="str">
        <f>TEXT(I25,"aaa")</f>
        <v>火</v>
      </c>
      <c r="K25" s="64">
        <f>DATE(s年,空き開始月+1,16)</f>
        <v>45763</v>
      </c>
      <c r="L25" s="65" t="str">
        <f>TEXT(K25,"aaa")</f>
        <v>水</v>
      </c>
      <c r="M25" s="64">
        <f>DATE(s年,空き開始月+1,17)</f>
        <v>45764</v>
      </c>
      <c r="N25" s="65" t="str">
        <f>TEXT(M25,"aaa")</f>
        <v>木</v>
      </c>
      <c r="O25" s="64">
        <f>DATE(s年,空き開始月+1,18)</f>
        <v>45765</v>
      </c>
      <c r="P25" s="65" t="str">
        <f>TEXT(O25,"aaa")</f>
        <v>金</v>
      </c>
      <c r="Q25" s="64">
        <f>DATE(s年,空き開始月+1,19)</f>
        <v>45766</v>
      </c>
      <c r="R25" s="65" t="str">
        <f>TEXT(Q25,"aaa")</f>
        <v>土</v>
      </c>
      <c r="S25" s="64">
        <f>DATE(s年,空き開始月+1,20)</f>
        <v>45767</v>
      </c>
      <c r="T25" s="65" t="str">
        <f>TEXT(S25,"aaa")</f>
        <v>日</v>
      </c>
      <c r="U25" s="56"/>
      <c r="V25" s="55"/>
      <c r="Z25" s="46"/>
      <c r="AA25" s="46"/>
    </row>
    <row r="26" spans="1:27" s="50" customFormat="1" ht="24" customHeight="1">
      <c r="A26" s="204" t="s">
        <v>701</v>
      </c>
      <c r="B26" s="204"/>
      <c r="C26" s="204" t="s">
        <v>701</v>
      </c>
      <c r="D26" s="204"/>
      <c r="E26" s="204" t="s">
        <v>701</v>
      </c>
      <c r="F26" s="204"/>
      <c r="G26" s="204" t="s">
        <v>701</v>
      </c>
      <c r="H26" s="204"/>
      <c r="I26" s="204" t="s">
        <v>701</v>
      </c>
      <c r="J26" s="204"/>
      <c r="K26" s="204" t="s">
        <v>701</v>
      </c>
      <c r="L26" s="204"/>
      <c r="M26" s="204" t="s">
        <v>701</v>
      </c>
      <c r="N26" s="204"/>
      <c r="O26" s="204" t="s">
        <v>701</v>
      </c>
      <c r="P26" s="204"/>
      <c r="Q26" s="204" t="s">
        <v>701</v>
      </c>
      <c r="R26" s="204"/>
      <c r="S26" s="204" t="s">
        <v>701</v>
      </c>
      <c r="T26" s="204"/>
      <c r="U26" s="54"/>
      <c r="V26" s="53"/>
      <c r="Z26" s="46"/>
      <c r="AA26" s="46"/>
    </row>
    <row r="27" spans="1:27" s="50" customFormat="1" ht="17.25" customHeight="1">
      <c r="A27" s="64">
        <f>DATE(s年,空き開始月+1,21)</f>
        <v>45768</v>
      </c>
      <c r="B27" s="65" t="str">
        <f>TEXT(A27,"aaa")</f>
        <v>月</v>
      </c>
      <c r="C27" s="64">
        <f>DATE(s年,空き開始月+1,22)</f>
        <v>45769</v>
      </c>
      <c r="D27" s="65" t="str">
        <f>TEXT(C27,"aaa")</f>
        <v>火</v>
      </c>
      <c r="E27" s="64">
        <f>DATE(s年,空き開始月+1,23)</f>
        <v>45770</v>
      </c>
      <c r="F27" s="65" t="str">
        <f>TEXT(E27,"aaa")</f>
        <v>水</v>
      </c>
      <c r="G27" s="64">
        <f>DATE(s年,空き開始月+1,24)</f>
        <v>45771</v>
      </c>
      <c r="H27" s="65" t="str">
        <f>TEXT(G27,"aaa")</f>
        <v>木</v>
      </c>
      <c r="I27" s="64">
        <f>DATE(s年,空き開始月+1,25)</f>
        <v>45772</v>
      </c>
      <c r="J27" s="65" t="str">
        <f>TEXT(I27,"aaa")</f>
        <v>金</v>
      </c>
      <c r="K27" s="64">
        <f>DATE(s年,空き開始月+1,26)</f>
        <v>45773</v>
      </c>
      <c r="L27" s="65" t="str">
        <f>TEXT(K27,"aaa")</f>
        <v>土</v>
      </c>
      <c r="M27" s="64">
        <f>DATE(s年,空き開始月+1,27)</f>
        <v>45774</v>
      </c>
      <c r="N27" s="65" t="str">
        <f>TEXT(M27,"aaa")</f>
        <v>日</v>
      </c>
      <c r="O27" s="64">
        <f>DATE(s年,空き開始月+1,28)</f>
        <v>45775</v>
      </c>
      <c r="P27" s="65" t="str">
        <f>TEXT(O27,"aaa")</f>
        <v>月</v>
      </c>
      <c r="Q27" s="64">
        <f>IF(DAY(DATE(s年,空き開始月+1,29))=29,DATE(s年,空き開始月+1,29),"")</f>
        <v>45776</v>
      </c>
      <c r="R27" s="65" t="str">
        <f>IF(Q27="","",TEXT(Q27,"aaa"))</f>
        <v>火</v>
      </c>
      <c r="S27" s="64">
        <f>IF(DAY(DATE(s年,空き開始月+1,30))=30,DATE(s年,空き開始月+1,30),"")</f>
        <v>45777</v>
      </c>
      <c r="T27" s="65" t="str">
        <f>IF(S27="","",TEXT(S27,"aaa"))</f>
        <v>水</v>
      </c>
      <c r="U27" s="52" t="str">
        <f>IF(DAY(DATE(s年,空き開始月+1,31))=31,DATE(s年,空き開始月+1,31),"")</f>
        <v/>
      </c>
      <c r="V27" s="51" t="str">
        <f>IF(U27="","",TEXT(U27,"aaa"))</f>
        <v/>
      </c>
      <c r="Z27" s="46"/>
      <c r="AA27" s="46"/>
    </row>
    <row r="28" spans="1:27" s="50" customFormat="1" ht="24" customHeight="1">
      <c r="A28" s="204" t="s">
        <v>701</v>
      </c>
      <c r="B28" s="204"/>
      <c r="C28" s="204" t="s">
        <v>701</v>
      </c>
      <c r="D28" s="204"/>
      <c r="E28" s="204" t="s">
        <v>701</v>
      </c>
      <c r="F28" s="204"/>
      <c r="G28" s="204" t="s">
        <v>701</v>
      </c>
      <c r="H28" s="204"/>
      <c r="I28" s="204" t="s">
        <v>701</v>
      </c>
      <c r="J28" s="204"/>
      <c r="K28" s="204" t="s">
        <v>701</v>
      </c>
      <c r="L28" s="204"/>
      <c r="M28" s="204" t="s">
        <v>701</v>
      </c>
      <c r="N28" s="204"/>
      <c r="O28" s="204" t="s">
        <v>701</v>
      </c>
      <c r="P28" s="204"/>
      <c r="Q28" s="204" t="s">
        <v>701</v>
      </c>
      <c r="R28" s="204"/>
      <c r="S28" s="204" t="s">
        <v>701</v>
      </c>
      <c r="T28" s="204"/>
      <c r="U28" s="204" t="s">
        <v>701</v>
      </c>
      <c r="V28" s="204"/>
      <c r="Z28" s="46"/>
      <c r="AA28" s="46"/>
    </row>
    <row r="30" spans="1:27" s="50" customFormat="1" ht="17.25" customHeight="1">
      <c r="A30" s="52">
        <f>DATE(s年,空き開始月+2,1)</f>
        <v>45778</v>
      </c>
      <c r="B30" s="51" t="str">
        <f>TEXT(A30,"aaa")</f>
        <v>木</v>
      </c>
      <c r="C30" s="52">
        <f>DATE(s年,空き開始月+2,2)</f>
        <v>45779</v>
      </c>
      <c r="D30" s="51" t="str">
        <f>TEXT(C30,"aaa")</f>
        <v>金</v>
      </c>
      <c r="E30" s="52">
        <f>DATE(s年,空き開始月+2,3)</f>
        <v>45780</v>
      </c>
      <c r="F30" s="51" t="str">
        <f>TEXT(E30,"aaa")</f>
        <v>土</v>
      </c>
      <c r="G30" s="52">
        <f>DATE(s年,空き開始月+2,4)</f>
        <v>45781</v>
      </c>
      <c r="H30" s="51" t="str">
        <f>TEXT(G30,"aaa")</f>
        <v>日</v>
      </c>
      <c r="I30" s="52">
        <f>DATE(s年,空き開始月+2,5)</f>
        <v>45782</v>
      </c>
      <c r="J30" s="51" t="str">
        <f>TEXT(I30,"aaa")</f>
        <v>月</v>
      </c>
      <c r="K30" s="52">
        <f>DATE(s年,空き開始月+2,6)</f>
        <v>45783</v>
      </c>
      <c r="L30" s="51" t="str">
        <f>TEXT(K30,"aaa")</f>
        <v>火</v>
      </c>
      <c r="M30" s="52">
        <f>DATE(s年,空き開始月+2,7)</f>
        <v>45784</v>
      </c>
      <c r="N30" s="51" t="str">
        <f>TEXT(M30,"aaa")</f>
        <v>水</v>
      </c>
      <c r="O30" s="52">
        <f>DATE(s年,空き開始月+2,8)</f>
        <v>45785</v>
      </c>
      <c r="P30" s="51" t="str">
        <f>TEXT(O30,"aaa")</f>
        <v>木</v>
      </c>
      <c r="Q30" s="52">
        <f>DATE(s年,空き開始月+2,9)</f>
        <v>45786</v>
      </c>
      <c r="R30" s="51" t="str">
        <f>TEXT(Q30,"aaa")</f>
        <v>金</v>
      </c>
      <c r="S30" s="52">
        <f>DATE(s年,空き開始月+2,10)</f>
        <v>45787</v>
      </c>
      <c r="T30" s="51" t="str">
        <f>TEXT(S30,"aaa")</f>
        <v>土</v>
      </c>
      <c r="U30" s="56"/>
      <c r="V30" s="55"/>
      <c r="X30" s="50">
        <v>3</v>
      </c>
      <c r="Z30" s="46"/>
      <c r="AA30" s="46"/>
    </row>
    <row r="31" spans="1:27" s="50" customFormat="1" ht="24" customHeight="1">
      <c r="A31" s="204" t="s">
        <v>701</v>
      </c>
      <c r="B31" s="204"/>
      <c r="C31" s="204" t="s">
        <v>701</v>
      </c>
      <c r="D31" s="204"/>
      <c r="E31" s="204" t="s">
        <v>701</v>
      </c>
      <c r="F31" s="204"/>
      <c r="G31" s="204" t="s">
        <v>701</v>
      </c>
      <c r="H31" s="204"/>
      <c r="I31" s="204" t="s">
        <v>701</v>
      </c>
      <c r="J31" s="204"/>
      <c r="K31" s="204" t="s">
        <v>701</v>
      </c>
      <c r="L31" s="204"/>
      <c r="M31" s="204" t="s">
        <v>701</v>
      </c>
      <c r="N31" s="204"/>
      <c r="O31" s="204" t="s">
        <v>701</v>
      </c>
      <c r="P31" s="204"/>
      <c r="Q31" s="204" t="s">
        <v>701</v>
      </c>
      <c r="R31" s="204"/>
      <c r="S31" s="204" t="s">
        <v>701</v>
      </c>
      <c r="T31" s="204"/>
      <c r="U31" s="54"/>
      <c r="V31" s="53"/>
      <c r="Z31" s="46"/>
      <c r="AA31" s="46"/>
    </row>
    <row r="32" spans="1:27" s="50" customFormat="1" ht="17.25" customHeight="1">
      <c r="A32" s="64">
        <f>DATE(s年,空き開始月+2,11)</f>
        <v>45788</v>
      </c>
      <c r="B32" s="65" t="str">
        <f>TEXT(A32,"aaa")</f>
        <v>日</v>
      </c>
      <c r="C32" s="64">
        <f>DATE(s年,空き開始月+2,12)</f>
        <v>45789</v>
      </c>
      <c r="D32" s="65" t="str">
        <f>TEXT(C32,"aaa")</f>
        <v>月</v>
      </c>
      <c r="E32" s="64">
        <f>DATE(s年,空き開始月+2,13)</f>
        <v>45790</v>
      </c>
      <c r="F32" s="65" t="str">
        <f>TEXT(E32,"aaa")</f>
        <v>火</v>
      </c>
      <c r="G32" s="64">
        <f>DATE(s年,空き開始月+2,14)</f>
        <v>45791</v>
      </c>
      <c r="H32" s="65" t="str">
        <f>TEXT(G32,"aaa")</f>
        <v>水</v>
      </c>
      <c r="I32" s="64">
        <f>DATE(s年,空き開始月+2,15)</f>
        <v>45792</v>
      </c>
      <c r="J32" s="65" t="str">
        <f>TEXT(I32,"aaa")</f>
        <v>木</v>
      </c>
      <c r="K32" s="64">
        <f>DATE(s年,空き開始月+2,16)</f>
        <v>45793</v>
      </c>
      <c r="L32" s="65" t="str">
        <f>TEXT(K32,"aaa")</f>
        <v>金</v>
      </c>
      <c r="M32" s="64">
        <f>DATE(s年,空き開始月+2,17)</f>
        <v>45794</v>
      </c>
      <c r="N32" s="65" t="str">
        <f>TEXT(M32,"aaa")</f>
        <v>土</v>
      </c>
      <c r="O32" s="64">
        <f>DATE(s年,空き開始月+2,18)</f>
        <v>45795</v>
      </c>
      <c r="P32" s="65" t="str">
        <f>TEXT(O32,"aaa")</f>
        <v>日</v>
      </c>
      <c r="Q32" s="64">
        <f>DATE(s年,空き開始月+2,19)</f>
        <v>45796</v>
      </c>
      <c r="R32" s="65" t="str">
        <f>TEXT(Q32,"aaa")</f>
        <v>月</v>
      </c>
      <c r="S32" s="64">
        <f>DATE(s年,空き開始月+2,20)</f>
        <v>45797</v>
      </c>
      <c r="T32" s="65" t="str">
        <f>TEXT(S32,"aaa")</f>
        <v>火</v>
      </c>
      <c r="U32" s="56"/>
      <c r="V32" s="55"/>
      <c r="Z32" s="46"/>
      <c r="AA32" s="46"/>
    </row>
    <row r="33" spans="1:42" s="50" customFormat="1" ht="24" customHeight="1">
      <c r="A33" s="204" t="s">
        <v>701</v>
      </c>
      <c r="B33" s="204"/>
      <c r="C33" s="204" t="s">
        <v>701</v>
      </c>
      <c r="D33" s="204"/>
      <c r="E33" s="204" t="s">
        <v>701</v>
      </c>
      <c r="F33" s="204"/>
      <c r="G33" s="204" t="s">
        <v>701</v>
      </c>
      <c r="H33" s="204"/>
      <c r="I33" s="204" t="s">
        <v>701</v>
      </c>
      <c r="J33" s="204"/>
      <c r="K33" s="204" t="s">
        <v>701</v>
      </c>
      <c r="L33" s="204"/>
      <c r="M33" s="204" t="s">
        <v>701</v>
      </c>
      <c r="N33" s="204"/>
      <c r="O33" s="204" t="s">
        <v>701</v>
      </c>
      <c r="P33" s="204"/>
      <c r="Q33" s="204" t="s">
        <v>701</v>
      </c>
      <c r="R33" s="204"/>
      <c r="S33" s="204" t="s">
        <v>701</v>
      </c>
      <c r="T33" s="204"/>
      <c r="U33" s="54"/>
      <c r="V33" s="53"/>
      <c r="Z33" s="46"/>
      <c r="AA33" s="46"/>
    </row>
    <row r="34" spans="1:42" s="50" customFormat="1" ht="17.25" customHeight="1">
      <c r="A34" s="64">
        <f>DATE(s年,空き開始月+2,21)</f>
        <v>45798</v>
      </c>
      <c r="B34" s="65" t="str">
        <f>TEXT(A34,"aaa")</f>
        <v>水</v>
      </c>
      <c r="C34" s="64">
        <f>DATE(s年,空き開始月+2,22)</f>
        <v>45799</v>
      </c>
      <c r="D34" s="65" t="str">
        <f>TEXT(C34,"aaa")</f>
        <v>木</v>
      </c>
      <c r="E34" s="64">
        <f>DATE(s年,空き開始月+2,23)</f>
        <v>45800</v>
      </c>
      <c r="F34" s="65" t="str">
        <f>TEXT(E34,"aaa")</f>
        <v>金</v>
      </c>
      <c r="G34" s="64">
        <f>DATE(s年,空き開始月+2,24)</f>
        <v>45801</v>
      </c>
      <c r="H34" s="65" t="str">
        <f>TEXT(G34,"aaa")</f>
        <v>土</v>
      </c>
      <c r="I34" s="64">
        <f>DATE(s年,空き開始月+2,25)</f>
        <v>45802</v>
      </c>
      <c r="J34" s="65" t="str">
        <f>TEXT(I34,"aaa")</f>
        <v>日</v>
      </c>
      <c r="K34" s="64">
        <f>DATE(s年,空き開始月+2,26)</f>
        <v>45803</v>
      </c>
      <c r="L34" s="65" t="str">
        <f>TEXT(K34,"aaa")</f>
        <v>月</v>
      </c>
      <c r="M34" s="64">
        <f>DATE(s年,空き開始月+2,27)</f>
        <v>45804</v>
      </c>
      <c r="N34" s="65" t="str">
        <f>TEXT(M34,"aaa")</f>
        <v>火</v>
      </c>
      <c r="O34" s="64">
        <f>DATE(s年,空き開始月+2,28)</f>
        <v>45805</v>
      </c>
      <c r="P34" s="65" t="str">
        <f>TEXT(O34,"aaa")</f>
        <v>水</v>
      </c>
      <c r="Q34" s="64">
        <f>IF(DAY(DATE(s年,空き開始月+2,29))=29,DATE(s年,空き開始月+2,29),"")</f>
        <v>45806</v>
      </c>
      <c r="R34" s="65" t="str">
        <f>IF(Q34="","",TEXT(Q34,"aaa"))</f>
        <v>木</v>
      </c>
      <c r="S34" s="64">
        <f>IF(DAY(DATE(s年,空き開始月+2,30))=30,DATE(s年,空き開始月+2,30),"")</f>
        <v>45807</v>
      </c>
      <c r="T34" s="65" t="str">
        <f>IF(S34="","",TEXT(S34,"aaa"))</f>
        <v>金</v>
      </c>
      <c r="U34" s="52">
        <f>IF(DAY(DATE(s年,空き開始月+2,31))=31,DATE(s年,空き開始月+2,31),"")</f>
        <v>45808</v>
      </c>
      <c r="V34" s="51" t="str">
        <f>IF(U34="","",TEXT(U34,"aaa"))</f>
        <v>土</v>
      </c>
      <c r="Z34" s="46"/>
      <c r="AA34" s="46"/>
    </row>
    <row r="35" spans="1:42" s="50" customFormat="1" ht="24" customHeight="1">
      <c r="A35" s="204" t="s">
        <v>701</v>
      </c>
      <c r="B35" s="204"/>
      <c r="C35" s="204" t="s">
        <v>701</v>
      </c>
      <c r="D35" s="204"/>
      <c r="E35" s="204" t="s">
        <v>701</v>
      </c>
      <c r="F35" s="204"/>
      <c r="G35" s="204" t="s">
        <v>701</v>
      </c>
      <c r="H35" s="204"/>
      <c r="I35" s="204" t="s">
        <v>701</v>
      </c>
      <c r="J35" s="204"/>
      <c r="K35" s="204" t="s">
        <v>701</v>
      </c>
      <c r="L35" s="204"/>
      <c r="M35" s="204" t="s">
        <v>701</v>
      </c>
      <c r="N35" s="204"/>
      <c r="O35" s="204" t="s">
        <v>701</v>
      </c>
      <c r="P35" s="204"/>
      <c r="Q35" s="204" t="s">
        <v>701</v>
      </c>
      <c r="R35" s="204"/>
      <c r="S35" s="204" t="s">
        <v>701</v>
      </c>
      <c r="T35" s="204"/>
      <c r="U35" s="204" t="s">
        <v>701</v>
      </c>
      <c r="V35" s="204"/>
      <c r="Z35" s="46"/>
      <c r="AA35" s="46"/>
    </row>
    <row r="37" spans="1:42" s="47" customFormat="1" ht="13.5" customHeight="1">
      <c r="A37" s="209" t="s">
        <v>703</v>
      </c>
      <c r="B37" s="209"/>
      <c r="C37" s="209"/>
      <c r="D37" s="209"/>
      <c r="E37" s="209"/>
      <c r="F37" s="209"/>
      <c r="G37" s="209"/>
      <c r="H37" s="209"/>
      <c r="I37" s="209"/>
      <c r="J37" s="209"/>
      <c r="K37" s="209"/>
      <c r="L37" s="209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</row>
    <row r="38" spans="1:42" s="47" customFormat="1" ht="13.5" customHeight="1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</row>
    <row r="39" spans="1:42" s="47" customFormat="1" ht="13.5" customHeight="1">
      <c r="A39" s="209"/>
      <c r="B39" s="209"/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</row>
    <row r="40" spans="1:42" s="47" customFormat="1" ht="13.5" customHeight="1">
      <c r="A40" s="209"/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</row>
    <row r="41" spans="1:42" s="47" customFormat="1" ht="10.5" customHeight="1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</row>
    <row r="42" spans="1:42" s="47" customFormat="1" ht="17.25" customHeight="1">
      <c r="C42" s="210" t="s">
        <v>704</v>
      </c>
      <c r="D42" s="210"/>
      <c r="E42" s="210"/>
      <c r="F42" s="210"/>
      <c r="G42" s="210"/>
      <c r="H42" s="210"/>
      <c r="I42" s="210"/>
      <c r="J42" s="210"/>
      <c r="K42" s="210"/>
      <c r="M42" s="213" t="s">
        <v>705</v>
      </c>
      <c r="N42" s="213"/>
      <c r="O42" s="213"/>
      <c r="P42" s="213"/>
      <c r="Q42" s="213" t="str">
        <f>設定!G2</f>
        <v>ケアサポートいちかわ</v>
      </c>
      <c r="R42" s="213"/>
      <c r="S42" s="213"/>
      <c r="T42" s="213"/>
      <c r="U42" s="213"/>
      <c r="V42" s="213"/>
      <c r="W42" s="213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</row>
    <row r="43" spans="1:42" s="47" customFormat="1" ht="17.25" customHeight="1">
      <c r="C43" s="210"/>
      <c r="D43" s="210"/>
      <c r="E43" s="210"/>
      <c r="F43" s="210"/>
      <c r="G43" s="210"/>
      <c r="H43" s="210"/>
      <c r="I43" s="210"/>
      <c r="J43" s="210"/>
      <c r="K43" s="210"/>
      <c r="M43" s="213"/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AF43" s="211"/>
      <c r="AG43" s="211"/>
      <c r="AH43" s="211"/>
      <c r="AI43" s="211"/>
      <c r="AJ43" s="211"/>
      <c r="AK43" s="211"/>
      <c r="AL43" s="211"/>
      <c r="AM43" s="211"/>
      <c r="AN43" s="211"/>
      <c r="AO43" s="211"/>
      <c r="AP43" s="211"/>
    </row>
    <row r="44" spans="1:42" s="47" customFormat="1" ht="17.25" customHeight="1">
      <c r="C44" s="210" t="s">
        <v>706</v>
      </c>
      <c r="D44" s="210"/>
      <c r="E44" s="210"/>
      <c r="F44" s="210"/>
      <c r="G44" s="210"/>
      <c r="H44" s="210"/>
      <c r="I44" s="210"/>
      <c r="J44" s="210"/>
      <c r="K44" s="210"/>
      <c r="L44" s="48"/>
      <c r="M44" s="212" t="s">
        <v>707</v>
      </c>
      <c r="N44" s="212"/>
      <c r="O44" s="215" t="str">
        <f>IFERROR(VLOOKUP(a拠点名,設定!$D$22:$G$47,2,FALSE),"")</f>
        <v>市川市南行徳1-4-21</v>
      </c>
      <c r="P44" s="215"/>
      <c r="Q44" s="215"/>
      <c r="R44" s="215"/>
      <c r="S44" s="215"/>
      <c r="T44" s="215"/>
      <c r="U44" s="215"/>
      <c r="V44" s="215"/>
      <c r="W44" s="215"/>
      <c r="AF44" s="211"/>
      <c r="AG44" s="211"/>
      <c r="AH44" s="211"/>
      <c r="AI44" s="211"/>
      <c r="AJ44" s="211"/>
      <c r="AK44" s="211"/>
      <c r="AL44" s="211"/>
      <c r="AM44" s="211"/>
      <c r="AN44" s="211"/>
      <c r="AO44" s="211"/>
      <c r="AP44" s="211"/>
    </row>
    <row r="45" spans="1:42" s="47" customFormat="1" ht="17.25" customHeight="1">
      <c r="C45" s="210"/>
      <c r="D45" s="210"/>
      <c r="E45" s="210"/>
      <c r="F45" s="210"/>
      <c r="G45" s="210"/>
      <c r="H45" s="210"/>
      <c r="I45" s="210"/>
      <c r="J45" s="210"/>
      <c r="K45" s="210"/>
      <c r="L45" s="48"/>
      <c r="M45" s="212" t="s">
        <v>708</v>
      </c>
      <c r="N45" s="212"/>
      <c r="O45" s="215" t="str">
        <f>IFERROR(VLOOKUP(a拠点名,設定!$D$22:$G$47,3,FALSE),"")</f>
        <v>047-701-6030</v>
      </c>
      <c r="P45" s="215"/>
      <c r="Q45" s="215"/>
      <c r="R45" s="215"/>
      <c r="S45" s="215"/>
      <c r="T45" s="215"/>
      <c r="U45" s="215"/>
      <c r="V45" s="215"/>
      <c r="W45" s="215"/>
      <c r="AF45" s="211"/>
      <c r="AG45" s="211"/>
      <c r="AH45" s="211"/>
      <c r="AI45" s="211"/>
      <c r="AJ45" s="211"/>
      <c r="AK45" s="211"/>
      <c r="AL45" s="211"/>
      <c r="AM45" s="211"/>
      <c r="AN45" s="211"/>
      <c r="AO45" s="211"/>
      <c r="AP45" s="211"/>
    </row>
    <row r="46" spans="1:42" s="47" customFormat="1" ht="17.25" customHeight="1">
      <c r="C46" s="210" t="s">
        <v>709</v>
      </c>
      <c r="D46" s="210"/>
      <c r="E46" s="210"/>
      <c r="F46" s="210"/>
      <c r="G46" s="210"/>
      <c r="H46" s="210"/>
      <c r="I46" s="210"/>
      <c r="J46" s="210"/>
      <c r="K46" s="210"/>
      <c r="L46" s="48"/>
      <c r="M46" s="212" t="s">
        <v>710</v>
      </c>
      <c r="N46" s="212"/>
      <c r="O46" s="215" t="str">
        <f>IFERROR(VLOOKUP(a拠点名,設定!$D$22:$G$47,4,FALSE),"")</f>
        <v>047-701-6031</v>
      </c>
      <c r="P46" s="215"/>
      <c r="Q46" s="215"/>
      <c r="R46" s="215"/>
      <c r="S46" s="215"/>
      <c r="T46" s="215"/>
      <c r="U46" s="215"/>
      <c r="V46" s="215"/>
      <c r="W46" s="215"/>
      <c r="AF46" s="211"/>
      <c r="AG46" s="211"/>
      <c r="AH46" s="211"/>
      <c r="AI46" s="211"/>
      <c r="AJ46" s="211"/>
      <c r="AK46" s="211"/>
      <c r="AL46" s="211"/>
      <c r="AM46" s="211"/>
      <c r="AN46" s="211"/>
      <c r="AO46" s="211"/>
      <c r="AP46" s="211"/>
    </row>
    <row r="47" spans="1:42" s="47" customFormat="1" ht="17.25" customHeight="1">
      <c r="C47" s="210"/>
      <c r="D47" s="210"/>
      <c r="E47" s="210"/>
      <c r="F47" s="210"/>
      <c r="G47" s="210"/>
      <c r="H47" s="210"/>
      <c r="I47" s="210"/>
      <c r="J47" s="210"/>
      <c r="K47" s="210"/>
      <c r="L47" s="48"/>
      <c r="M47" s="212" t="s">
        <v>711</v>
      </c>
      <c r="N47" s="212"/>
      <c r="O47" s="214">
        <f>設定!E15</f>
        <v>0</v>
      </c>
      <c r="P47" s="214"/>
      <c r="Q47" s="214"/>
      <c r="R47" s="62" t="s">
        <v>712</v>
      </c>
      <c r="S47" s="214">
        <f>設定!E16</f>
        <v>0</v>
      </c>
      <c r="T47" s="214"/>
      <c r="U47" s="214"/>
      <c r="V47" s="63"/>
      <c r="W47" s="63"/>
      <c r="AF47" s="211"/>
      <c r="AG47" s="211"/>
      <c r="AH47" s="211"/>
      <c r="AI47" s="211"/>
      <c r="AJ47" s="211"/>
      <c r="AK47" s="211"/>
      <c r="AL47" s="211"/>
      <c r="AM47" s="211"/>
      <c r="AN47" s="211"/>
      <c r="AO47" s="211"/>
      <c r="AP47" s="211"/>
    </row>
    <row r="48" spans="1:42">
      <c r="AF48" s="211"/>
      <c r="AG48" s="211"/>
      <c r="AH48" s="211"/>
      <c r="AI48" s="211"/>
      <c r="AJ48" s="211"/>
      <c r="AK48" s="211"/>
      <c r="AL48" s="211"/>
      <c r="AM48" s="211"/>
      <c r="AN48" s="211"/>
      <c r="AO48" s="211"/>
      <c r="AP48" s="211"/>
    </row>
  </sheetData>
  <sheetProtection sheet="1" selectLockedCells="1"/>
  <customSheetViews>
    <customSheetView guid="{B061BDB8-F860-4D44-941F-C2AA21ACDACC}" scale="70" showPageBreaks="1" zeroValues="0" printArea="1" hiddenColumns="1" view="pageBreakPreview" topLeftCell="A4">
      <selection activeCell="A8" sqref="A8:W14"/>
      <pageMargins left="0" right="0" top="0" bottom="0" header="0" footer="0"/>
      <printOptions horizontalCentered="1" verticalCentered="1"/>
      <pageSetup paperSize="9" scale="84" orientation="portrait" r:id="rId1"/>
    </customSheetView>
  </customSheetViews>
  <mergeCells count="113">
    <mergeCell ref="U21:V21"/>
    <mergeCell ref="O24:P24"/>
    <mergeCell ref="Q28:R28"/>
    <mergeCell ref="C31:D31"/>
    <mergeCell ref="E31:F31"/>
    <mergeCell ref="G31:H31"/>
    <mergeCell ref="I31:J31"/>
    <mergeCell ref="K31:L31"/>
    <mergeCell ref="M31:N31"/>
    <mergeCell ref="O31:P31"/>
    <mergeCell ref="Q31:R31"/>
    <mergeCell ref="S26:T26"/>
    <mergeCell ref="Q26:R26"/>
    <mergeCell ref="S31:T31"/>
    <mergeCell ref="S28:T28"/>
    <mergeCell ref="U28:V28"/>
    <mergeCell ref="G28:H28"/>
    <mergeCell ref="O26:P26"/>
    <mergeCell ref="M26:N26"/>
    <mergeCell ref="A31:B31"/>
    <mergeCell ref="A28:B28"/>
    <mergeCell ref="C28:D28"/>
    <mergeCell ref="E28:F28"/>
    <mergeCell ref="O28:P28"/>
    <mergeCell ref="O35:P35"/>
    <mergeCell ref="M28:N28"/>
    <mergeCell ref="K33:L33"/>
    <mergeCell ref="K35:L35"/>
    <mergeCell ref="M35:N35"/>
    <mergeCell ref="M33:N33"/>
    <mergeCell ref="O33:P33"/>
    <mergeCell ref="I33:J33"/>
    <mergeCell ref="I35:J35"/>
    <mergeCell ref="E35:F35"/>
    <mergeCell ref="AF42:AP48"/>
    <mergeCell ref="M44:N44"/>
    <mergeCell ref="M45:N45"/>
    <mergeCell ref="M46:N46"/>
    <mergeCell ref="M47:N47"/>
    <mergeCell ref="M42:P43"/>
    <mergeCell ref="Q42:W43"/>
    <mergeCell ref="O47:Q47"/>
    <mergeCell ref="S47:U47"/>
    <mergeCell ref="O44:W44"/>
    <mergeCell ref="O45:W45"/>
    <mergeCell ref="O46:W46"/>
    <mergeCell ref="U35:V35"/>
    <mergeCell ref="A37:W40"/>
    <mergeCell ref="C42:K43"/>
    <mergeCell ref="C44:K45"/>
    <mergeCell ref="C46:K47"/>
    <mergeCell ref="A33:B33"/>
    <mergeCell ref="A35:B35"/>
    <mergeCell ref="C35:D35"/>
    <mergeCell ref="S33:T33"/>
    <mergeCell ref="C33:D33"/>
    <mergeCell ref="E33:F33"/>
    <mergeCell ref="G33:H33"/>
    <mergeCell ref="S35:T35"/>
    <mergeCell ref="G35:H35"/>
    <mergeCell ref="Q35:R35"/>
    <mergeCell ref="Q33:R33"/>
    <mergeCell ref="Q17:R17"/>
    <mergeCell ref="G17:H17"/>
    <mergeCell ref="I17:J17"/>
    <mergeCell ref="A17:B17"/>
    <mergeCell ref="C17:D17"/>
    <mergeCell ref="E17:F17"/>
    <mergeCell ref="G19:H19"/>
    <mergeCell ref="Q24:R24"/>
    <mergeCell ref="M24:N24"/>
    <mergeCell ref="C24:D24"/>
    <mergeCell ref="E24:F24"/>
    <mergeCell ref="I21:J21"/>
    <mergeCell ref="E21:F21"/>
    <mergeCell ref="K24:L24"/>
    <mergeCell ref="M21:N21"/>
    <mergeCell ref="O21:P21"/>
    <mergeCell ref="Q21:R21"/>
    <mergeCell ref="A26:B26"/>
    <mergeCell ref="K26:L26"/>
    <mergeCell ref="I26:J26"/>
    <mergeCell ref="I28:J28"/>
    <mergeCell ref="K28:L28"/>
    <mergeCell ref="G26:H26"/>
    <mergeCell ref="C26:D26"/>
    <mergeCell ref="E26:F26"/>
    <mergeCell ref="A1:I3"/>
    <mergeCell ref="A8:W14"/>
    <mergeCell ref="A5:W5"/>
    <mergeCell ref="M6:W6"/>
    <mergeCell ref="S17:T17"/>
    <mergeCell ref="K17:L17"/>
    <mergeCell ref="M17:N17"/>
    <mergeCell ref="O17:P17"/>
    <mergeCell ref="M19:N19"/>
    <mergeCell ref="O19:P19"/>
    <mergeCell ref="Q19:R19"/>
    <mergeCell ref="K19:L19"/>
    <mergeCell ref="C19:D19"/>
    <mergeCell ref="S24:T24"/>
    <mergeCell ref="A21:B21"/>
    <mergeCell ref="C21:D21"/>
    <mergeCell ref="S19:T19"/>
    <mergeCell ref="I19:J19"/>
    <mergeCell ref="A24:B24"/>
    <mergeCell ref="S21:T21"/>
    <mergeCell ref="G24:H24"/>
    <mergeCell ref="G21:H21"/>
    <mergeCell ref="I24:J24"/>
    <mergeCell ref="E19:F19"/>
    <mergeCell ref="A19:B19"/>
    <mergeCell ref="K21:L21"/>
  </mergeCells>
  <phoneticPr fontId="1"/>
  <conditionalFormatting sqref="A17:T17 A19:T19 A21:V21 A24:T24 A26:T26 A28:V28 A31:T31 A33:T33 A35:V35">
    <cfRule type="expression" dxfId="7" priority="43">
      <formula>A16&lt;TODAY()</formula>
    </cfRule>
  </conditionalFormatting>
  <conditionalFormatting sqref="A16:V34">
    <cfRule type="containsText" dxfId="6" priority="44" operator="containsText" text="土">
      <formula>NOT(ISERROR(SEARCH("土",A16)))</formula>
    </cfRule>
    <cfRule type="containsText" dxfId="5" priority="45" operator="containsText" text="日">
      <formula>NOT(ISERROR(SEARCH("日",A16)))</formula>
    </cfRule>
  </conditionalFormatting>
  <conditionalFormatting sqref="Q20:V21">
    <cfRule type="expression" dxfId="4" priority="3">
      <formula>Q$20=""</formula>
    </cfRule>
  </conditionalFormatting>
  <conditionalFormatting sqref="Q27:V28">
    <cfRule type="expression" dxfId="3" priority="2">
      <formula>Q$27=""</formula>
    </cfRule>
  </conditionalFormatting>
  <conditionalFormatting sqref="Q34:V35">
    <cfRule type="expression" dxfId="2" priority="1">
      <formula>Q$34=""</formula>
    </cfRule>
  </conditionalFormatting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84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期間設定">
                <anchor moveWithCells="1" sizeWithCells="1">
                  <from>
                    <xdr:col>24</xdr:col>
                    <xdr:colOff>279400</xdr:colOff>
                    <xdr:row>4</xdr:row>
                    <xdr:rowOff>152400</xdr:rowOff>
                  </from>
                  <to>
                    <xdr:col>29</xdr:col>
                    <xdr:colOff>279400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最新情報取込">
                <anchor moveWithCells="1" sizeWithCells="1">
                  <from>
                    <xdr:col>24</xdr:col>
                    <xdr:colOff>279400</xdr:colOff>
                    <xdr:row>1</xdr:row>
                    <xdr:rowOff>25400</xdr:rowOff>
                  </from>
                  <to>
                    <xdr:col>29</xdr:col>
                    <xdr:colOff>266700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88EBF-FDCF-4D90-AF72-CF676C42B80F}">
  <sheetPr codeName="利用者メモ">
    <tabColor rgb="FF92D050"/>
  </sheetPr>
  <dimension ref="A1:C40"/>
  <sheetViews>
    <sheetView workbookViewId="0">
      <pane ySplit="1" topLeftCell="A2" activePane="bottomLeft" state="frozen"/>
      <selection pane="bottomLeft" activeCell="A2" sqref="A2:A13"/>
    </sheetView>
  </sheetViews>
  <sheetFormatPr baseColWidth="10" defaultColWidth="8.85546875" defaultRowHeight="19"/>
  <cols>
    <col min="1" max="1" width="17.28515625" style="7" customWidth="1"/>
    <col min="2" max="2" width="51" style="7" customWidth="1"/>
    <col min="3" max="3" width="29.5703125" style="7" customWidth="1"/>
    <col min="4" max="16384" width="8.85546875" style="7"/>
  </cols>
  <sheetData>
    <row r="1" spans="1:3" ht="20" thickBot="1">
      <c r="A1" s="102" t="s">
        <v>713</v>
      </c>
      <c r="B1" s="103" t="s">
        <v>714</v>
      </c>
      <c r="C1" s="103" t="s">
        <v>715</v>
      </c>
    </row>
    <row r="2" spans="1:3" ht="22" customHeight="1" thickTop="1">
      <c r="A2" s="104"/>
      <c r="B2" s="105" t="s">
        <v>716</v>
      </c>
      <c r="C2" s="105"/>
    </row>
    <row r="3" spans="1:3" ht="22" customHeight="1">
      <c r="A3" s="106"/>
      <c r="B3" s="107" t="s">
        <v>717</v>
      </c>
      <c r="C3" s="107"/>
    </row>
    <row r="4" spans="1:3" ht="22" customHeight="1">
      <c r="A4" s="108"/>
      <c r="B4" s="109" t="s">
        <v>718</v>
      </c>
      <c r="C4" s="109"/>
    </row>
    <row r="5" spans="1:3" ht="22" customHeight="1">
      <c r="A5" s="106"/>
      <c r="B5" s="107" t="s">
        <v>719</v>
      </c>
      <c r="C5" s="107"/>
    </row>
    <row r="6" spans="1:3" ht="22" customHeight="1">
      <c r="A6" s="108"/>
      <c r="B6" s="109" t="s">
        <v>720</v>
      </c>
      <c r="C6" s="109"/>
    </row>
    <row r="7" spans="1:3" ht="22" customHeight="1">
      <c r="A7" s="106"/>
      <c r="B7" s="107"/>
      <c r="C7" s="107"/>
    </row>
    <row r="8" spans="1:3" ht="22" customHeight="1">
      <c r="A8" s="108"/>
      <c r="B8" s="109"/>
      <c r="C8" s="109"/>
    </row>
    <row r="9" spans="1:3" ht="22" customHeight="1">
      <c r="A9" s="106"/>
      <c r="B9" s="107"/>
      <c r="C9" s="107"/>
    </row>
    <row r="10" spans="1:3" ht="22" customHeight="1">
      <c r="A10" s="108"/>
      <c r="B10" s="109" t="s">
        <v>721</v>
      </c>
      <c r="C10" s="109"/>
    </row>
    <row r="11" spans="1:3" ht="22" customHeight="1">
      <c r="A11" s="106"/>
      <c r="B11" s="107" t="s">
        <v>722</v>
      </c>
      <c r="C11" s="107"/>
    </row>
    <row r="12" spans="1:3" ht="22" customHeight="1">
      <c r="A12" s="108"/>
      <c r="B12" s="109" t="s">
        <v>723</v>
      </c>
      <c r="C12" s="109"/>
    </row>
    <row r="13" spans="1:3" ht="22" customHeight="1">
      <c r="A13" s="106"/>
      <c r="B13" s="107" t="s">
        <v>724</v>
      </c>
      <c r="C13" s="107"/>
    </row>
    <row r="14" spans="1:3" ht="22" customHeight="1">
      <c r="A14" s="108"/>
      <c r="B14" s="109"/>
      <c r="C14" s="109"/>
    </row>
    <row r="15" spans="1:3" ht="22" customHeight="1">
      <c r="A15" s="106"/>
      <c r="B15" s="107"/>
      <c r="C15" s="107"/>
    </row>
    <row r="16" spans="1:3" ht="22" customHeight="1">
      <c r="A16" s="108"/>
      <c r="B16" s="109"/>
      <c r="C16" s="109"/>
    </row>
    <row r="17" spans="1:3" ht="22" customHeight="1">
      <c r="A17" s="106"/>
      <c r="B17" s="107"/>
      <c r="C17" s="107"/>
    </row>
    <row r="18" spans="1:3" ht="22" customHeight="1">
      <c r="A18" s="108"/>
      <c r="B18" s="109"/>
      <c r="C18" s="109"/>
    </row>
    <row r="19" spans="1:3" ht="22" customHeight="1">
      <c r="A19" s="106"/>
      <c r="B19" s="107"/>
      <c r="C19" s="107"/>
    </row>
    <row r="20" spans="1:3" ht="22" customHeight="1">
      <c r="A20" s="108"/>
      <c r="B20" s="109"/>
      <c r="C20" s="109"/>
    </row>
    <row r="21" spans="1:3" ht="22" customHeight="1">
      <c r="A21" s="106"/>
      <c r="B21" s="107"/>
      <c r="C21" s="107"/>
    </row>
    <row r="22" spans="1:3" ht="22" customHeight="1">
      <c r="A22" s="108"/>
      <c r="B22" s="109"/>
      <c r="C22" s="109"/>
    </row>
    <row r="23" spans="1:3" ht="22" customHeight="1">
      <c r="A23" s="106"/>
      <c r="B23" s="107"/>
      <c r="C23" s="107"/>
    </row>
    <row r="24" spans="1:3" ht="22" customHeight="1">
      <c r="A24" s="108"/>
      <c r="B24" s="109"/>
      <c r="C24" s="109"/>
    </row>
    <row r="25" spans="1:3" ht="22" customHeight="1">
      <c r="A25" s="106"/>
      <c r="B25" s="107"/>
      <c r="C25" s="107"/>
    </row>
    <row r="26" spans="1:3" ht="22" customHeight="1">
      <c r="A26" s="108"/>
      <c r="B26" s="109"/>
      <c r="C26" s="109"/>
    </row>
    <row r="27" spans="1:3" ht="22" customHeight="1">
      <c r="A27" s="106"/>
      <c r="B27" s="107"/>
      <c r="C27" s="107"/>
    </row>
    <row r="28" spans="1:3" ht="22" customHeight="1">
      <c r="A28" s="108"/>
      <c r="B28" s="109"/>
      <c r="C28" s="109"/>
    </row>
    <row r="29" spans="1:3" ht="22" customHeight="1">
      <c r="A29" s="106"/>
      <c r="B29" s="107"/>
      <c r="C29" s="107"/>
    </row>
    <row r="30" spans="1:3" ht="22" customHeight="1">
      <c r="A30" s="108"/>
      <c r="B30" s="109"/>
      <c r="C30" s="109"/>
    </row>
    <row r="31" spans="1:3" ht="22" customHeight="1">
      <c r="A31" s="106"/>
      <c r="B31" s="107"/>
      <c r="C31" s="107"/>
    </row>
    <row r="32" spans="1:3" ht="22" customHeight="1">
      <c r="A32" s="108"/>
      <c r="B32" s="109"/>
      <c r="C32" s="109"/>
    </row>
    <row r="33" spans="1:3" ht="22" customHeight="1">
      <c r="A33" s="106"/>
      <c r="B33" s="107"/>
      <c r="C33" s="107"/>
    </row>
    <row r="34" spans="1:3" ht="22" customHeight="1">
      <c r="A34" s="108"/>
      <c r="B34" s="109"/>
      <c r="C34" s="109"/>
    </row>
    <row r="35" spans="1:3" ht="22" customHeight="1">
      <c r="A35" s="106"/>
      <c r="B35" s="107"/>
      <c r="C35" s="107"/>
    </row>
    <row r="36" spans="1:3" ht="22" customHeight="1">
      <c r="A36" s="108"/>
      <c r="B36" s="109"/>
      <c r="C36" s="109"/>
    </row>
    <row r="37" spans="1:3" ht="22" customHeight="1">
      <c r="A37" s="106"/>
      <c r="B37" s="107"/>
      <c r="C37" s="107"/>
    </row>
    <row r="38" spans="1:3" ht="22" customHeight="1">
      <c r="A38" s="108"/>
      <c r="B38" s="109"/>
      <c r="C38" s="109"/>
    </row>
    <row r="39" spans="1:3" ht="22" customHeight="1">
      <c r="A39" s="106"/>
      <c r="B39" s="107"/>
      <c r="C39" s="107"/>
    </row>
    <row r="40" spans="1:3" ht="22" customHeight="1">
      <c r="A40" s="108"/>
      <c r="B40" s="109"/>
      <c r="C40" s="109"/>
    </row>
  </sheetData>
  <autoFilter ref="A1:C10" xr:uid="{B9B88EBF-FDCF-4D90-AF72-CF676C42B80F}"/>
  <customSheetViews>
    <customSheetView guid="{B061BDB8-F860-4D44-941F-C2AA21ACDACC}" showAutoFilter="1">
      <pane ySplit="1" topLeftCell="A2" activePane="bottomLeft" state="frozen"/>
      <selection pane="bottomLeft" activeCell="B7" sqref="B7"/>
      <pageMargins left="0" right="0" top="0" bottom="0" header="0" footer="0"/>
      <autoFilter ref="A1:C10" xr:uid="{AFAF29C4-67FF-A048-966D-191638930E33}"/>
    </customSheetView>
  </customSheetView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263D9-44E3-4C57-AE0D-0A2679EB11B8}">
  <sheetPr codeName="月集計">
    <tabColor theme="4"/>
  </sheetPr>
  <dimension ref="A1:AH295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R5" sqref="R5"/>
    </sheetView>
  </sheetViews>
  <sheetFormatPr baseColWidth="10" defaultColWidth="8.7109375" defaultRowHeight="19"/>
  <cols>
    <col min="1" max="1" width="2.5703125" style="130" customWidth="1"/>
    <col min="2" max="2" width="15.5703125" style="7" customWidth="1"/>
    <col min="3" max="3" width="6.42578125" style="7" customWidth="1"/>
    <col min="4" max="5" width="3.140625" customWidth="1"/>
    <col min="6" max="6" width="3.140625" style="7" customWidth="1"/>
    <col min="7" max="7" width="3.140625" customWidth="1"/>
    <col min="8" max="8" width="3.140625" style="7" customWidth="1"/>
    <col min="9" max="13" width="3.140625" customWidth="1"/>
    <col min="14" max="14" width="3.140625" style="7" customWidth="1"/>
    <col min="15" max="15" width="3.140625" customWidth="1"/>
    <col min="16" max="16" width="3.140625" style="7" customWidth="1"/>
    <col min="17" max="21" width="3.140625" customWidth="1"/>
    <col min="22" max="22" width="3.140625" style="7" customWidth="1"/>
    <col min="23" max="23" width="3.140625" customWidth="1"/>
    <col min="24" max="24" width="3.140625" style="7" customWidth="1"/>
    <col min="25" max="28" width="3.140625" customWidth="1"/>
    <col min="29" max="29" width="3.140625" style="7" customWidth="1"/>
    <col min="30" max="30" width="3.140625" customWidth="1"/>
    <col min="31" max="31" width="3.140625" style="7" customWidth="1"/>
    <col min="32" max="34" width="3.140625" customWidth="1"/>
  </cols>
  <sheetData>
    <row r="1" spans="1:34" ht="5.25" customHeight="1" thickBot="1"/>
    <row r="2" spans="1:34" ht="20" thickBot="1">
      <c r="C2" s="7" t="s">
        <v>725</v>
      </c>
      <c r="D2" s="220"/>
      <c r="E2" s="224"/>
      <c r="F2" s="221"/>
      <c r="G2" t="s">
        <v>726</v>
      </c>
      <c r="H2" s="220"/>
      <c r="I2" s="221"/>
      <c r="J2" t="s">
        <v>727</v>
      </c>
      <c r="L2" s="131"/>
      <c r="M2" s="131"/>
      <c r="N2" s="131"/>
      <c r="O2" s="131"/>
      <c r="P2" s="131"/>
      <c r="Q2" s="222" t="s">
        <v>728</v>
      </c>
      <c r="R2" s="222"/>
      <c r="S2" s="222"/>
      <c r="T2" s="219"/>
      <c r="U2" s="219"/>
      <c r="V2" s="219"/>
      <c r="W2" s="219"/>
      <c r="X2" s="219"/>
      <c r="Y2" s="219"/>
      <c r="Z2" s="219"/>
      <c r="AA2" s="219"/>
    </row>
    <row r="3" spans="1:34" ht="4" customHeight="1"/>
    <row r="4" spans="1:34" ht="13" customHeight="1">
      <c r="B4" s="223" t="s">
        <v>729</v>
      </c>
      <c r="C4" s="132" t="s">
        <v>730</v>
      </c>
      <c r="D4" s="133">
        <v>1</v>
      </c>
      <c r="E4" s="133">
        <v>2</v>
      </c>
      <c r="F4" s="133">
        <v>3</v>
      </c>
      <c r="G4" s="133">
        <v>4</v>
      </c>
      <c r="H4" s="133">
        <v>5</v>
      </c>
      <c r="I4" s="133">
        <v>6</v>
      </c>
      <c r="J4" s="133">
        <v>7</v>
      </c>
      <c r="K4" s="133">
        <v>8</v>
      </c>
      <c r="L4" s="133">
        <v>9</v>
      </c>
      <c r="M4" s="133">
        <v>10</v>
      </c>
      <c r="N4" s="133">
        <v>11</v>
      </c>
      <c r="O4" s="133">
        <v>12</v>
      </c>
      <c r="P4" s="133">
        <v>13</v>
      </c>
      <c r="Q4" s="133">
        <v>14</v>
      </c>
      <c r="R4" s="133">
        <v>15</v>
      </c>
      <c r="S4" s="133">
        <v>16</v>
      </c>
      <c r="T4" s="133">
        <v>17</v>
      </c>
      <c r="U4" s="133">
        <v>18</v>
      </c>
      <c r="V4" s="133">
        <v>19</v>
      </c>
      <c r="W4" s="133">
        <v>20</v>
      </c>
      <c r="X4" s="133">
        <v>21</v>
      </c>
      <c r="Y4" s="133">
        <v>22</v>
      </c>
      <c r="Z4" s="133">
        <v>23</v>
      </c>
      <c r="AA4" s="133">
        <v>24</v>
      </c>
      <c r="AB4" s="133">
        <v>25</v>
      </c>
      <c r="AC4" s="133">
        <v>26</v>
      </c>
      <c r="AD4" s="133">
        <v>27</v>
      </c>
      <c r="AE4" s="133">
        <v>28</v>
      </c>
      <c r="AF4" s="133" t="e">
        <f>IF(DAY(DATE($D$2,$H$2,29))=29,29,"")</f>
        <v>#NUM!</v>
      </c>
      <c r="AG4" s="133" t="e">
        <f>IF(DAY(DATE($D$2,$H$2,30))=30,30,"")</f>
        <v>#NUM!</v>
      </c>
      <c r="AH4" s="133" t="e">
        <f>IF(DAY(DATE($D$2,$H$2,31))=31,31,"")</f>
        <v>#NUM!</v>
      </c>
    </row>
    <row r="5" spans="1:34" ht="13.5" customHeight="1">
      <c r="B5" s="223"/>
      <c r="C5" s="134" t="s">
        <v>731</v>
      </c>
      <c r="D5" s="135" t="str">
        <f>IFERROR(DATE($D$2,$H$2,D$4),"")</f>
        <v/>
      </c>
      <c r="E5" s="135" t="str">
        <f t="shared" ref="E5:AH5" si="0">IFERROR(DATE($D$2,$H$2,E$4),"")</f>
        <v/>
      </c>
      <c r="F5" s="135" t="str">
        <f t="shared" si="0"/>
        <v/>
      </c>
      <c r="G5" s="135" t="str">
        <f t="shared" si="0"/>
        <v/>
      </c>
      <c r="H5" s="135" t="str">
        <f t="shared" si="0"/>
        <v/>
      </c>
      <c r="I5" s="135" t="str">
        <f t="shared" si="0"/>
        <v/>
      </c>
      <c r="J5" s="135" t="str">
        <f t="shared" si="0"/>
        <v/>
      </c>
      <c r="K5" s="135" t="str">
        <f t="shared" si="0"/>
        <v/>
      </c>
      <c r="L5" s="135" t="str">
        <f t="shared" si="0"/>
        <v/>
      </c>
      <c r="M5" s="135" t="str">
        <f t="shared" si="0"/>
        <v/>
      </c>
      <c r="N5" s="135" t="str">
        <f t="shared" si="0"/>
        <v/>
      </c>
      <c r="O5" s="135" t="str">
        <f t="shared" si="0"/>
        <v/>
      </c>
      <c r="P5" s="135" t="str">
        <f t="shared" si="0"/>
        <v/>
      </c>
      <c r="Q5" s="135" t="str">
        <f t="shared" si="0"/>
        <v/>
      </c>
      <c r="R5" s="135" t="str">
        <f t="shared" si="0"/>
        <v/>
      </c>
      <c r="S5" s="135" t="str">
        <f t="shared" si="0"/>
        <v/>
      </c>
      <c r="T5" s="135" t="str">
        <f t="shared" si="0"/>
        <v/>
      </c>
      <c r="U5" s="135" t="str">
        <f t="shared" si="0"/>
        <v/>
      </c>
      <c r="V5" s="135" t="str">
        <f t="shared" si="0"/>
        <v/>
      </c>
      <c r="W5" s="135" t="str">
        <f t="shared" si="0"/>
        <v/>
      </c>
      <c r="X5" s="135" t="str">
        <f t="shared" si="0"/>
        <v/>
      </c>
      <c r="Y5" s="135" t="str">
        <f t="shared" si="0"/>
        <v/>
      </c>
      <c r="Z5" s="135" t="str">
        <f t="shared" si="0"/>
        <v/>
      </c>
      <c r="AA5" s="135" t="str">
        <f t="shared" si="0"/>
        <v/>
      </c>
      <c r="AB5" s="135" t="str">
        <f t="shared" si="0"/>
        <v/>
      </c>
      <c r="AC5" s="135" t="str">
        <f t="shared" si="0"/>
        <v/>
      </c>
      <c r="AD5" s="135" t="str">
        <f t="shared" si="0"/>
        <v/>
      </c>
      <c r="AE5" s="135" t="str">
        <f t="shared" si="0"/>
        <v/>
      </c>
      <c r="AF5" s="135" t="str">
        <f>IFERROR(DATE($D$2,$H$2,AF$4),"")</f>
        <v/>
      </c>
      <c r="AG5" s="135" t="str">
        <f t="shared" si="0"/>
        <v/>
      </c>
      <c r="AH5" s="135" t="str">
        <f t="shared" si="0"/>
        <v/>
      </c>
    </row>
    <row r="6" spans="1:34" ht="15" customHeight="1">
      <c r="A6" s="216">
        <v>1</v>
      </c>
      <c r="B6" s="217"/>
      <c r="C6" s="136" t="str">
        <f>IF(B6="","",SUM($D6:$AH6))</f>
        <v/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</row>
    <row r="7" spans="1:34" ht="15" customHeight="1">
      <c r="A7" s="216"/>
      <c r="B7" s="218"/>
      <c r="C7" s="137" t="str">
        <f>IF(B6="","",SUM($D7:$AH7))</f>
        <v/>
      </c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</row>
    <row r="8" spans="1:34" ht="15" customHeight="1">
      <c r="A8" s="216">
        <v>2</v>
      </c>
      <c r="B8" s="217"/>
      <c r="C8" s="136" t="str">
        <f>IF(B8="","",SUM($D8:$AH8))</f>
        <v/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</row>
    <row r="9" spans="1:34" ht="15" customHeight="1">
      <c r="A9" s="216"/>
      <c r="B9" s="218"/>
      <c r="C9" s="137" t="str">
        <f>IF(B8="","",SUM($D9:$AH9))</f>
        <v/>
      </c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128"/>
      <c r="AG9" s="128"/>
      <c r="AH9" s="128"/>
    </row>
    <row r="10" spans="1:34" ht="15" customHeight="1">
      <c r="A10" s="216">
        <v>3</v>
      </c>
      <c r="B10" s="217"/>
      <c r="C10" s="136" t="str">
        <f>IF(B10="","",SUM($D10:$AH10))</f>
        <v/>
      </c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</row>
    <row r="11" spans="1:34" ht="15" customHeight="1">
      <c r="A11" s="216"/>
      <c r="B11" s="218"/>
      <c r="C11" s="137" t="str">
        <f>IF(B10="","",SUM($D11:$AH11))</f>
        <v/>
      </c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</row>
    <row r="12" spans="1:34" ht="15" customHeight="1">
      <c r="A12" s="216">
        <v>4</v>
      </c>
      <c r="B12" s="217"/>
      <c r="C12" s="136" t="str">
        <f>IF(B12="","",SUM($D12:$AH12))</f>
        <v/>
      </c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</row>
    <row r="13" spans="1:34" ht="15" customHeight="1">
      <c r="A13" s="216"/>
      <c r="B13" s="218"/>
      <c r="C13" s="137" t="str">
        <f>IF(B12="","",SUM($D13:$AH13))</f>
        <v/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</row>
    <row r="14" spans="1:34" ht="15" customHeight="1">
      <c r="A14" s="216">
        <v>5</v>
      </c>
      <c r="B14" s="217"/>
      <c r="C14" s="136" t="str">
        <f>IF(B14="","",SUM($D14:$AH14))</f>
        <v/>
      </c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</row>
    <row r="15" spans="1:34" ht="15" customHeight="1">
      <c r="A15" s="216"/>
      <c r="B15" s="218"/>
      <c r="C15" s="137" t="str">
        <f>IF(B14="","",SUM($D15:$AH15))</f>
        <v/>
      </c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  <c r="Z15" s="128"/>
      <c r="AA15" s="128"/>
      <c r="AB15" s="128"/>
      <c r="AC15" s="128"/>
      <c r="AD15" s="128"/>
      <c r="AE15" s="128"/>
      <c r="AF15" s="128"/>
      <c r="AG15" s="128"/>
      <c r="AH15" s="128"/>
    </row>
    <row r="16" spans="1:34" ht="15" customHeight="1">
      <c r="A16" s="216">
        <v>6</v>
      </c>
      <c r="B16" s="217"/>
      <c r="C16" s="136" t="str">
        <f>IF(B16="","",SUM($D16:$AH16))</f>
        <v/>
      </c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</row>
    <row r="17" spans="1:34" ht="15" customHeight="1">
      <c r="A17" s="216"/>
      <c r="B17" s="218"/>
      <c r="C17" s="137" t="str">
        <f>IF(B16="","",SUM($D17:$AH17))</f>
        <v/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</row>
    <row r="18" spans="1:34" ht="15" customHeight="1">
      <c r="A18" s="216">
        <v>7</v>
      </c>
      <c r="B18" s="217"/>
      <c r="C18" s="136" t="str">
        <f>IF(B18="","",SUM($D18:$AH18))</f>
        <v/>
      </c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129"/>
      <c r="AG18" s="129"/>
      <c r="AH18" s="129"/>
    </row>
    <row r="19" spans="1:34" ht="15" customHeight="1">
      <c r="A19" s="216"/>
      <c r="B19" s="218"/>
      <c r="C19" s="137" t="str">
        <f>IF(B18="","",SUM($D19:$AH19))</f>
        <v/>
      </c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</row>
    <row r="20" spans="1:34" ht="15" customHeight="1">
      <c r="A20" s="216">
        <v>8</v>
      </c>
      <c r="B20" s="217"/>
      <c r="C20" s="136" t="str">
        <f>IF(B20="","",SUM($D20:$AH20))</f>
        <v/>
      </c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</row>
    <row r="21" spans="1:34" ht="15" customHeight="1">
      <c r="A21" s="216"/>
      <c r="B21" s="218"/>
      <c r="C21" s="137" t="str">
        <f>IF(B20="","",SUM($D21:$AH21))</f>
        <v/>
      </c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</row>
    <row r="22" spans="1:34" ht="15" customHeight="1">
      <c r="A22" s="216">
        <v>9</v>
      </c>
      <c r="B22" s="217"/>
      <c r="C22" s="136" t="str">
        <f>IF(B22="","",SUM($D22:$AH22))</f>
        <v/>
      </c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</row>
    <row r="23" spans="1:34" ht="15" customHeight="1">
      <c r="A23" s="216"/>
      <c r="B23" s="218"/>
      <c r="C23" s="137" t="str">
        <f>IF(B22="","",SUM($D23:$AH23))</f>
        <v/>
      </c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</row>
    <row r="24" spans="1:34" ht="15" customHeight="1">
      <c r="A24" s="216">
        <v>10</v>
      </c>
      <c r="B24" s="217"/>
      <c r="C24" s="136" t="str">
        <f>IF(B24="","",SUM($D24:$AH24))</f>
        <v/>
      </c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</row>
    <row r="25" spans="1:34" ht="15" customHeight="1">
      <c r="A25" s="216"/>
      <c r="B25" s="218"/>
      <c r="C25" s="137" t="str">
        <f>IF(B24="","",SUM($D25:$AH25))</f>
        <v/>
      </c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</row>
    <row r="26" spans="1:34" ht="15" customHeight="1">
      <c r="A26" s="216">
        <v>11</v>
      </c>
      <c r="B26" s="217"/>
      <c r="C26" s="136" t="str">
        <f>IF(B26="","",SUM($D26:$AH26))</f>
        <v/>
      </c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</row>
    <row r="27" spans="1:34" ht="15" customHeight="1">
      <c r="A27" s="216"/>
      <c r="B27" s="218"/>
      <c r="C27" s="137" t="str">
        <f>IF(B26="","",SUM($D27:$AH27))</f>
        <v/>
      </c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</row>
    <row r="28" spans="1:34" ht="15" customHeight="1">
      <c r="A28" s="216">
        <v>12</v>
      </c>
      <c r="B28" s="217"/>
      <c r="C28" s="136" t="str">
        <f>IF(B28="","",SUM($D28:$AH28))</f>
        <v/>
      </c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</row>
    <row r="29" spans="1:34" ht="15" customHeight="1">
      <c r="A29" s="216"/>
      <c r="B29" s="218"/>
      <c r="C29" s="137" t="str">
        <f>IF(B28="","",SUM($D29:$AH29))</f>
        <v/>
      </c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</row>
    <row r="30" spans="1:34" ht="15" customHeight="1">
      <c r="A30" s="216">
        <v>13</v>
      </c>
      <c r="B30" s="217"/>
      <c r="C30" s="136" t="str">
        <f>IF(B30="","",SUM($D30:$AH30))</f>
        <v/>
      </c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</row>
    <row r="31" spans="1:34" ht="15" customHeight="1">
      <c r="A31" s="216"/>
      <c r="B31" s="218"/>
      <c r="C31" s="137" t="str">
        <f>IF(B30="","",SUM($D31:$AH31))</f>
        <v/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</row>
    <row r="32" spans="1:34" ht="15" customHeight="1">
      <c r="A32" s="216">
        <v>14</v>
      </c>
      <c r="B32" s="217"/>
      <c r="C32" s="136" t="str">
        <f>IF(B32="","",SUM($D32:$AH32))</f>
        <v/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</row>
    <row r="33" spans="1:34" ht="15" customHeight="1">
      <c r="A33" s="216"/>
      <c r="B33" s="218"/>
      <c r="C33" s="137" t="str">
        <f>IF(B32="","",SUM($D33:$AH33))</f>
        <v/>
      </c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</row>
    <row r="34" spans="1:34" ht="15" customHeight="1">
      <c r="A34" s="216">
        <v>15</v>
      </c>
      <c r="B34" s="217"/>
      <c r="C34" s="136" t="str">
        <f>IF(B34="","",SUM($D34:$AH34))</f>
        <v/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</row>
    <row r="35" spans="1:34" ht="15" customHeight="1">
      <c r="A35" s="216"/>
      <c r="B35" s="218"/>
      <c r="C35" s="137" t="str">
        <f>IF(B34="","",SUM($D35:$AH35))</f>
        <v/>
      </c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</row>
    <row r="36" spans="1:34" ht="15" customHeight="1">
      <c r="A36" s="216">
        <v>16</v>
      </c>
      <c r="B36" s="217"/>
      <c r="C36" s="136" t="str">
        <f>IF(B36="","",SUM($D36:$AH36))</f>
        <v/>
      </c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</row>
    <row r="37" spans="1:34" ht="15" customHeight="1">
      <c r="A37" s="216"/>
      <c r="B37" s="218"/>
      <c r="C37" s="137" t="str">
        <f>IF(B36="","",SUM($D37:$AH37))</f>
        <v/>
      </c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</row>
    <row r="38" spans="1:34" ht="15" customHeight="1">
      <c r="A38" s="216">
        <v>17</v>
      </c>
      <c r="B38" s="217"/>
      <c r="C38" s="136" t="str">
        <f>IF(B38="","",SUM($D38:$AH38))</f>
        <v/>
      </c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</row>
    <row r="39" spans="1:34" ht="15" customHeight="1">
      <c r="A39" s="216"/>
      <c r="B39" s="218"/>
      <c r="C39" s="137" t="str">
        <f>IF(B38="","",SUM($D39:$AH39))</f>
        <v/>
      </c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</row>
    <row r="40" spans="1:34" ht="15" customHeight="1">
      <c r="A40" s="216">
        <v>18</v>
      </c>
      <c r="B40" s="217"/>
      <c r="C40" s="136" t="str">
        <f>IF(B40="","",SUM($D40:$AH40))</f>
        <v/>
      </c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</row>
    <row r="41" spans="1:34" ht="15" customHeight="1">
      <c r="A41" s="216"/>
      <c r="B41" s="218"/>
      <c r="C41" s="137" t="str">
        <f>IF(B40="","",SUM($D41:$AH41))</f>
        <v/>
      </c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</row>
    <row r="42" spans="1:34" ht="15" customHeight="1">
      <c r="A42" s="216">
        <v>19</v>
      </c>
      <c r="B42" s="217"/>
      <c r="C42" s="136" t="str">
        <f>IF(B42="","",SUM($D42:$AH42))</f>
        <v/>
      </c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</row>
    <row r="43" spans="1:34" ht="15" customHeight="1">
      <c r="A43" s="216"/>
      <c r="B43" s="218"/>
      <c r="C43" s="137" t="str">
        <f>IF(B42="","",SUM($D43:$AH43))</f>
        <v/>
      </c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</row>
    <row r="44" spans="1:34" ht="15" customHeight="1">
      <c r="A44" s="216">
        <v>20</v>
      </c>
      <c r="B44" s="217"/>
      <c r="C44" s="136" t="str">
        <f>IF(B44="","",SUM($D44:$AH44))</f>
        <v/>
      </c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</row>
    <row r="45" spans="1:34" ht="15" customHeight="1">
      <c r="A45" s="216"/>
      <c r="B45" s="218"/>
      <c r="C45" s="137" t="str">
        <f>IF(B44="","",SUM($D45:$AH45))</f>
        <v/>
      </c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</row>
    <row r="46" spans="1:34" ht="15" customHeight="1">
      <c r="A46" s="216">
        <v>21</v>
      </c>
      <c r="B46" s="217"/>
      <c r="C46" s="136" t="str">
        <f>IF(B46="","",SUM($D46:$AH46))</f>
        <v/>
      </c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</row>
    <row r="47" spans="1:34" ht="15" customHeight="1">
      <c r="A47" s="216"/>
      <c r="B47" s="218"/>
      <c r="C47" s="137" t="str">
        <f>IF(B46="","",SUM($D47:$AH47))</f>
        <v/>
      </c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</row>
    <row r="48" spans="1:34" ht="15" customHeight="1">
      <c r="A48" s="216">
        <v>22</v>
      </c>
      <c r="B48" s="217"/>
      <c r="C48" s="136" t="str">
        <f>IF(B48="","",SUM($D48:$AH48))</f>
        <v/>
      </c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</row>
    <row r="49" spans="1:34" ht="15" customHeight="1">
      <c r="A49" s="216"/>
      <c r="B49" s="218"/>
      <c r="C49" s="137" t="str">
        <f>IF(B48="","",SUM($D49:$AH49))</f>
        <v/>
      </c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</row>
    <row r="50" spans="1:34" ht="15" customHeight="1">
      <c r="A50" s="216">
        <v>23</v>
      </c>
      <c r="B50" s="217"/>
      <c r="C50" s="136" t="str">
        <f>IF(B50="","",SUM($D50:$AH50))</f>
        <v/>
      </c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</row>
    <row r="51" spans="1:34" ht="15" customHeight="1">
      <c r="A51" s="216"/>
      <c r="B51" s="218"/>
      <c r="C51" s="137" t="str">
        <f>IF(B50="","",SUM($D51:$AH51))</f>
        <v/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</row>
    <row r="52" spans="1:34" ht="15" customHeight="1">
      <c r="A52" s="216">
        <v>24</v>
      </c>
      <c r="B52" s="217"/>
      <c r="C52" s="136" t="str">
        <f>IF(B52="","",SUM($D52:$AH52))</f>
        <v/>
      </c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</row>
    <row r="53" spans="1:34" ht="15" customHeight="1">
      <c r="A53" s="216"/>
      <c r="B53" s="218"/>
      <c r="C53" s="137" t="str">
        <f>IF(B52="","",SUM($D53:$AH53))</f>
        <v/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8"/>
      <c r="AB53" s="128"/>
      <c r="AC53" s="128"/>
      <c r="AD53" s="128"/>
      <c r="AE53" s="128"/>
      <c r="AF53" s="128"/>
      <c r="AG53" s="128"/>
      <c r="AH53" s="128"/>
    </row>
    <row r="54" spans="1:34" ht="15" customHeight="1">
      <c r="A54" s="216">
        <v>25</v>
      </c>
      <c r="B54" s="217"/>
      <c r="C54" s="136" t="str">
        <f>IF(B54="","",SUM($D54:$AH54))</f>
        <v/>
      </c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</row>
    <row r="55" spans="1:34" ht="15" customHeight="1">
      <c r="A55" s="216"/>
      <c r="B55" s="218"/>
      <c r="C55" s="137" t="str">
        <f>IF(B54="","",SUM($D55:$AH55))</f>
        <v/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</row>
    <row r="56" spans="1:34" ht="15" customHeight="1">
      <c r="A56" s="216">
        <v>26</v>
      </c>
      <c r="B56" s="217"/>
      <c r="C56" s="136" t="str">
        <f>IF(B56="","",SUM($D56:$AH56))</f>
        <v/>
      </c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</row>
    <row r="57" spans="1:34" ht="15" customHeight="1">
      <c r="A57" s="216"/>
      <c r="B57" s="218"/>
      <c r="C57" s="137" t="str">
        <f>IF(B56="","",SUM($D57:$AH57))</f>
        <v/>
      </c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</row>
    <row r="58" spans="1:34" ht="15" customHeight="1">
      <c r="A58" s="216">
        <v>27</v>
      </c>
      <c r="B58" s="217"/>
      <c r="C58" s="136" t="str">
        <f>IF(B58="","",SUM($D58:$AH58))</f>
        <v/>
      </c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</row>
    <row r="59" spans="1:34" ht="15" customHeight="1">
      <c r="A59" s="216"/>
      <c r="B59" s="218"/>
      <c r="C59" s="137" t="str">
        <f>IF(B58="","",SUM($D59:$AH59))</f>
        <v/>
      </c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  <c r="P59" s="128"/>
      <c r="Q59" s="128"/>
      <c r="R59" s="128"/>
      <c r="S59" s="128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</row>
    <row r="60" spans="1:34" ht="15" customHeight="1">
      <c r="A60" s="216">
        <v>28</v>
      </c>
      <c r="B60" s="217"/>
      <c r="C60" s="136" t="str">
        <f>IF(B60="","",SUM($D60:$AH60))</f>
        <v/>
      </c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</row>
    <row r="61" spans="1:34" ht="15" customHeight="1">
      <c r="A61" s="216"/>
      <c r="B61" s="218"/>
      <c r="C61" s="137" t="str">
        <f>IF(B60="","",SUM($D61:$AH61))</f>
        <v/>
      </c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</row>
    <row r="62" spans="1:34" ht="15" customHeight="1">
      <c r="A62" s="216">
        <v>29</v>
      </c>
      <c r="B62" s="217"/>
      <c r="C62" s="136" t="str">
        <f>IF(B62="","",SUM($D62:$AH62))</f>
        <v/>
      </c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</row>
    <row r="63" spans="1:34" ht="15" customHeight="1">
      <c r="A63" s="216"/>
      <c r="B63" s="218"/>
      <c r="C63" s="137" t="str">
        <f>IF(B62="","",SUM($D63:$AH63))</f>
        <v/>
      </c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</row>
    <row r="64" spans="1:34" ht="15" customHeight="1">
      <c r="A64" s="216">
        <v>30</v>
      </c>
      <c r="B64" s="217"/>
      <c r="C64" s="136" t="str">
        <f>IF(B64="","",SUM($D64:$AH64))</f>
        <v/>
      </c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</row>
    <row r="65" spans="1:34" ht="15" customHeight="1">
      <c r="A65" s="216"/>
      <c r="B65" s="218"/>
      <c r="C65" s="137" t="str">
        <f>IF(B64="","",SUM($D65:$AH65))</f>
        <v/>
      </c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</row>
    <row r="66" spans="1:34" ht="15" customHeight="1">
      <c r="A66" s="216">
        <v>31</v>
      </c>
      <c r="B66" s="217"/>
      <c r="C66" s="136" t="str">
        <f>IF(B66="","",SUM($D66:$AH66))</f>
        <v/>
      </c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</row>
    <row r="67" spans="1:34" ht="15" customHeight="1">
      <c r="A67" s="216"/>
      <c r="B67" s="218"/>
      <c r="C67" s="137" t="str">
        <f>IF(B66="","",SUM($D67:$AH67))</f>
        <v/>
      </c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O67" s="128"/>
      <c r="P67" s="128"/>
      <c r="Q67" s="128"/>
      <c r="R67" s="128"/>
      <c r="S67" s="128"/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</row>
    <row r="68" spans="1:34" ht="15" customHeight="1">
      <c r="A68" s="216">
        <v>32</v>
      </c>
      <c r="B68" s="217"/>
      <c r="C68" s="136" t="str">
        <f>IF(B68="","",SUM($D68:$AH68))</f>
        <v/>
      </c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</row>
    <row r="69" spans="1:34" ht="15" customHeight="1">
      <c r="A69" s="216"/>
      <c r="B69" s="218"/>
      <c r="C69" s="137" t="str">
        <f>IF(B68="","",SUM($D69:$AH69))</f>
        <v/>
      </c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</row>
    <row r="70" spans="1:34" ht="15" customHeight="1">
      <c r="A70" s="216">
        <v>33</v>
      </c>
      <c r="B70" s="217"/>
      <c r="C70" s="136" t="str">
        <f>IF(B70="","",SUM($D70:$AH70))</f>
        <v/>
      </c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</row>
    <row r="71" spans="1:34" ht="15" customHeight="1">
      <c r="A71" s="216"/>
      <c r="B71" s="218"/>
      <c r="C71" s="137" t="str">
        <f>IF(B70="","",SUM($D71:$AH71))</f>
        <v/>
      </c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</row>
    <row r="72" spans="1:34" ht="15" customHeight="1">
      <c r="A72" s="216">
        <v>34</v>
      </c>
      <c r="B72" s="217"/>
      <c r="C72" s="136" t="str">
        <f>IF(B72="","",SUM($D72:$AH72))</f>
        <v/>
      </c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</row>
    <row r="73" spans="1:34" ht="15" customHeight="1">
      <c r="A73" s="216"/>
      <c r="B73" s="218"/>
      <c r="C73" s="137" t="str">
        <f>IF(B72="","",SUM($D73:$AH73))</f>
        <v/>
      </c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</row>
    <row r="74" spans="1:34" ht="15" customHeight="1">
      <c r="A74" s="216">
        <v>35</v>
      </c>
      <c r="B74" s="217"/>
      <c r="C74" s="136" t="str">
        <f>IF(B74="","",SUM($D74:$AH74))</f>
        <v/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</row>
    <row r="75" spans="1:34" ht="15" customHeight="1">
      <c r="A75" s="216"/>
      <c r="B75" s="218"/>
      <c r="C75" s="137" t="str">
        <f>IF(B74="","",SUM($D75:$AH75))</f>
        <v/>
      </c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</row>
    <row r="76" spans="1:34" ht="15" customHeight="1">
      <c r="A76" s="216">
        <v>36</v>
      </c>
      <c r="B76" s="217"/>
      <c r="C76" s="136" t="str">
        <f>IF(B76="","",SUM($D76:$AH76))</f>
        <v/>
      </c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</row>
    <row r="77" spans="1:34" ht="15" customHeight="1">
      <c r="A77" s="216"/>
      <c r="B77" s="218"/>
      <c r="C77" s="137" t="str">
        <f>IF(B76="","",SUM($D77:$AH77))</f>
        <v/>
      </c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</row>
    <row r="78" spans="1:34" ht="15" customHeight="1">
      <c r="A78" s="216">
        <v>37</v>
      </c>
      <c r="B78" s="217"/>
      <c r="C78" s="136" t="str">
        <f>IF(B78="","",SUM($D78:$AH78))</f>
        <v/>
      </c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</row>
    <row r="79" spans="1:34" ht="15" customHeight="1">
      <c r="A79" s="216"/>
      <c r="B79" s="218"/>
      <c r="C79" s="137" t="str">
        <f>IF(B78="","",SUM($D79:$AH79))</f>
        <v/>
      </c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  <c r="AE79" s="128"/>
      <c r="AF79" s="128"/>
      <c r="AG79" s="128"/>
      <c r="AH79" s="128"/>
    </row>
    <row r="80" spans="1:34" ht="15" customHeight="1">
      <c r="A80" s="216">
        <v>38</v>
      </c>
      <c r="B80" s="217"/>
      <c r="C80" s="136" t="str">
        <f>IF(B80="","",SUM($D80:$AH80))</f>
        <v/>
      </c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</row>
    <row r="81" spans="1:34" ht="15" customHeight="1">
      <c r="A81" s="216"/>
      <c r="B81" s="218"/>
      <c r="C81" s="137" t="str">
        <f>IF(B80="","",SUM($D81:$AH81))</f>
        <v/>
      </c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8"/>
      <c r="AE81" s="128"/>
      <c r="AF81" s="128"/>
      <c r="AG81" s="128"/>
      <c r="AH81" s="128"/>
    </row>
    <row r="82" spans="1:34" ht="15" customHeight="1">
      <c r="A82" s="216">
        <v>39</v>
      </c>
      <c r="B82" s="217"/>
      <c r="C82" s="136" t="str">
        <f>IF(B82="","",SUM($D82:$AH82))</f>
        <v/>
      </c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</row>
    <row r="83" spans="1:34" ht="15" customHeight="1">
      <c r="A83" s="216"/>
      <c r="B83" s="218"/>
      <c r="C83" s="137" t="str">
        <f>IF(B82="","",SUM($D83:$AH83))</f>
        <v/>
      </c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28"/>
      <c r="AF83" s="128"/>
      <c r="AG83" s="128"/>
      <c r="AH83" s="128"/>
    </row>
    <row r="84" spans="1:34" ht="15" customHeight="1">
      <c r="A84" s="216">
        <v>40</v>
      </c>
      <c r="B84" s="217"/>
      <c r="C84" s="136" t="str">
        <f>IF(B84="","",SUM($D84:$AH84))</f>
        <v/>
      </c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</row>
    <row r="85" spans="1:34" ht="15" customHeight="1">
      <c r="A85" s="216"/>
      <c r="B85" s="218"/>
      <c r="C85" s="137" t="str">
        <f>IF(B84="","",SUM($D85:$AH85))</f>
        <v/>
      </c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</row>
    <row r="86" spans="1:34" ht="15" customHeight="1">
      <c r="A86" s="216">
        <v>41</v>
      </c>
      <c r="B86" s="217"/>
      <c r="C86" s="136" t="str">
        <f>IF(B86="","",SUM($D86:$AH86))</f>
        <v/>
      </c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</row>
    <row r="87" spans="1:34" ht="15" customHeight="1">
      <c r="A87" s="216"/>
      <c r="B87" s="218"/>
      <c r="C87" s="137" t="str">
        <f>IF(B86="","",SUM($D87:$AH87))</f>
        <v/>
      </c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</row>
    <row r="88" spans="1:34" ht="15" customHeight="1">
      <c r="A88" s="216">
        <v>42</v>
      </c>
      <c r="B88" s="217"/>
      <c r="C88" s="136" t="str">
        <f>IF(B88="","",SUM($D88:$AH88))</f>
        <v/>
      </c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</row>
    <row r="89" spans="1:34" ht="15" customHeight="1">
      <c r="A89" s="216"/>
      <c r="B89" s="218"/>
      <c r="C89" s="137" t="str">
        <f>IF(B88="","",SUM($D89:$AH89))</f>
        <v/>
      </c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</row>
    <row r="90" spans="1:34" ht="15" customHeight="1">
      <c r="A90" s="216">
        <v>43</v>
      </c>
      <c r="B90" s="217"/>
      <c r="C90" s="136" t="str">
        <f>IF(B90="","",SUM($D90:$AH90))</f>
        <v/>
      </c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</row>
    <row r="91" spans="1:34" ht="15" customHeight="1">
      <c r="A91" s="216"/>
      <c r="B91" s="218"/>
      <c r="C91" s="137" t="str">
        <f>IF(B90="","",SUM($D91:$AH91))</f>
        <v/>
      </c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</row>
    <row r="92" spans="1:34" ht="15" customHeight="1">
      <c r="A92" s="216">
        <v>44</v>
      </c>
      <c r="B92" s="217"/>
      <c r="C92" s="136" t="str">
        <f>IF(B92="","",SUM($D92:$AH92))</f>
        <v/>
      </c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</row>
    <row r="93" spans="1:34" ht="15" customHeight="1">
      <c r="A93" s="216"/>
      <c r="B93" s="218"/>
      <c r="C93" s="137" t="str">
        <f>IF(B92="","",SUM($D93:$AH93))</f>
        <v/>
      </c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28"/>
      <c r="AF93" s="128"/>
      <c r="AG93" s="128"/>
      <c r="AH93" s="128"/>
    </row>
    <row r="94" spans="1:34" ht="15" customHeight="1">
      <c r="A94" s="216">
        <v>45</v>
      </c>
      <c r="B94" s="217"/>
      <c r="C94" s="136" t="str">
        <f>IF(B94="","",SUM($D94:$AH94))</f>
        <v/>
      </c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</row>
    <row r="95" spans="1:34" ht="15" customHeight="1">
      <c r="A95" s="216"/>
      <c r="B95" s="218"/>
      <c r="C95" s="137" t="str">
        <f>IF(B94="","",SUM($D95:$AH95))</f>
        <v/>
      </c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8"/>
      <c r="AE95" s="128"/>
      <c r="AF95" s="128"/>
      <c r="AG95" s="128"/>
      <c r="AH95" s="128"/>
    </row>
    <row r="96" spans="1:34" ht="15" customHeight="1">
      <c r="A96" s="216">
        <v>46</v>
      </c>
      <c r="B96" s="217"/>
      <c r="C96" s="136" t="str">
        <f>IF(B96="","",SUM($D96:$AH96))</f>
        <v/>
      </c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</row>
    <row r="97" spans="1:34" ht="15" customHeight="1">
      <c r="A97" s="216"/>
      <c r="B97" s="218"/>
      <c r="C97" s="137" t="str">
        <f>IF(B96="","",SUM($D97:$AH97))</f>
        <v/>
      </c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28"/>
      <c r="AF97" s="128"/>
      <c r="AG97" s="128"/>
      <c r="AH97" s="128"/>
    </row>
    <row r="98" spans="1:34" ht="15" customHeight="1">
      <c r="A98" s="216">
        <v>47</v>
      </c>
      <c r="B98" s="217"/>
      <c r="C98" s="136" t="str">
        <f>IF(B98="","",SUM($D98:$AH98))</f>
        <v/>
      </c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</row>
    <row r="99" spans="1:34" ht="15" customHeight="1">
      <c r="A99" s="216"/>
      <c r="B99" s="218"/>
      <c r="C99" s="137" t="str">
        <f>IF(B98="","",SUM($D99:$AH99))</f>
        <v/>
      </c>
      <c r="D99" s="128"/>
      <c r="E99" s="128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28"/>
      <c r="AF99" s="128"/>
      <c r="AG99" s="128"/>
      <c r="AH99" s="128"/>
    </row>
    <row r="100" spans="1:34" ht="15" customHeight="1">
      <c r="A100" s="216">
        <v>48</v>
      </c>
      <c r="B100" s="217"/>
      <c r="C100" s="136" t="str">
        <f>IF(B100="","",SUM($D100:$AH100))</f>
        <v/>
      </c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</row>
    <row r="101" spans="1:34" ht="15" customHeight="1">
      <c r="A101" s="216"/>
      <c r="B101" s="218"/>
      <c r="C101" s="137" t="str">
        <f>IF(B100="","",SUM($D101:$AH101))</f>
        <v/>
      </c>
      <c r="D101" s="128"/>
      <c r="E101" s="128"/>
      <c r="F101" s="128"/>
      <c r="G101" s="128"/>
      <c r="H101" s="128"/>
      <c r="I101" s="128"/>
      <c r="J101" s="128"/>
      <c r="K101" s="128"/>
      <c r="L101" s="128"/>
      <c r="M101" s="128"/>
      <c r="N101" s="128"/>
      <c r="O101" s="128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28"/>
      <c r="AF101" s="128"/>
      <c r="AG101" s="128"/>
      <c r="AH101" s="128"/>
    </row>
    <row r="102" spans="1:34" ht="15" customHeight="1">
      <c r="A102" s="216">
        <v>49</v>
      </c>
      <c r="B102" s="217"/>
      <c r="C102" s="136" t="str">
        <f>IF(B102="","",SUM($D102:$AH102))</f>
        <v/>
      </c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29"/>
      <c r="AF102" s="129"/>
      <c r="AG102" s="129"/>
      <c r="AH102" s="129"/>
    </row>
    <row r="103" spans="1:34" ht="15" customHeight="1">
      <c r="A103" s="216"/>
      <c r="B103" s="218"/>
      <c r="C103" s="137" t="str">
        <f>IF(B102="","",SUM($D103:$AH103))</f>
        <v/>
      </c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28"/>
      <c r="P103" s="128"/>
      <c r="Q103" s="128"/>
      <c r="R103" s="128"/>
      <c r="S103" s="128"/>
      <c r="T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8"/>
      <c r="AE103" s="128"/>
      <c r="AF103" s="128"/>
      <c r="AG103" s="128"/>
      <c r="AH103" s="128"/>
    </row>
    <row r="104" spans="1:34" ht="15" customHeight="1">
      <c r="A104" s="216">
        <v>50</v>
      </c>
      <c r="B104" s="217"/>
      <c r="C104" s="136" t="str">
        <f>IF(B104="","",SUM($D104:$AH104))</f>
        <v/>
      </c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</row>
    <row r="105" spans="1:34" ht="15" customHeight="1">
      <c r="A105" s="216"/>
      <c r="B105" s="218"/>
      <c r="C105" s="137" t="str">
        <f>IF(B104="","",SUM($D105:$AH105))</f>
        <v/>
      </c>
      <c r="D105" s="128"/>
      <c r="E105" s="128"/>
      <c r="F105" s="128"/>
      <c r="G105" s="128"/>
      <c r="H105" s="128"/>
      <c r="I105" s="128"/>
      <c r="J105" s="128"/>
      <c r="K105" s="128"/>
      <c r="L105" s="128"/>
      <c r="M105" s="128"/>
      <c r="N105" s="128"/>
      <c r="O105" s="128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  <c r="AE105" s="128"/>
      <c r="AF105" s="128"/>
      <c r="AG105" s="128"/>
      <c r="AH105" s="128"/>
    </row>
    <row r="106" spans="1:34" ht="15" customHeight="1">
      <c r="A106" s="216">
        <v>51</v>
      </c>
      <c r="B106" s="217"/>
      <c r="C106" s="136" t="str">
        <f>IF(B106="","",SUM($D106:$AH106))</f>
        <v/>
      </c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29"/>
      <c r="AH106" s="129"/>
    </row>
    <row r="107" spans="1:34" ht="15" customHeight="1">
      <c r="A107" s="216"/>
      <c r="B107" s="218"/>
      <c r="C107" s="137" t="str">
        <f>IF(B106="","",SUM($D107:$AH107))</f>
        <v/>
      </c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  <c r="AE107" s="128"/>
      <c r="AF107" s="128"/>
      <c r="AG107" s="128"/>
      <c r="AH107" s="128"/>
    </row>
    <row r="108" spans="1:34" ht="15" customHeight="1">
      <c r="A108" s="216">
        <v>52</v>
      </c>
      <c r="B108" s="217"/>
      <c r="C108" s="136" t="str">
        <f>IF(B108="","",SUM($D108:$AH108))</f>
        <v/>
      </c>
      <c r="D108" s="129"/>
      <c r="E108" s="129"/>
      <c r="F108" s="129"/>
      <c r="G108" s="129"/>
      <c r="H108" s="129"/>
      <c r="I108" s="129"/>
      <c r="J108" s="129"/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9"/>
      <c r="AF108" s="129"/>
      <c r="AG108" s="129"/>
      <c r="AH108" s="129"/>
    </row>
    <row r="109" spans="1:34" ht="15" customHeight="1">
      <c r="A109" s="216"/>
      <c r="B109" s="218"/>
      <c r="C109" s="137" t="str">
        <f>IF(B108="","",SUM($D109:$AH109))</f>
        <v/>
      </c>
      <c r="D109" s="128"/>
      <c r="E109" s="128"/>
      <c r="F109" s="128"/>
      <c r="G109" s="128"/>
      <c r="H109" s="128"/>
      <c r="I109" s="128"/>
      <c r="J109" s="128"/>
      <c r="K109" s="128"/>
      <c r="L109" s="128"/>
      <c r="M109" s="128"/>
      <c r="N109" s="128"/>
      <c r="O109" s="128"/>
      <c r="P109" s="128"/>
      <c r="Q109" s="128"/>
      <c r="R109" s="128"/>
      <c r="S109" s="128"/>
      <c r="T109" s="128"/>
      <c r="U109" s="128"/>
      <c r="V109" s="128"/>
      <c r="W109" s="128"/>
      <c r="X109" s="128"/>
      <c r="Y109" s="128"/>
      <c r="Z109" s="128"/>
      <c r="AA109" s="128"/>
      <c r="AB109" s="128"/>
      <c r="AC109" s="128"/>
      <c r="AD109" s="128"/>
      <c r="AE109" s="128"/>
      <c r="AF109" s="128"/>
      <c r="AG109" s="128"/>
      <c r="AH109" s="128"/>
    </row>
    <row r="110" spans="1:34" ht="15" customHeight="1">
      <c r="A110" s="216">
        <v>53</v>
      </c>
      <c r="B110" s="217"/>
      <c r="C110" s="136" t="str">
        <f>IF(B110="","",SUM($D110:$AH110))</f>
        <v/>
      </c>
      <c r="D110" s="129"/>
      <c r="E110" s="129"/>
      <c r="F110" s="129"/>
      <c r="G110" s="129"/>
      <c r="H110" s="129"/>
      <c r="I110" s="129"/>
      <c r="J110" s="129"/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9"/>
      <c r="AF110" s="129"/>
      <c r="AG110" s="129"/>
      <c r="AH110" s="129"/>
    </row>
    <row r="111" spans="1:34" ht="15" customHeight="1">
      <c r="A111" s="216"/>
      <c r="B111" s="218"/>
      <c r="C111" s="137" t="str">
        <f>IF(B110="","",SUM($D111:$AH111))</f>
        <v/>
      </c>
      <c r="D111" s="128"/>
      <c r="E111" s="128"/>
      <c r="F111" s="128"/>
      <c r="G111" s="128"/>
      <c r="H111" s="128"/>
      <c r="I111" s="128"/>
      <c r="J111" s="128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28"/>
      <c r="W111" s="128"/>
      <c r="X111" s="128"/>
      <c r="Y111" s="128"/>
      <c r="Z111" s="128"/>
      <c r="AA111" s="128"/>
      <c r="AB111" s="128"/>
      <c r="AC111" s="128"/>
      <c r="AD111" s="128"/>
      <c r="AE111" s="128"/>
      <c r="AF111" s="128"/>
      <c r="AG111" s="128"/>
      <c r="AH111" s="128"/>
    </row>
    <row r="112" spans="1:34" ht="15" customHeight="1">
      <c r="A112" s="216">
        <v>54</v>
      </c>
      <c r="B112" s="217"/>
      <c r="C112" s="136" t="str">
        <f>IF(B112="","",SUM($D112:$AH112))</f>
        <v/>
      </c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</row>
    <row r="113" spans="1:34" ht="15" customHeight="1">
      <c r="A113" s="216"/>
      <c r="B113" s="218"/>
      <c r="C113" s="137" t="str">
        <f>IF(B112="","",SUM($D113:$AH113))</f>
        <v/>
      </c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</row>
    <row r="114" spans="1:34" ht="15" customHeight="1">
      <c r="A114" s="216">
        <v>55</v>
      </c>
      <c r="B114" s="217"/>
      <c r="C114" s="136" t="str">
        <f>IF(B114="","",SUM($D114:$AH114))</f>
        <v/>
      </c>
      <c r="D114" s="129"/>
      <c r="E114" s="129"/>
      <c r="F114" s="129"/>
      <c r="G114" s="129"/>
      <c r="H114" s="129"/>
      <c r="I114" s="129"/>
      <c r="J114" s="129"/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</row>
    <row r="115" spans="1:34" ht="15" customHeight="1">
      <c r="A115" s="216"/>
      <c r="B115" s="218"/>
      <c r="C115" s="137" t="str">
        <f>IF(B114="","",SUM($D115:$AH115))</f>
        <v/>
      </c>
      <c r="D115" s="128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8"/>
      <c r="AE115" s="128"/>
      <c r="AF115" s="128"/>
      <c r="AG115" s="128"/>
      <c r="AH115" s="128"/>
    </row>
    <row r="116" spans="1:34" ht="15" customHeight="1">
      <c r="A116" s="216">
        <v>56</v>
      </c>
      <c r="B116" s="217"/>
      <c r="C116" s="136" t="str">
        <f>IF(B116="","",SUM($D116:$AH116))</f>
        <v/>
      </c>
      <c r="D116" s="129"/>
      <c r="E116" s="129"/>
      <c r="F116" s="129"/>
      <c r="G116" s="129"/>
      <c r="H116" s="129"/>
      <c r="I116" s="129"/>
      <c r="J116" s="129"/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</row>
    <row r="117" spans="1:34" ht="15" customHeight="1">
      <c r="A117" s="216"/>
      <c r="B117" s="218"/>
      <c r="C117" s="137" t="str">
        <f>IF(B116="","",SUM($D117:$AH117))</f>
        <v/>
      </c>
      <c r="D117" s="128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</row>
    <row r="118" spans="1:34" ht="15" customHeight="1">
      <c r="A118" s="216">
        <v>57</v>
      </c>
      <c r="B118" s="217"/>
      <c r="C118" s="136" t="str">
        <f>IF(B118="","",SUM($D118:$AH118))</f>
        <v/>
      </c>
      <c r="D118" s="129"/>
      <c r="E118" s="129"/>
      <c r="F118" s="129"/>
      <c r="G118" s="129"/>
      <c r="H118" s="129"/>
      <c r="I118" s="129"/>
      <c r="J118" s="129"/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</row>
    <row r="119" spans="1:34" ht="15" customHeight="1">
      <c r="A119" s="216"/>
      <c r="B119" s="218"/>
      <c r="C119" s="137" t="str">
        <f>IF(B118="","",SUM($D119:$AH119))</f>
        <v/>
      </c>
      <c r="D119" s="128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28"/>
      <c r="AF119" s="128"/>
      <c r="AG119" s="128"/>
      <c r="AH119" s="128"/>
    </row>
    <row r="120" spans="1:34" ht="15" customHeight="1">
      <c r="A120" s="216">
        <v>58</v>
      </c>
      <c r="B120" s="217"/>
      <c r="C120" s="136" t="str">
        <f>IF(B120="","",SUM($D120:$AH120))</f>
        <v/>
      </c>
      <c r="D120" s="129"/>
      <c r="E120" s="129"/>
      <c r="F120" s="129"/>
      <c r="G120" s="129"/>
      <c r="H120" s="129"/>
      <c r="I120" s="129"/>
      <c r="J120" s="129"/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</row>
    <row r="121" spans="1:34" ht="15" customHeight="1">
      <c r="A121" s="216"/>
      <c r="B121" s="218"/>
      <c r="C121" s="137" t="str">
        <f>IF(B120="","",SUM($D121:$AH121))</f>
        <v/>
      </c>
      <c r="D121" s="128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</row>
    <row r="122" spans="1:34" ht="15" customHeight="1">
      <c r="A122" s="216">
        <v>59</v>
      </c>
      <c r="B122" s="217"/>
      <c r="C122" s="136" t="str">
        <f>IF(B122="","",SUM($D122:$AH122))</f>
        <v/>
      </c>
      <c r="D122" s="129"/>
      <c r="E122" s="129"/>
      <c r="F122" s="129"/>
      <c r="G122" s="129"/>
      <c r="H122" s="129"/>
      <c r="I122" s="129"/>
      <c r="J122" s="129"/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9"/>
      <c r="AF122" s="129"/>
      <c r="AG122" s="129"/>
      <c r="AH122" s="129"/>
    </row>
    <row r="123" spans="1:34" ht="15" customHeight="1">
      <c r="A123" s="216"/>
      <c r="B123" s="218"/>
      <c r="C123" s="137" t="str">
        <f>IF(B122="","",SUM($D123:$AH123))</f>
        <v/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</row>
    <row r="124" spans="1:34" ht="15" customHeight="1">
      <c r="A124" s="216">
        <v>60</v>
      </c>
      <c r="B124" s="217"/>
      <c r="C124" s="136" t="str">
        <f>IF(B124="","",SUM($D124:$AH124))</f>
        <v/>
      </c>
      <c r="D124" s="129"/>
      <c r="E124" s="129"/>
      <c r="F124" s="129"/>
      <c r="G124" s="129"/>
      <c r="H124" s="129"/>
      <c r="I124" s="129"/>
      <c r="J124" s="129"/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29"/>
      <c r="AF124" s="129"/>
      <c r="AG124" s="129"/>
      <c r="AH124" s="129"/>
    </row>
    <row r="125" spans="1:34" ht="15" customHeight="1">
      <c r="A125" s="216"/>
      <c r="B125" s="218"/>
      <c r="C125" s="137" t="str">
        <f>IF(B124="","",SUM($D125:$AH125))</f>
        <v/>
      </c>
      <c r="D125" s="128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</row>
    <row r="126" spans="1:34" ht="15" customHeight="1">
      <c r="A126" s="216">
        <v>61</v>
      </c>
      <c r="B126" s="217"/>
      <c r="C126" s="136" t="str">
        <f>IF(B126="","",SUM($D126:$AH126))</f>
        <v/>
      </c>
      <c r="D126" s="129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</row>
    <row r="127" spans="1:34" ht="15" customHeight="1">
      <c r="A127" s="216"/>
      <c r="B127" s="218"/>
      <c r="C127" s="137" t="str">
        <f>IF(B126="","",SUM($D127:$AH127))</f>
        <v/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</row>
    <row r="128" spans="1:34" ht="15" customHeight="1">
      <c r="A128" s="216">
        <v>62</v>
      </c>
      <c r="B128" s="217"/>
      <c r="C128" s="136" t="str">
        <f>IF(B128="","",SUM($D128:$AH128))</f>
        <v/>
      </c>
      <c r="D128" s="129"/>
      <c r="E128" s="129"/>
      <c r="F128" s="129"/>
      <c r="G128" s="129"/>
      <c r="H128" s="129"/>
      <c r="I128" s="129"/>
      <c r="J128" s="129"/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29"/>
      <c r="V128" s="129"/>
      <c r="W128" s="129"/>
      <c r="X128" s="129"/>
      <c r="Y128" s="129"/>
      <c r="Z128" s="129"/>
      <c r="AA128" s="129"/>
      <c r="AB128" s="129"/>
      <c r="AC128" s="129"/>
      <c r="AD128" s="129"/>
      <c r="AE128" s="129"/>
      <c r="AF128" s="129"/>
      <c r="AG128" s="129"/>
      <c r="AH128" s="129"/>
    </row>
    <row r="129" spans="1:34" ht="15" customHeight="1">
      <c r="A129" s="216"/>
      <c r="B129" s="218"/>
      <c r="C129" s="137" t="str">
        <f>IF(B128="","",SUM($D129:$AH129))</f>
        <v/>
      </c>
      <c r="D129" s="128"/>
      <c r="E129" s="128"/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28"/>
      <c r="AH129" s="128"/>
    </row>
    <row r="130" spans="1:34" ht="15" customHeight="1">
      <c r="A130" s="216">
        <v>63</v>
      </c>
      <c r="B130" s="217"/>
      <c r="C130" s="136" t="str">
        <f>IF(B130="","",SUM($D130:$AH130))</f>
        <v/>
      </c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29"/>
    </row>
    <row r="131" spans="1:34" ht="15" customHeight="1">
      <c r="A131" s="216"/>
      <c r="B131" s="218"/>
      <c r="C131" s="137" t="str">
        <f>IF(B130="","",SUM($D131:$AH131))</f>
        <v/>
      </c>
      <c r="D131" s="128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</row>
    <row r="132" spans="1:34" ht="15" customHeight="1">
      <c r="A132" s="216">
        <v>64</v>
      </c>
      <c r="B132" s="217"/>
      <c r="C132" s="136" t="str">
        <f>IF(B132="","",SUM($D132:$AH132))</f>
        <v/>
      </c>
      <c r="D132" s="129"/>
      <c r="E132" s="129"/>
      <c r="F132" s="129"/>
      <c r="G132" s="129"/>
      <c r="H132" s="129"/>
      <c r="I132" s="129"/>
      <c r="J132" s="129"/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9"/>
      <c r="AF132" s="129"/>
      <c r="AG132" s="129"/>
      <c r="AH132" s="129"/>
    </row>
    <row r="133" spans="1:34" ht="15" customHeight="1">
      <c r="A133" s="216"/>
      <c r="B133" s="218"/>
      <c r="C133" s="137" t="str">
        <f>IF(B132="","",SUM($D133:$AH133))</f>
        <v/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</row>
    <row r="134" spans="1:34" ht="15" customHeight="1">
      <c r="A134" s="216">
        <v>65</v>
      </c>
      <c r="B134" s="217"/>
      <c r="C134" s="136" t="str">
        <f>IF(B134="","",SUM($D134:$AH134))</f>
        <v/>
      </c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</row>
    <row r="135" spans="1:34" ht="15" customHeight="1">
      <c r="A135" s="216"/>
      <c r="B135" s="218"/>
      <c r="C135" s="137" t="str">
        <f>IF(B134="","",SUM($D135:$AH135))</f>
        <v/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</row>
    <row r="136" spans="1:34" ht="15" customHeight="1">
      <c r="A136" s="216">
        <v>66</v>
      </c>
      <c r="B136" s="217"/>
      <c r="C136" s="136" t="str">
        <f>IF(B136="","",SUM($D136:$AH136))</f>
        <v/>
      </c>
      <c r="D136" s="129"/>
      <c r="E136" s="129"/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</row>
    <row r="137" spans="1:34" ht="15" customHeight="1">
      <c r="A137" s="216"/>
      <c r="B137" s="218"/>
      <c r="C137" s="137" t="str">
        <f>IF(B136="","",SUM($D137:$AH137))</f>
        <v/>
      </c>
      <c r="D137" s="128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</row>
    <row r="138" spans="1:34" ht="15" customHeight="1">
      <c r="A138" s="216">
        <v>67</v>
      </c>
      <c r="B138" s="217"/>
      <c r="C138" s="136" t="str">
        <f>IF(B138="","",SUM($D138:$AH138))</f>
        <v/>
      </c>
      <c r="D138" s="129"/>
      <c r="E138" s="129"/>
      <c r="F138" s="129"/>
      <c r="G138" s="129"/>
      <c r="H138" s="129"/>
      <c r="I138" s="129"/>
      <c r="J138" s="129"/>
      <c r="K138" s="129"/>
      <c r="L138" s="129"/>
      <c r="M138" s="129"/>
      <c r="N138" s="129"/>
      <c r="O138" s="129"/>
      <c r="P138" s="129"/>
      <c r="Q138" s="129"/>
      <c r="R138" s="129"/>
      <c r="S138" s="129"/>
      <c r="T138" s="129"/>
      <c r="U138" s="129"/>
      <c r="V138" s="129"/>
      <c r="W138" s="129"/>
      <c r="X138" s="129"/>
      <c r="Y138" s="129"/>
      <c r="Z138" s="129"/>
      <c r="AA138" s="129"/>
      <c r="AB138" s="129"/>
      <c r="AC138" s="129"/>
      <c r="AD138" s="129"/>
      <c r="AE138" s="129"/>
      <c r="AF138" s="129"/>
      <c r="AG138" s="129"/>
      <c r="AH138" s="129"/>
    </row>
    <row r="139" spans="1:34" ht="15" customHeight="1">
      <c r="A139" s="216"/>
      <c r="B139" s="218"/>
      <c r="C139" s="137" t="str">
        <f>IF(B138="","",SUM($D139:$AH139))</f>
        <v/>
      </c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28"/>
    </row>
    <row r="140" spans="1:34" ht="15" customHeight="1">
      <c r="A140" s="216">
        <v>68</v>
      </c>
      <c r="B140" s="217"/>
      <c r="C140" s="136" t="str">
        <f>IF(B140="","",SUM($D140:$AH140))</f>
        <v/>
      </c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9"/>
      <c r="AF140" s="129"/>
      <c r="AG140" s="129"/>
      <c r="AH140" s="129"/>
    </row>
    <row r="141" spans="1:34" ht="15" customHeight="1">
      <c r="A141" s="216"/>
      <c r="B141" s="218"/>
      <c r="C141" s="137" t="str">
        <f>IF(B140="","",SUM($D141:$AH141))</f>
        <v/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</row>
    <row r="142" spans="1:34" ht="15" customHeight="1">
      <c r="A142" s="216">
        <v>69</v>
      </c>
      <c r="B142" s="217"/>
      <c r="C142" s="136" t="str">
        <f>IF(B142="","",SUM($D142:$AH142))</f>
        <v/>
      </c>
      <c r="D142" s="129"/>
      <c r="E142" s="129"/>
      <c r="F142" s="129"/>
      <c r="G142" s="129"/>
      <c r="H142" s="129"/>
      <c r="I142" s="129"/>
      <c r="J142" s="129"/>
      <c r="K142" s="129"/>
      <c r="L142" s="129"/>
      <c r="M142" s="129"/>
      <c r="N142" s="129"/>
      <c r="O142" s="129"/>
      <c r="P142" s="129"/>
      <c r="Q142" s="129"/>
      <c r="R142" s="129"/>
      <c r="S142" s="129"/>
      <c r="T142" s="129"/>
      <c r="U142" s="129"/>
      <c r="V142" s="129"/>
      <c r="W142" s="129"/>
      <c r="X142" s="129"/>
      <c r="Y142" s="129"/>
      <c r="Z142" s="129"/>
      <c r="AA142" s="129"/>
      <c r="AB142" s="129"/>
      <c r="AC142" s="129"/>
      <c r="AD142" s="129"/>
      <c r="AE142" s="129"/>
      <c r="AF142" s="129"/>
      <c r="AG142" s="129"/>
      <c r="AH142" s="129"/>
    </row>
    <row r="143" spans="1:34" ht="15" customHeight="1">
      <c r="A143" s="216"/>
      <c r="B143" s="218"/>
      <c r="C143" s="137" t="str">
        <f>IF(B142="","",SUM($D143:$AH143))</f>
        <v/>
      </c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</row>
    <row r="144" spans="1:34" ht="15" customHeight="1">
      <c r="A144" s="216">
        <v>70</v>
      </c>
      <c r="B144" s="217"/>
      <c r="C144" s="136" t="str">
        <f>IF(B144="","",SUM($D144:$AH144))</f>
        <v/>
      </c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9"/>
      <c r="AF144" s="129"/>
      <c r="AG144" s="129"/>
      <c r="AH144" s="129"/>
    </row>
    <row r="145" spans="1:34" ht="15" customHeight="1">
      <c r="A145" s="216"/>
      <c r="B145" s="218"/>
      <c r="C145" s="137" t="str">
        <f>IF(B144="","",SUM($D145:$AH145))</f>
        <v/>
      </c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</row>
    <row r="146" spans="1:34" ht="15" customHeight="1">
      <c r="A146" s="216">
        <v>71</v>
      </c>
      <c r="B146" s="217"/>
      <c r="C146" s="136" t="str">
        <f>IF(B146="","",SUM($D146:$AH146))</f>
        <v/>
      </c>
      <c r="D146" s="129"/>
      <c r="E146" s="129"/>
      <c r="F146" s="129"/>
      <c r="G146" s="129"/>
      <c r="H146" s="129"/>
      <c r="I146" s="129"/>
      <c r="J146" s="129"/>
      <c r="K146" s="129"/>
      <c r="L146" s="129"/>
      <c r="M146" s="129"/>
      <c r="N146" s="129"/>
      <c r="O146" s="129"/>
      <c r="P146" s="129"/>
      <c r="Q146" s="129"/>
      <c r="R146" s="129"/>
      <c r="S146" s="129"/>
      <c r="T146" s="129"/>
      <c r="U146" s="129"/>
      <c r="V146" s="129"/>
      <c r="W146" s="129"/>
      <c r="X146" s="129"/>
      <c r="Y146" s="129"/>
      <c r="Z146" s="129"/>
      <c r="AA146" s="129"/>
      <c r="AB146" s="129"/>
      <c r="AC146" s="129"/>
      <c r="AD146" s="129"/>
      <c r="AE146" s="129"/>
      <c r="AF146" s="129"/>
      <c r="AG146" s="129"/>
      <c r="AH146" s="129"/>
    </row>
    <row r="147" spans="1:34" ht="15" customHeight="1">
      <c r="A147" s="216"/>
      <c r="B147" s="218"/>
      <c r="C147" s="137" t="str">
        <f>IF(B146="","",SUM($D147:$AH147))</f>
        <v/>
      </c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</row>
    <row r="148" spans="1:34" ht="15" customHeight="1">
      <c r="A148" s="216">
        <v>72</v>
      </c>
      <c r="B148" s="217"/>
      <c r="C148" s="136" t="str">
        <f>IF(B148="","",SUM($D148:$AH148))</f>
        <v/>
      </c>
      <c r="D148" s="129"/>
      <c r="E148" s="129"/>
      <c r="F148" s="129"/>
      <c r="G148" s="129"/>
      <c r="H148" s="129"/>
      <c r="I148" s="129"/>
      <c r="J148" s="129"/>
      <c r="K148" s="129"/>
      <c r="L148" s="129"/>
      <c r="M148" s="129"/>
      <c r="N148" s="129"/>
      <c r="O148" s="129"/>
      <c r="P148" s="129"/>
      <c r="Q148" s="129"/>
      <c r="R148" s="129"/>
      <c r="S148" s="129"/>
      <c r="T148" s="129"/>
      <c r="U148" s="129"/>
      <c r="V148" s="129"/>
      <c r="W148" s="129"/>
      <c r="X148" s="129"/>
      <c r="Y148" s="129"/>
      <c r="Z148" s="129"/>
      <c r="AA148" s="129"/>
      <c r="AB148" s="129"/>
      <c r="AC148" s="129"/>
      <c r="AD148" s="129"/>
      <c r="AE148" s="129"/>
      <c r="AF148" s="129"/>
      <c r="AG148" s="129"/>
      <c r="AH148" s="129"/>
    </row>
    <row r="149" spans="1:34" ht="15" customHeight="1">
      <c r="A149" s="216"/>
      <c r="B149" s="218"/>
      <c r="C149" s="137" t="str">
        <f>IF(B148="","",SUM($D149:$AH149))</f>
        <v/>
      </c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</row>
    <row r="150" spans="1:34" ht="15" customHeight="1">
      <c r="A150" s="216">
        <v>73</v>
      </c>
      <c r="B150" s="217"/>
      <c r="C150" s="136" t="str">
        <f>IF(B150="","",SUM($D150:$AH150))</f>
        <v/>
      </c>
      <c r="D150" s="129"/>
      <c r="E150" s="129"/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29"/>
      <c r="V150" s="129"/>
      <c r="W150" s="129"/>
      <c r="X150" s="129"/>
      <c r="Y150" s="129"/>
      <c r="Z150" s="129"/>
      <c r="AA150" s="129"/>
      <c r="AB150" s="129"/>
      <c r="AC150" s="129"/>
      <c r="AD150" s="129"/>
      <c r="AE150" s="129"/>
      <c r="AF150" s="129"/>
      <c r="AG150" s="129"/>
      <c r="AH150" s="129"/>
    </row>
    <row r="151" spans="1:34" ht="15" customHeight="1">
      <c r="A151" s="216"/>
      <c r="B151" s="218"/>
      <c r="C151" s="137" t="str">
        <f>IF(B150="","",SUM($D151:$AH151))</f>
        <v/>
      </c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28"/>
    </row>
    <row r="152" spans="1:34" ht="15" customHeight="1">
      <c r="A152" s="216">
        <v>74</v>
      </c>
      <c r="B152" s="217"/>
      <c r="C152" s="136" t="str">
        <f>IF(B152="","",SUM($D152:$AH152))</f>
        <v/>
      </c>
      <c r="D152" s="129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  <c r="AB152" s="129"/>
      <c r="AC152" s="129"/>
      <c r="AD152" s="129"/>
      <c r="AE152" s="129"/>
      <c r="AF152" s="129"/>
      <c r="AG152" s="129"/>
      <c r="AH152" s="129"/>
    </row>
    <row r="153" spans="1:34" ht="15" customHeight="1">
      <c r="A153" s="216"/>
      <c r="B153" s="218"/>
      <c r="C153" s="137" t="str">
        <f>IF(B152="","",SUM($D153:$AH153))</f>
        <v/>
      </c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</row>
    <row r="154" spans="1:34" ht="15" customHeight="1">
      <c r="A154" s="216">
        <v>75</v>
      </c>
      <c r="B154" s="217"/>
      <c r="C154" s="136" t="str">
        <f>IF(B154="","",SUM($D154:$AH154))</f>
        <v/>
      </c>
      <c r="D154" s="129"/>
      <c r="E154" s="129"/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29"/>
      <c r="S154" s="129"/>
      <c r="T154" s="129"/>
      <c r="U154" s="129"/>
      <c r="V154" s="129"/>
      <c r="W154" s="129"/>
      <c r="X154" s="129"/>
      <c r="Y154" s="129"/>
      <c r="Z154" s="129"/>
      <c r="AA154" s="129"/>
      <c r="AB154" s="129"/>
      <c r="AC154" s="129"/>
      <c r="AD154" s="129"/>
      <c r="AE154" s="129"/>
      <c r="AF154" s="129"/>
      <c r="AG154" s="129"/>
      <c r="AH154" s="129"/>
    </row>
    <row r="155" spans="1:34" ht="15" customHeight="1">
      <c r="A155" s="216"/>
      <c r="B155" s="218"/>
      <c r="C155" s="137" t="str">
        <f>IF(B154="","",SUM($D155:$AH155))</f>
        <v/>
      </c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</row>
    <row r="156" spans="1:34" ht="15" customHeight="1">
      <c r="A156" s="216">
        <v>76</v>
      </c>
      <c r="B156" s="217"/>
      <c r="C156" s="136" t="str">
        <f>IF(B156="","",SUM($D156:$AH156))</f>
        <v/>
      </c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29"/>
    </row>
    <row r="157" spans="1:34" ht="15" customHeight="1">
      <c r="A157" s="216"/>
      <c r="B157" s="218"/>
      <c r="C157" s="137" t="str">
        <f>IF(B156="","",SUM($D157:$AH157))</f>
        <v/>
      </c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</row>
    <row r="158" spans="1:34" ht="15" customHeight="1">
      <c r="A158" s="216">
        <v>77</v>
      </c>
      <c r="B158" s="217"/>
      <c r="C158" s="136" t="str">
        <f>IF(B158="","",SUM($D158:$AH158))</f>
        <v/>
      </c>
      <c r="D158" s="129"/>
      <c r="E158" s="129"/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29"/>
      <c r="V158" s="129"/>
      <c r="W158" s="129"/>
      <c r="X158" s="129"/>
      <c r="Y158" s="129"/>
      <c r="Z158" s="129"/>
      <c r="AA158" s="129"/>
      <c r="AB158" s="129"/>
      <c r="AC158" s="129"/>
      <c r="AD158" s="129"/>
      <c r="AE158" s="129"/>
      <c r="AF158" s="129"/>
      <c r="AG158" s="129"/>
      <c r="AH158" s="129"/>
    </row>
    <row r="159" spans="1:34" ht="15" customHeight="1">
      <c r="A159" s="216"/>
      <c r="B159" s="218"/>
      <c r="C159" s="137" t="str">
        <f>IF(B158="","",SUM($D159:$AH159))</f>
        <v/>
      </c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</row>
    <row r="160" spans="1:34" ht="15" customHeight="1">
      <c r="A160" s="216">
        <v>78</v>
      </c>
      <c r="B160" s="217"/>
      <c r="C160" s="136" t="str">
        <f>IF(B160="","",SUM($D160:$AH160))</f>
        <v/>
      </c>
      <c r="D160" s="129"/>
      <c r="E160" s="129"/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29"/>
    </row>
    <row r="161" spans="1:34" ht="15" customHeight="1">
      <c r="A161" s="216"/>
      <c r="B161" s="218"/>
      <c r="C161" s="137" t="str">
        <f>IF(B160="","",SUM($D161:$AH161))</f>
        <v/>
      </c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</row>
    <row r="162" spans="1:34" ht="15" customHeight="1">
      <c r="A162" s="216">
        <v>79</v>
      </c>
      <c r="B162" s="217"/>
      <c r="C162" s="136" t="str">
        <f>IF(B162="","",SUM($D162:$AH162))</f>
        <v/>
      </c>
      <c r="D162" s="129"/>
      <c r="E162" s="129"/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29"/>
    </row>
    <row r="163" spans="1:34" ht="15" customHeight="1">
      <c r="A163" s="216"/>
      <c r="B163" s="218"/>
      <c r="C163" s="137" t="str">
        <f>IF(B162="","",SUM($D163:$AH163))</f>
        <v/>
      </c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</row>
    <row r="164" spans="1:34" ht="15" customHeight="1">
      <c r="A164" s="216">
        <v>80</v>
      </c>
      <c r="B164" s="217"/>
      <c r="C164" s="136" t="str">
        <f>IF(B164="","",SUM($D164:$AH164))</f>
        <v/>
      </c>
      <c r="D164" s="129"/>
      <c r="E164" s="129"/>
      <c r="F164" s="129"/>
      <c r="G164" s="129"/>
      <c r="H164" s="129"/>
      <c r="I164" s="129"/>
      <c r="J164" s="129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29"/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9"/>
      <c r="AF164" s="129"/>
      <c r="AG164" s="129"/>
      <c r="AH164" s="129"/>
    </row>
    <row r="165" spans="1:34" ht="15" customHeight="1">
      <c r="A165" s="216"/>
      <c r="B165" s="218"/>
      <c r="C165" s="137" t="str">
        <f>IF(B164="","",SUM($D165:$AH165))</f>
        <v/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</row>
    <row r="166" spans="1:34" ht="15" customHeight="1">
      <c r="A166" s="216">
        <v>81</v>
      </c>
      <c r="B166" s="217"/>
      <c r="C166" s="136" t="str">
        <f>IF(B166="","",SUM($D166:$AH166))</f>
        <v/>
      </c>
      <c r="D166" s="129"/>
      <c r="E166" s="129"/>
      <c r="F166" s="129"/>
      <c r="G166" s="129"/>
      <c r="H166" s="129"/>
      <c r="I166" s="129"/>
      <c r="J166" s="129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29"/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9"/>
      <c r="AF166" s="129"/>
      <c r="AG166" s="129"/>
      <c r="AH166" s="129"/>
    </row>
    <row r="167" spans="1:34" ht="15" customHeight="1">
      <c r="A167" s="216"/>
      <c r="B167" s="218"/>
      <c r="C167" s="137" t="str">
        <f>IF(B166="","",SUM($D167:$AH167))</f>
        <v/>
      </c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</row>
    <row r="168" spans="1:34" ht="15" customHeight="1">
      <c r="A168" s="216">
        <v>82</v>
      </c>
      <c r="B168" s="217"/>
      <c r="C168" s="136" t="str">
        <f>IF(B168="","",SUM($D168:$AH168))</f>
        <v/>
      </c>
      <c r="D168" s="129"/>
      <c r="E168" s="129"/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29"/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9"/>
      <c r="AF168" s="129"/>
      <c r="AG168" s="129"/>
      <c r="AH168" s="129"/>
    </row>
    <row r="169" spans="1:34" ht="15" customHeight="1">
      <c r="A169" s="216"/>
      <c r="B169" s="218"/>
      <c r="C169" s="137" t="str">
        <f>IF(B168="","",SUM($D169:$AH169))</f>
        <v/>
      </c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</row>
    <row r="170" spans="1:34" ht="15" customHeight="1">
      <c r="A170" s="216">
        <v>83</v>
      </c>
      <c r="B170" s="217"/>
      <c r="C170" s="136" t="str">
        <f>IF(B170="","",SUM($D170:$AH170))</f>
        <v/>
      </c>
      <c r="D170" s="129"/>
      <c r="E170" s="129"/>
      <c r="F170" s="129"/>
      <c r="G170" s="129"/>
      <c r="H170" s="129"/>
      <c r="I170" s="129"/>
      <c r="J170" s="129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29"/>
      <c r="V170" s="129"/>
      <c r="W170" s="129"/>
      <c r="X170" s="129"/>
      <c r="Y170" s="129"/>
      <c r="Z170" s="129"/>
      <c r="AA170" s="129"/>
      <c r="AB170" s="129"/>
      <c r="AC170" s="129"/>
      <c r="AD170" s="129"/>
      <c r="AE170" s="129"/>
      <c r="AF170" s="129"/>
      <c r="AG170" s="129"/>
      <c r="AH170" s="129"/>
    </row>
    <row r="171" spans="1:34" ht="15" customHeight="1">
      <c r="A171" s="216"/>
      <c r="B171" s="218"/>
      <c r="C171" s="137" t="str">
        <f>IF(B170="","",SUM($D171:$AH171))</f>
        <v/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</row>
    <row r="172" spans="1:34" ht="15" customHeight="1">
      <c r="A172" s="216">
        <v>84</v>
      </c>
      <c r="B172" s="217"/>
      <c r="C172" s="136" t="str">
        <f>IF(B172="","",SUM($D172:$AH172))</f>
        <v/>
      </c>
      <c r="D172" s="129"/>
      <c r="E172" s="129"/>
      <c r="F172" s="129"/>
      <c r="G172" s="129"/>
      <c r="H172" s="129"/>
      <c r="I172" s="129"/>
      <c r="J172" s="129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29"/>
      <c r="V172" s="129"/>
      <c r="W172" s="129"/>
      <c r="X172" s="129"/>
      <c r="Y172" s="129"/>
      <c r="Z172" s="129"/>
      <c r="AA172" s="129"/>
      <c r="AB172" s="129"/>
      <c r="AC172" s="129"/>
      <c r="AD172" s="129"/>
      <c r="AE172" s="129"/>
      <c r="AF172" s="129"/>
      <c r="AG172" s="129"/>
      <c r="AH172" s="129"/>
    </row>
    <row r="173" spans="1:34" ht="15" customHeight="1">
      <c r="A173" s="216"/>
      <c r="B173" s="218"/>
      <c r="C173" s="137" t="str">
        <f>IF(B172="","",SUM($D173:$AH173))</f>
        <v/>
      </c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</row>
    <row r="174" spans="1:34" ht="15" customHeight="1">
      <c r="A174" s="216">
        <v>85</v>
      </c>
      <c r="B174" s="217"/>
      <c r="C174" s="136" t="str">
        <f>IF(B174="","",SUM($D174:$AH174))</f>
        <v/>
      </c>
      <c r="D174" s="129"/>
      <c r="E174" s="129"/>
      <c r="F174" s="129"/>
      <c r="G174" s="129"/>
      <c r="H174" s="129"/>
      <c r="I174" s="129"/>
      <c r="J174" s="129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29"/>
      <c r="V174" s="129"/>
      <c r="W174" s="129"/>
      <c r="X174" s="129"/>
      <c r="Y174" s="129"/>
      <c r="Z174" s="129"/>
      <c r="AA174" s="129"/>
      <c r="AB174" s="129"/>
      <c r="AC174" s="129"/>
      <c r="AD174" s="129"/>
      <c r="AE174" s="129"/>
      <c r="AF174" s="129"/>
      <c r="AG174" s="129"/>
      <c r="AH174" s="129"/>
    </row>
    <row r="175" spans="1:34" ht="15" customHeight="1">
      <c r="A175" s="216"/>
      <c r="B175" s="218"/>
      <c r="C175" s="137" t="str">
        <f>IF(B174="","",SUM($D175:$AH175))</f>
        <v/>
      </c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</row>
    <row r="176" spans="1:34" ht="15" customHeight="1">
      <c r="A176" s="216">
        <v>86</v>
      </c>
      <c r="B176" s="217"/>
      <c r="C176" s="136" t="str">
        <f>IF(B176="","",SUM($D176:$AH176))</f>
        <v/>
      </c>
      <c r="D176" s="129"/>
      <c r="E176" s="129"/>
      <c r="F176" s="129"/>
      <c r="G176" s="129"/>
      <c r="H176" s="129"/>
      <c r="I176" s="129"/>
      <c r="J176" s="129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29"/>
      <c r="V176" s="129"/>
      <c r="W176" s="129"/>
      <c r="X176" s="129"/>
      <c r="Y176" s="129"/>
      <c r="Z176" s="129"/>
      <c r="AA176" s="129"/>
      <c r="AB176" s="129"/>
      <c r="AC176" s="129"/>
      <c r="AD176" s="129"/>
      <c r="AE176" s="129"/>
      <c r="AF176" s="129"/>
      <c r="AG176" s="129"/>
      <c r="AH176" s="129"/>
    </row>
    <row r="177" spans="1:34" ht="15" customHeight="1">
      <c r="A177" s="216"/>
      <c r="B177" s="218"/>
      <c r="C177" s="137" t="str">
        <f>IF(B176="","",SUM($D177:$AH177))</f>
        <v/>
      </c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</row>
    <row r="178" spans="1:34" ht="15" customHeight="1">
      <c r="A178" s="216">
        <v>87</v>
      </c>
      <c r="B178" s="217"/>
      <c r="C178" s="136" t="str">
        <f>IF(B178="","",SUM($D178:$AH178))</f>
        <v/>
      </c>
      <c r="D178" s="129"/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29"/>
      <c r="AE178" s="129"/>
      <c r="AF178" s="129"/>
      <c r="AG178" s="129"/>
      <c r="AH178" s="129"/>
    </row>
    <row r="179" spans="1:34" ht="15" customHeight="1">
      <c r="A179" s="216"/>
      <c r="B179" s="218"/>
      <c r="C179" s="137" t="str">
        <f>IF(B178="","",SUM($D179:$AH179))</f>
        <v/>
      </c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28"/>
      <c r="AH179" s="128"/>
    </row>
    <row r="180" spans="1:34" ht="15" customHeight="1">
      <c r="A180" s="216">
        <v>88</v>
      </c>
      <c r="B180" s="217"/>
      <c r="C180" s="136" t="str">
        <f>IF(B180="","",SUM($D180:$AH180))</f>
        <v/>
      </c>
      <c r="D180" s="129"/>
      <c r="E180" s="129"/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</row>
    <row r="181" spans="1:34" ht="15" customHeight="1">
      <c r="A181" s="216"/>
      <c r="B181" s="218"/>
      <c r="C181" s="137" t="str">
        <f>IF(B180="","",SUM($D181:$AH181))</f>
        <v/>
      </c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</row>
    <row r="182" spans="1:34" ht="15" customHeight="1">
      <c r="A182" s="216">
        <v>89</v>
      </c>
      <c r="B182" s="217"/>
      <c r="C182" s="136" t="str">
        <f>IF(B182="","",SUM($D182:$AH182))</f>
        <v/>
      </c>
      <c r="D182" s="129"/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</row>
    <row r="183" spans="1:34" ht="15" customHeight="1">
      <c r="A183" s="216"/>
      <c r="B183" s="218"/>
      <c r="C183" s="137" t="str">
        <f>IF(B182="","",SUM($D183:$AH183))</f>
        <v/>
      </c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</row>
    <row r="184" spans="1:34" ht="15" customHeight="1">
      <c r="A184" s="216">
        <v>90</v>
      </c>
      <c r="B184" s="217"/>
      <c r="C184" s="136" t="str">
        <f>IF(B184="","",SUM($D184:$AH184))</f>
        <v/>
      </c>
      <c r="D184" s="129"/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29"/>
      <c r="AE184" s="129"/>
      <c r="AF184" s="129"/>
      <c r="AG184" s="129"/>
      <c r="AH184" s="129"/>
    </row>
    <row r="185" spans="1:34" ht="15" customHeight="1">
      <c r="A185" s="216"/>
      <c r="B185" s="218"/>
      <c r="C185" s="137" t="str">
        <f>IF(B184="","",SUM($D185:$AH185))</f>
        <v/>
      </c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</row>
    <row r="186" spans="1:34" ht="15" customHeight="1">
      <c r="A186" s="216">
        <v>91</v>
      </c>
      <c r="B186" s="217"/>
      <c r="C186" s="136" t="str">
        <f>IF(B186="","",SUM($D186:$AH186))</f>
        <v/>
      </c>
      <c r="D186" s="129"/>
      <c r="E186" s="129"/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29"/>
      <c r="AE186" s="129"/>
      <c r="AF186" s="129"/>
      <c r="AG186" s="129"/>
      <c r="AH186" s="129"/>
    </row>
    <row r="187" spans="1:34" ht="15" customHeight="1">
      <c r="A187" s="216"/>
      <c r="B187" s="218"/>
      <c r="C187" s="137" t="str">
        <f>IF(B186="","",SUM($D187:$AH187))</f>
        <v/>
      </c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</row>
    <row r="188" spans="1:34" ht="15" customHeight="1">
      <c r="A188" s="216">
        <v>92</v>
      </c>
      <c r="B188" s="217"/>
      <c r="C188" s="136" t="str">
        <f>IF(B188="","",SUM($D188:$AH188))</f>
        <v/>
      </c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</row>
    <row r="189" spans="1:34" ht="15" customHeight="1">
      <c r="A189" s="216"/>
      <c r="B189" s="218"/>
      <c r="C189" s="137" t="str">
        <f>IF(B188="","",SUM($D189:$AH189))</f>
        <v/>
      </c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</row>
    <row r="190" spans="1:34" ht="15" customHeight="1">
      <c r="A190" s="216">
        <v>93</v>
      </c>
      <c r="B190" s="217"/>
      <c r="C190" s="136" t="str">
        <f>IF(B190="","",SUM($D190:$AH190))</f>
        <v/>
      </c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</row>
    <row r="191" spans="1:34" ht="15" customHeight="1">
      <c r="A191" s="216"/>
      <c r="B191" s="218"/>
      <c r="C191" s="137" t="str">
        <f>IF(B190="","",SUM($D191:$AH191))</f>
        <v/>
      </c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</row>
    <row r="192" spans="1:34" ht="15" customHeight="1">
      <c r="A192" s="216">
        <v>94</v>
      </c>
      <c r="B192" s="217"/>
      <c r="C192" s="136" t="str">
        <f>IF(B192="","",SUM($D192:$AH192))</f>
        <v/>
      </c>
      <c r="D192" s="129"/>
      <c r="E192" s="129"/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29"/>
      <c r="AE192" s="129"/>
      <c r="AF192" s="129"/>
      <c r="AG192" s="129"/>
      <c r="AH192" s="129"/>
    </row>
    <row r="193" spans="1:34" ht="15" customHeight="1">
      <c r="A193" s="216"/>
      <c r="B193" s="218"/>
      <c r="C193" s="137" t="str">
        <f>IF(B192="","",SUM($D193:$AH193))</f>
        <v/>
      </c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</row>
    <row r="194" spans="1:34" ht="15" customHeight="1">
      <c r="A194" s="216">
        <v>95</v>
      </c>
      <c r="B194" s="217"/>
      <c r="C194" s="136" t="str">
        <f>IF(B194="","",SUM($D194:$AH194))</f>
        <v/>
      </c>
      <c r="D194" s="129"/>
      <c r="E194" s="129"/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29"/>
      <c r="AE194" s="129"/>
      <c r="AF194" s="129"/>
      <c r="AG194" s="129"/>
      <c r="AH194" s="129"/>
    </row>
    <row r="195" spans="1:34" ht="15" customHeight="1">
      <c r="A195" s="216"/>
      <c r="B195" s="218"/>
      <c r="C195" s="137" t="str">
        <f>IF(B194="","",SUM($D195:$AH195))</f>
        <v/>
      </c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</row>
    <row r="196" spans="1:34" ht="15" customHeight="1">
      <c r="A196" s="216">
        <v>96</v>
      </c>
      <c r="B196" s="217"/>
      <c r="C196" s="136" t="str">
        <f>IF(B196="","",SUM($D196:$AH196))</f>
        <v/>
      </c>
      <c r="D196" s="129"/>
      <c r="E196" s="129"/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29"/>
      <c r="AE196" s="129"/>
      <c r="AF196" s="129"/>
      <c r="AG196" s="129"/>
      <c r="AH196" s="129"/>
    </row>
    <row r="197" spans="1:34" ht="15" customHeight="1">
      <c r="A197" s="216"/>
      <c r="B197" s="218"/>
      <c r="C197" s="137" t="str">
        <f>IF(B196="","",SUM($D197:$AH197))</f>
        <v/>
      </c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</row>
    <row r="198" spans="1:34" ht="15" customHeight="1">
      <c r="A198" s="216">
        <v>97</v>
      </c>
      <c r="B198" s="217"/>
      <c r="C198" s="136" t="str">
        <f>IF(B198="","",SUM($D198:$AH198))</f>
        <v/>
      </c>
      <c r="D198" s="129"/>
      <c r="E198" s="129"/>
      <c r="F198" s="129"/>
      <c r="G198" s="129"/>
      <c r="H198" s="129"/>
      <c r="I198" s="129"/>
      <c r="J198" s="129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</row>
    <row r="199" spans="1:34" ht="15" customHeight="1">
      <c r="A199" s="216"/>
      <c r="B199" s="218"/>
      <c r="C199" s="137" t="str">
        <f>IF(B198="","",SUM($D199:$AH199))</f>
        <v/>
      </c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</row>
    <row r="200" spans="1:34" ht="15" customHeight="1">
      <c r="A200" s="216">
        <v>98</v>
      </c>
      <c r="B200" s="217"/>
      <c r="C200" s="136" t="str">
        <f>IF(B200="","",SUM($D200:$AH200))</f>
        <v/>
      </c>
      <c r="D200" s="129"/>
      <c r="E200" s="129"/>
      <c r="F200" s="129"/>
      <c r="G200" s="129"/>
      <c r="H200" s="129"/>
      <c r="I200" s="129"/>
      <c r="J200" s="129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29"/>
      <c r="V200" s="129"/>
      <c r="W200" s="129"/>
      <c r="X200" s="129"/>
      <c r="Y200" s="129"/>
      <c r="Z200" s="129"/>
      <c r="AA200" s="129"/>
      <c r="AB200" s="129"/>
      <c r="AC200" s="129"/>
      <c r="AD200" s="129"/>
      <c r="AE200" s="129"/>
      <c r="AF200" s="129"/>
      <c r="AG200" s="129"/>
      <c r="AH200" s="129"/>
    </row>
    <row r="201" spans="1:34" ht="15" customHeight="1">
      <c r="A201" s="216"/>
      <c r="B201" s="218"/>
      <c r="C201" s="137" t="str">
        <f>IF(B200="","",SUM($D201:$AH201))</f>
        <v/>
      </c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</row>
    <row r="202" spans="1:34" ht="15" customHeight="1">
      <c r="A202" s="216">
        <v>99</v>
      </c>
      <c r="B202" s="217"/>
      <c r="C202" s="136" t="str">
        <f>IF(B202="","",SUM($D202:$AH202))</f>
        <v/>
      </c>
      <c r="D202" s="129"/>
      <c r="E202" s="129"/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9"/>
      <c r="AF202" s="129"/>
      <c r="AG202" s="129"/>
      <c r="AH202" s="129"/>
    </row>
    <row r="203" spans="1:34" ht="15" customHeight="1">
      <c r="A203" s="216"/>
      <c r="B203" s="218"/>
      <c r="C203" s="137" t="str">
        <f>IF(B202="","",SUM($D203:$AH203))</f>
        <v/>
      </c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</row>
    <row r="204" spans="1:34" ht="15" customHeight="1">
      <c r="A204" s="216">
        <v>100</v>
      </c>
      <c r="B204" s="217"/>
      <c r="C204" s="136" t="str">
        <f>IF(B204="","",SUM($D204:$AH204))</f>
        <v/>
      </c>
      <c r="D204" s="129"/>
      <c r="E204" s="129"/>
      <c r="F204" s="129"/>
      <c r="G204" s="129"/>
      <c r="H204" s="129"/>
      <c r="I204" s="129"/>
      <c r="J204" s="129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29"/>
      <c r="V204" s="129"/>
      <c r="W204" s="129"/>
      <c r="X204" s="129"/>
      <c r="Y204" s="129"/>
      <c r="Z204" s="129"/>
      <c r="AA204" s="129"/>
      <c r="AB204" s="129"/>
      <c r="AC204" s="129"/>
      <c r="AD204" s="129"/>
      <c r="AE204" s="129"/>
      <c r="AF204" s="129"/>
      <c r="AG204" s="129"/>
      <c r="AH204" s="129"/>
    </row>
    <row r="205" spans="1:34" ht="15" customHeight="1">
      <c r="A205" s="216"/>
      <c r="B205" s="218"/>
      <c r="C205" s="137" t="str">
        <f>IF(B204="","",SUM($D205:$AH205))</f>
        <v/>
      </c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</row>
    <row r="206" spans="1:34" ht="15" customHeight="1">
      <c r="A206" s="216">
        <v>101</v>
      </c>
      <c r="B206" s="217"/>
      <c r="C206" s="136" t="str">
        <f>IF(B206="","",SUM($D206:$AH206))</f>
        <v/>
      </c>
      <c r="D206" s="129"/>
      <c r="E206" s="129"/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9"/>
      <c r="AF206" s="129"/>
      <c r="AG206" s="129"/>
      <c r="AH206" s="129"/>
    </row>
    <row r="207" spans="1:34" ht="15" customHeight="1">
      <c r="A207" s="216"/>
      <c r="B207" s="218"/>
      <c r="C207" s="137" t="str">
        <f>IF(B206="","",SUM($D207:$AH207))</f>
        <v/>
      </c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</row>
    <row r="208" spans="1:34" ht="15" customHeight="1">
      <c r="A208" s="216">
        <v>102</v>
      </c>
      <c r="B208" s="217"/>
      <c r="C208" s="136" t="str">
        <f>IF(B208="","",SUM($D208:$AH208))</f>
        <v/>
      </c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129"/>
    </row>
    <row r="209" spans="1:34" ht="15" customHeight="1">
      <c r="A209" s="216"/>
      <c r="B209" s="218"/>
      <c r="C209" s="137" t="str">
        <f>IF(B208="","",SUM($D209:$AH209))</f>
        <v/>
      </c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</row>
    <row r="210" spans="1:34" ht="15" customHeight="1">
      <c r="A210" s="216">
        <v>103</v>
      </c>
      <c r="B210" s="217"/>
      <c r="C210" s="136" t="str">
        <f>IF(B210="","",SUM($D210:$AH210))</f>
        <v/>
      </c>
      <c r="D210" s="129"/>
      <c r="E210" s="129"/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9"/>
      <c r="AF210" s="129"/>
      <c r="AG210" s="129"/>
      <c r="AH210" s="129"/>
    </row>
    <row r="211" spans="1:34" ht="15" customHeight="1">
      <c r="A211" s="216"/>
      <c r="B211" s="218"/>
      <c r="C211" s="137" t="str">
        <f>IF(B210="","",SUM($D211:$AH211))</f>
        <v/>
      </c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</row>
    <row r="212" spans="1:34" ht="15" customHeight="1">
      <c r="A212" s="216">
        <v>104</v>
      </c>
      <c r="B212" s="217"/>
      <c r="C212" s="136" t="str">
        <f>IF(B212="","",SUM($D212:$AH212))</f>
        <v/>
      </c>
      <c r="D212" s="129"/>
      <c r="E212" s="129"/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129"/>
    </row>
    <row r="213" spans="1:34" ht="15" customHeight="1">
      <c r="A213" s="216"/>
      <c r="B213" s="218"/>
      <c r="C213" s="137" t="str">
        <f>IF(B212="","",SUM($D213:$AH213))</f>
        <v/>
      </c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</row>
    <row r="214" spans="1:34" ht="15" customHeight="1">
      <c r="A214" s="216">
        <v>105</v>
      </c>
      <c r="B214" s="217"/>
      <c r="C214" s="136" t="str">
        <f>IF(B214="","",SUM($D214:$AH214))</f>
        <v/>
      </c>
      <c r="D214" s="129"/>
      <c r="E214" s="129"/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9"/>
      <c r="AF214" s="129"/>
      <c r="AG214" s="129"/>
      <c r="AH214" s="129"/>
    </row>
    <row r="215" spans="1:34" ht="15" customHeight="1">
      <c r="A215" s="216"/>
      <c r="B215" s="218"/>
      <c r="C215" s="137" t="str">
        <f>IF(B214="","",SUM($D215:$AH215))</f>
        <v/>
      </c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</row>
    <row r="216" spans="1:34" ht="15" customHeight="1">
      <c r="A216" s="216">
        <v>106</v>
      </c>
      <c r="B216" s="217"/>
      <c r="C216" s="136" t="str">
        <f>IF(B216="","",SUM($D216:$AH216))</f>
        <v/>
      </c>
      <c r="D216" s="129"/>
      <c r="E216" s="129"/>
      <c r="F216" s="129"/>
      <c r="G216" s="129"/>
      <c r="H216" s="129"/>
      <c r="I216" s="129"/>
      <c r="J216" s="129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29"/>
      <c r="V216" s="129"/>
      <c r="W216" s="129"/>
      <c r="X216" s="129"/>
      <c r="Y216" s="129"/>
      <c r="Z216" s="129"/>
      <c r="AA216" s="129"/>
      <c r="AB216" s="129"/>
      <c r="AC216" s="129"/>
      <c r="AD216" s="129"/>
      <c r="AE216" s="129"/>
      <c r="AF216" s="129"/>
      <c r="AG216" s="129"/>
      <c r="AH216" s="129"/>
    </row>
    <row r="217" spans="1:34" ht="15" customHeight="1">
      <c r="A217" s="216"/>
      <c r="B217" s="218"/>
      <c r="C217" s="137" t="str">
        <f>IF(B216="","",SUM($D217:$AH217))</f>
        <v/>
      </c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</row>
    <row r="218" spans="1:34" ht="15" customHeight="1">
      <c r="A218" s="216">
        <v>107</v>
      </c>
      <c r="B218" s="217"/>
      <c r="C218" s="136" t="str">
        <f>IF(B218="","",SUM($D218:$AH218))</f>
        <v/>
      </c>
      <c r="D218" s="129"/>
      <c r="E218" s="129"/>
      <c r="F218" s="129"/>
      <c r="G218" s="129"/>
      <c r="H218" s="129"/>
      <c r="I218" s="129"/>
      <c r="J218" s="129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29"/>
      <c r="V218" s="129"/>
      <c r="W218" s="129"/>
      <c r="X218" s="129"/>
      <c r="Y218" s="129"/>
      <c r="Z218" s="129"/>
      <c r="AA218" s="129"/>
      <c r="AB218" s="129"/>
      <c r="AC218" s="129"/>
      <c r="AD218" s="129"/>
      <c r="AE218" s="129"/>
      <c r="AF218" s="129"/>
      <c r="AG218" s="129"/>
      <c r="AH218" s="129"/>
    </row>
    <row r="219" spans="1:34" ht="15" customHeight="1">
      <c r="A219" s="216"/>
      <c r="B219" s="218"/>
      <c r="C219" s="137" t="str">
        <f>IF(B218="","",SUM($D219:$AH219))</f>
        <v/>
      </c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</row>
    <row r="220" spans="1:34" ht="15" customHeight="1">
      <c r="A220" s="216">
        <v>108</v>
      </c>
      <c r="B220" s="217"/>
      <c r="C220" s="136" t="str">
        <f>IF(B220="","",SUM($D220:$AH220))</f>
        <v/>
      </c>
      <c r="D220" s="129"/>
      <c r="E220" s="129"/>
      <c r="F220" s="129"/>
      <c r="G220" s="129"/>
      <c r="H220" s="129"/>
      <c r="I220" s="129"/>
      <c r="J220" s="129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9"/>
      <c r="AF220" s="129"/>
      <c r="AG220" s="129"/>
      <c r="AH220" s="129"/>
    </row>
    <row r="221" spans="1:34" ht="15" customHeight="1">
      <c r="A221" s="216"/>
      <c r="B221" s="218"/>
      <c r="C221" s="137" t="str">
        <f>IF(B220="","",SUM($D221:$AH221))</f>
        <v/>
      </c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</row>
    <row r="222" spans="1:34" ht="15" customHeight="1">
      <c r="A222" s="216">
        <v>109</v>
      </c>
      <c r="B222" s="217"/>
      <c r="C222" s="136" t="str">
        <f>IF(B222="","",SUM($D222:$AH222))</f>
        <v/>
      </c>
      <c r="D222" s="129"/>
      <c r="E222" s="129"/>
      <c r="F222" s="129"/>
      <c r="G222" s="129"/>
      <c r="H222" s="129"/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9"/>
      <c r="AF222" s="129"/>
      <c r="AG222" s="129"/>
      <c r="AH222" s="129"/>
    </row>
    <row r="223" spans="1:34" ht="15" customHeight="1">
      <c r="A223" s="216"/>
      <c r="B223" s="218"/>
      <c r="C223" s="137" t="str">
        <f>IF(B222="","",SUM($D223:$AH223))</f>
        <v/>
      </c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</row>
    <row r="224" spans="1:34" ht="15" customHeight="1">
      <c r="A224" s="216">
        <v>110</v>
      </c>
      <c r="B224" s="217"/>
      <c r="C224" s="136" t="str">
        <f>IF(B224="","",SUM($D224:$AH224))</f>
        <v/>
      </c>
      <c r="D224" s="129"/>
      <c r="E224" s="129"/>
      <c r="F224" s="129"/>
      <c r="G224" s="129"/>
      <c r="H224" s="129"/>
      <c r="I224" s="129"/>
      <c r="J224" s="129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29"/>
      <c r="V224" s="129"/>
      <c r="W224" s="129"/>
      <c r="X224" s="129"/>
      <c r="Y224" s="129"/>
      <c r="Z224" s="129"/>
      <c r="AA224" s="129"/>
      <c r="AB224" s="129"/>
      <c r="AC224" s="129"/>
      <c r="AD224" s="129"/>
      <c r="AE224" s="129"/>
      <c r="AF224" s="129"/>
      <c r="AG224" s="129"/>
      <c r="AH224" s="129"/>
    </row>
    <row r="225" spans="1:34" ht="15" customHeight="1">
      <c r="A225" s="216"/>
      <c r="B225" s="218"/>
      <c r="C225" s="137" t="str">
        <f>IF(B224="","",SUM($D225:$AH225))</f>
        <v/>
      </c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</row>
    <row r="227" spans="1:34" hidden="1">
      <c r="B227" s="138">
        <f>年</f>
        <v>2025</v>
      </c>
      <c r="C227" s="139" t="s">
        <v>732</v>
      </c>
      <c r="D227" s="139">
        <f>D$4</f>
        <v>1</v>
      </c>
      <c r="E227" s="139">
        <f t="shared" ref="E227:AH227" si="1">E$4</f>
        <v>2</v>
      </c>
      <c r="F227" s="139">
        <f t="shared" si="1"/>
        <v>3</v>
      </c>
      <c r="G227" s="139">
        <f t="shared" si="1"/>
        <v>4</v>
      </c>
      <c r="H227" s="139">
        <f t="shared" si="1"/>
        <v>5</v>
      </c>
      <c r="I227" s="139">
        <f t="shared" si="1"/>
        <v>6</v>
      </c>
      <c r="J227" s="139">
        <f t="shared" si="1"/>
        <v>7</v>
      </c>
      <c r="K227" s="139">
        <f t="shared" si="1"/>
        <v>8</v>
      </c>
      <c r="L227" s="139">
        <f t="shared" si="1"/>
        <v>9</v>
      </c>
      <c r="M227" s="139">
        <f t="shared" si="1"/>
        <v>10</v>
      </c>
      <c r="N227" s="139">
        <f t="shared" si="1"/>
        <v>11</v>
      </c>
      <c r="O227" s="139">
        <f t="shared" si="1"/>
        <v>12</v>
      </c>
      <c r="P227" s="139">
        <f t="shared" si="1"/>
        <v>13</v>
      </c>
      <c r="Q227" s="139">
        <f t="shared" si="1"/>
        <v>14</v>
      </c>
      <c r="R227" s="139">
        <f t="shared" si="1"/>
        <v>15</v>
      </c>
      <c r="S227" s="139">
        <f t="shared" si="1"/>
        <v>16</v>
      </c>
      <c r="T227" s="139">
        <f t="shared" si="1"/>
        <v>17</v>
      </c>
      <c r="U227" s="139">
        <f t="shared" si="1"/>
        <v>18</v>
      </c>
      <c r="V227" s="139">
        <f t="shared" si="1"/>
        <v>19</v>
      </c>
      <c r="W227" s="139">
        <f t="shared" si="1"/>
        <v>20</v>
      </c>
      <c r="X227" s="139">
        <f t="shared" si="1"/>
        <v>21</v>
      </c>
      <c r="Y227" s="139">
        <f t="shared" si="1"/>
        <v>22</v>
      </c>
      <c r="Z227" s="139">
        <f t="shared" si="1"/>
        <v>23</v>
      </c>
      <c r="AA227" s="139">
        <f t="shared" si="1"/>
        <v>24</v>
      </c>
      <c r="AB227" s="139">
        <f t="shared" si="1"/>
        <v>25</v>
      </c>
      <c r="AC227" s="139">
        <f t="shared" si="1"/>
        <v>26</v>
      </c>
      <c r="AD227" s="139">
        <f t="shared" si="1"/>
        <v>27</v>
      </c>
      <c r="AE227" s="139">
        <f t="shared" si="1"/>
        <v>28</v>
      </c>
      <c r="AF227" s="139" t="e">
        <f t="shared" si="1"/>
        <v>#NUM!</v>
      </c>
      <c r="AG227" s="139" t="e">
        <f t="shared" si="1"/>
        <v>#NUM!</v>
      </c>
      <c r="AH227" s="139" t="e">
        <f t="shared" si="1"/>
        <v>#NUM!</v>
      </c>
    </row>
    <row r="228" spans="1:34" hidden="1">
      <c r="B228" s="138">
        <f>年+1</f>
        <v>2026</v>
      </c>
      <c r="C228" s="139">
        <v>1</v>
      </c>
      <c r="D228" s="140"/>
      <c r="E228" s="140"/>
      <c r="F228" s="140"/>
      <c r="G228" s="140"/>
      <c r="H228" s="140"/>
      <c r="I228" s="140"/>
      <c r="J228" s="140"/>
      <c r="K228" s="140"/>
      <c r="L228" s="140"/>
      <c r="M228" s="140"/>
      <c r="N228" s="140"/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0"/>
    </row>
    <row r="229" spans="1:34" hidden="1">
      <c r="C229" s="139">
        <v>2</v>
      </c>
      <c r="D229" s="140"/>
      <c r="E229" s="140"/>
      <c r="F229" s="140"/>
      <c r="G229" s="140"/>
      <c r="H229" s="140"/>
      <c r="I229" s="140"/>
      <c r="J229" s="140"/>
      <c r="K229" s="140"/>
      <c r="L229" s="140"/>
      <c r="M229" s="140"/>
      <c r="N229" s="140"/>
      <c r="O229" s="140"/>
      <c r="P229" s="140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0"/>
      <c r="AH229" s="140"/>
    </row>
    <row r="230" spans="1:34" hidden="1">
      <c r="B230" s="138">
        <v>1</v>
      </c>
      <c r="C230" s="139">
        <v>3</v>
      </c>
      <c r="D230" s="140"/>
      <c r="E230" s="140"/>
      <c r="F230" s="140"/>
      <c r="G230" s="140"/>
      <c r="H230" s="140"/>
      <c r="I230" s="140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40"/>
      <c r="AF230" s="140"/>
      <c r="AG230" s="140"/>
      <c r="AH230" s="140"/>
    </row>
    <row r="231" spans="1:34" hidden="1">
      <c r="B231" s="138">
        <v>2</v>
      </c>
      <c r="C231" s="139">
        <v>4</v>
      </c>
      <c r="D231" s="140"/>
      <c r="E231" s="140"/>
      <c r="F231" s="140"/>
      <c r="G231" s="140"/>
      <c r="H231" s="140"/>
      <c r="I231" s="140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40"/>
      <c r="AF231" s="140"/>
      <c r="AG231" s="140"/>
      <c r="AH231" s="140"/>
    </row>
    <row r="232" spans="1:34" hidden="1">
      <c r="B232" s="138">
        <v>3</v>
      </c>
      <c r="C232" s="139">
        <v>5</v>
      </c>
      <c r="D232" s="140"/>
      <c r="E232" s="140"/>
      <c r="F232" s="140"/>
      <c r="G232" s="140"/>
      <c r="H232" s="140"/>
      <c r="I232" s="140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40"/>
      <c r="AF232" s="140"/>
      <c r="AG232" s="140"/>
      <c r="AH232" s="140"/>
    </row>
    <row r="233" spans="1:34" hidden="1">
      <c r="B233" s="138">
        <v>4</v>
      </c>
      <c r="C233" s="139">
        <v>6</v>
      </c>
      <c r="D233" s="140"/>
      <c r="E233" s="140"/>
      <c r="F233" s="140"/>
      <c r="G233" s="140"/>
      <c r="H233" s="140"/>
      <c r="I233" s="140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40"/>
      <c r="AF233" s="140"/>
      <c r="AG233" s="140"/>
      <c r="AH233" s="140"/>
    </row>
    <row r="234" spans="1:34" hidden="1">
      <c r="B234" s="138">
        <v>5</v>
      </c>
      <c r="C234" s="139">
        <v>7</v>
      </c>
      <c r="D234" s="140"/>
      <c r="E234" s="140"/>
      <c r="F234" s="140"/>
      <c r="G234" s="140"/>
      <c r="H234" s="140"/>
      <c r="I234" s="140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40"/>
      <c r="AF234" s="140"/>
      <c r="AG234" s="140"/>
      <c r="AH234" s="140"/>
    </row>
    <row r="235" spans="1:34" hidden="1">
      <c r="B235" s="138">
        <v>6</v>
      </c>
      <c r="C235" s="139">
        <v>8</v>
      </c>
      <c r="D235" s="140"/>
      <c r="E235" s="140"/>
      <c r="F235" s="140"/>
      <c r="G235" s="140"/>
      <c r="H235" s="140"/>
      <c r="I235" s="140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40"/>
      <c r="AF235" s="140"/>
      <c r="AG235" s="140"/>
      <c r="AH235" s="140"/>
    </row>
    <row r="236" spans="1:34" hidden="1">
      <c r="B236" s="138">
        <v>7</v>
      </c>
      <c r="C236" s="139">
        <v>9</v>
      </c>
      <c r="D236" s="140"/>
      <c r="E236" s="140"/>
      <c r="F236" s="140"/>
      <c r="G236" s="140"/>
      <c r="H236" s="140"/>
      <c r="I236" s="140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40"/>
      <c r="AF236" s="140"/>
      <c r="AG236" s="140"/>
      <c r="AH236" s="140"/>
    </row>
    <row r="237" spans="1:34" hidden="1">
      <c r="B237" s="138">
        <v>8</v>
      </c>
      <c r="C237" s="139">
        <v>10</v>
      </c>
      <c r="D237" s="140"/>
      <c r="E237" s="140"/>
      <c r="F237" s="140"/>
      <c r="G237" s="140"/>
      <c r="H237" s="140"/>
      <c r="I237" s="140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40"/>
      <c r="AF237" s="140"/>
      <c r="AG237" s="140"/>
      <c r="AH237" s="140"/>
    </row>
    <row r="238" spans="1:34" hidden="1">
      <c r="B238" s="138">
        <v>9</v>
      </c>
      <c r="C238" s="139">
        <v>11</v>
      </c>
      <c r="D238" s="140"/>
      <c r="E238" s="140"/>
      <c r="F238" s="140"/>
      <c r="G238" s="140"/>
      <c r="H238" s="140"/>
      <c r="I238" s="140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40"/>
      <c r="AF238" s="140"/>
      <c r="AG238" s="140"/>
      <c r="AH238" s="140"/>
    </row>
    <row r="239" spans="1:34" hidden="1">
      <c r="B239" s="138">
        <v>10</v>
      </c>
      <c r="C239" s="139">
        <v>12</v>
      </c>
      <c r="D239" s="140"/>
      <c r="E239" s="140"/>
      <c r="F239" s="140"/>
      <c r="G239" s="140"/>
      <c r="H239" s="140"/>
      <c r="I239" s="140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</row>
    <row r="240" spans="1:34" hidden="1">
      <c r="B240" s="138">
        <v>11</v>
      </c>
      <c r="C240" s="139">
        <v>13</v>
      </c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40"/>
      <c r="AF240" s="140"/>
      <c r="AG240" s="140"/>
      <c r="AH240" s="140"/>
    </row>
    <row r="241" spans="2:34" hidden="1">
      <c r="B241" s="138">
        <v>12</v>
      </c>
      <c r="C241" s="139">
        <v>14</v>
      </c>
      <c r="D241" s="140"/>
      <c r="E241" s="140"/>
      <c r="F241" s="140"/>
      <c r="G241" s="140"/>
      <c r="H241" s="140"/>
      <c r="I241" s="140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40"/>
      <c r="AF241" s="140"/>
      <c r="AG241" s="140"/>
      <c r="AH241" s="140"/>
    </row>
    <row r="242" spans="2:34" hidden="1">
      <c r="C242" s="139">
        <v>15</v>
      </c>
      <c r="D242" s="140"/>
      <c r="E242" s="140"/>
      <c r="F242" s="140"/>
      <c r="G242" s="140"/>
      <c r="H242" s="140"/>
      <c r="I242" s="140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40"/>
      <c r="AF242" s="140"/>
      <c r="AG242" s="140"/>
      <c r="AH242" s="140"/>
    </row>
    <row r="243" spans="2:34" hidden="1">
      <c r="C243" s="139">
        <v>16</v>
      </c>
      <c r="D243" s="140"/>
      <c r="E243" s="140"/>
      <c r="F243" s="140"/>
      <c r="G243" s="140"/>
      <c r="H243" s="140"/>
      <c r="I243" s="140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140"/>
    </row>
    <row r="244" spans="2:34" hidden="1">
      <c r="C244" s="139">
        <v>17</v>
      </c>
      <c r="D244" s="140"/>
      <c r="E244" s="140"/>
      <c r="F244" s="140"/>
      <c r="G244" s="140"/>
      <c r="H244" s="140"/>
      <c r="I244" s="140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40"/>
      <c r="AF244" s="140"/>
      <c r="AG244" s="140"/>
      <c r="AH244" s="140"/>
    </row>
    <row r="245" spans="2:34" hidden="1">
      <c r="C245" s="139">
        <v>18</v>
      </c>
      <c r="D245" s="140"/>
      <c r="E245" s="140"/>
      <c r="F245" s="140"/>
      <c r="G245" s="140"/>
      <c r="H245" s="140"/>
      <c r="I245" s="140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40"/>
      <c r="AF245" s="140"/>
      <c r="AG245" s="140"/>
      <c r="AH245" s="140"/>
    </row>
    <row r="246" spans="2:34" hidden="1">
      <c r="C246" s="139">
        <v>19</v>
      </c>
      <c r="D246" s="140"/>
      <c r="E246" s="140"/>
      <c r="F246" s="140"/>
      <c r="G246" s="140"/>
      <c r="H246" s="140"/>
      <c r="I246" s="140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40"/>
      <c r="AF246" s="140"/>
      <c r="AG246" s="140"/>
      <c r="AH246" s="140"/>
    </row>
    <row r="247" spans="2:34" hidden="1">
      <c r="C247" s="139">
        <v>20</v>
      </c>
      <c r="D247" s="140"/>
      <c r="E247" s="140"/>
      <c r="F247" s="140"/>
      <c r="G247" s="140"/>
      <c r="H247" s="140"/>
      <c r="I247" s="140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40"/>
      <c r="AF247" s="140"/>
      <c r="AG247" s="140"/>
      <c r="AH247" s="140"/>
    </row>
    <row r="248" spans="2:34" hidden="1">
      <c r="C248" s="139">
        <v>21</v>
      </c>
      <c r="D248" s="140"/>
      <c r="E248" s="140"/>
      <c r="F248" s="140"/>
      <c r="G248" s="140"/>
      <c r="H248" s="140"/>
      <c r="I248" s="140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40"/>
      <c r="AF248" s="140"/>
      <c r="AG248" s="140"/>
      <c r="AH248" s="140"/>
    </row>
    <row r="249" spans="2:34" hidden="1">
      <c r="C249" s="139">
        <v>22</v>
      </c>
      <c r="D249" s="140"/>
      <c r="E249" s="140"/>
      <c r="F249" s="140"/>
      <c r="G249" s="140"/>
      <c r="H249" s="140"/>
      <c r="I249" s="140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40"/>
      <c r="AF249" s="140"/>
      <c r="AG249" s="140"/>
      <c r="AH249" s="140"/>
    </row>
    <row r="250" spans="2:34" hidden="1">
      <c r="C250" s="139">
        <v>23</v>
      </c>
      <c r="D250" s="140"/>
      <c r="E250" s="140"/>
      <c r="F250" s="140"/>
      <c r="G250" s="140"/>
      <c r="H250" s="140"/>
      <c r="I250" s="140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40"/>
      <c r="AF250" s="140"/>
      <c r="AG250" s="140"/>
      <c r="AH250" s="140"/>
    </row>
    <row r="251" spans="2:34" hidden="1">
      <c r="C251" s="139">
        <v>24</v>
      </c>
      <c r="D251" s="140"/>
      <c r="E251" s="140"/>
      <c r="F251" s="140"/>
      <c r="G251" s="140"/>
      <c r="H251" s="140"/>
      <c r="I251" s="140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40"/>
      <c r="AF251" s="140"/>
      <c r="AG251" s="140"/>
      <c r="AH251" s="140"/>
    </row>
    <row r="252" spans="2:34" hidden="1">
      <c r="C252" s="139">
        <v>25</v>
      </c>
      <c r="D252" s="140"/>
      <c r="E252" s="140"/>
      <c r="F252" s="140"/>
      <c r="G252" s="140"/>
      <c r="H252" s="140"/>
      <c r="I252" s="140"/>
      <c r="J252" s="140"/>
      <c r="K252" s="140"/>
      <c r="L252" s="140"/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40"/>
      <c r="AF252" s="140"/>
      <c r="AG252" s="140"/>
      <c r="AH252" s="140"/>
    </row>
    <row r="253" spans="2:34" hidden="1">
      <c r="C253" s="139">
        <v>26</v>
      </c>
      <c r="D253" s="140"/>
      <c r="E253" s="140"/>
      <c r="F253" s="140"/>
      <c r="G253" s="140"/>
      <c r="H253" s="140"/>
      <c r="I253" s="140"/>
      <c r="J253" s="140"/>
      <c r="K253" s="140"/>
      <c r="L253" s="140"/>
      <c r="M253" s="140"/>
      <c r="N253" s="140"/>
      <c r="O253" s="140"/>
      <c r="P253" s="140"/>
      <c r="Q253" s="140"/>
      <c r="R253" s="140"/>
      <c r="S253" s="140"/>
      <c r="T253" s="140"/>
      <c r="U253" s="140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40"/>
      <c r="AF253" s="140"/>
      <c r="AG253" s="140"/>
      <c r="AH253" s="140"/>
    </row>
    <row r="254" spans="2:34" hidden="1">
      <c r="C254" s="139">
        <v>27</v>
      </c>
      <c r="D254" s="140"/>
      <c r="E254" s="140"/>
      <c r="F254" s="140"/>
      <c r="G254" s="140"/>
      <c r="H254" s="140"/>
      <c r="I254" s="140"/>
      <c r="J254" s="140"/>
      <c r="K254" s="140"/>
      <c r="L254" s="140"/>
      <c r="M254" s="140"/>
      <c r="N254" s="140"/>
      <c r="O254" s="140"/>
      <c r="P254" s="140"/>
      <c r="Q254" s="140"/>
      <c r="R254" s="140"/>
      <c r="S254" s="140"/>
      <c r="T254" s="140"/>
      <c r="U254" s="140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40"/>
      <c r="AF254" s="140"/>
      <c r="AG254" s="140"/>
      <c r="AH254" s="140"/>
    </row>
    <row r="255" spans="2:34" hidden="1">
      <c r="C255" s="139">
        <v>28</v>
      </c>
      <c r="D255" s="140"/>
      <c r="E255" s="140"/>
      <c r="F255" s="140"/>
      <c r="G255" s="140"/>
      <c r="H255" s="140"/>
      <c r="I255" s="140"/>
      <c r="J255" s="140"/>
      <c r="K255" s="140"/>
      <c r="L255" s="140"/>
      <c r="M255" s="140"/>
      <c r="N255" s="140"/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40"/>
      <c r="AF255" s="140"/>
      <c r="AG255" s="140"/>
      <c r="AH255" s="140"/>
    </row>
    <row r="256" spans="2:34" hidden="1">
      <c r="C256" s="139">
        <v>29</v>
      </c>
      <c r="D256" s="140"/>
      <c r="E256" s="140"/>
      <c r="F256" s="140"/>
      <c r="G256" s="140"/>
      <c r="H256" s="140"/>
      <c r="I256" s="140"/>
      <c r="J256" s="140"/>
      <c r="K256" s="140"/>
      <c r="L256" s="140"/>
      <c r="M256" s="140"/>
      <c r="N256" s="140"/>
      <c r="O256" s="140"/>
      <c r="P256" s="140"/>
      <c r="Q256" s="140"/>
      <c r="R256" s="140"/>
      <c r="S256" s="140"/>
      <c r="T256" s="140"/>
      <c r="U256" s="140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40"/>
      <c r="AF256" s="140"/>
      <c r="AG256" s="140"/>
      <c r="AH256" s="140"/>
    </row>
    <row r="257" spans="3:34" hidden="1">
      <c r="C257" s="139">
        <v>30</v>
      </c>
      <c r="D257" s="140"/>
      <c r="E257" s="140"/>
      <c r="F257" s="140"/>
      <c r="G257" s="140"/>
      <c r="H257" s="140"/>
      <c r="I257" s="140"/>
      <c r="J257" s="140"/>
      <c r="K257" s="140"/>
      <c r="L257" s="140"/>
      <c r="M257" s="140"/>
      <c r="N257" s="140"/>
      <c r="O257" s="140"/>
      <c r="P257" s="140"/>
      <c r="Q257" s="140"/>
      <c r="R257" s="140"/>
      <c r="S257" s="140"/>
      <c r="T257" s="140"/>
      <c r="U257" s="140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40"/>
      <c r="AF257" s="140"/>
      <c r="AG257" s="140"/>
      <c r="AH257" s="140"/>
    </row>
    <row r="258" spans="3:34" hidden="1">
      <c r="C258" s="139">
        <v>31</v>
      </c>
      <c r="D258" s="140"/>
      <c r="E258" s="140"/>
      <c r="F258" s="140"/>
      <c r="G258" s="140"/>
      <c r="H258" s="140"/>
      <c r="I258" s="140"/>
      <c r="J258" s="140"/>
      <c r="K258" s="140"/>
      <c r="L258" s="140"/>
      <c r="M258" s="140"/>
      <c r="N258" s="140"/>
      <c r="O258" s="140"/>
      <c r="P258" s="140"/>
      <c r="Q258" s="140"/>
      <c r="R258" s="140"/>
      <c r="S258" s="140"/>
      <c r="T258" s="140"/>
      <c r="U258" s="140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40"/>
      <c r="AF258" s="140"/>
      <c r="AG258" s="140"/>
      <c r="AH258" s="140"/>
    </row>
    <row r="259" spans="3:34" hidden="1">
      <c r="C259" s="139">
        <v>32</v>
      </c>
      <c r="D259" s="140"/>
      <c r="E259" s="140"/>
      <c r="F259" s="140"/>
      <c r="G259" s="140"/>
      <c r="H259" s="140"/>
      <c r="I259" s="140"/>
      <c r="J259" s="140"/>
      <c r="K259" s="140"/>
      <c r="L259" s="140"/>
      <c r="M259" s="140"/>
      <c r="N259" s="140"/>
      <c r="O259" s="140"/>
      <c r="P259" s="140"/>
      <c r="Q259" s="140"/>
      <c r="R259" s="140"/>
      <c r="S259" s="140"/>
      <c r="T259" s="140"/>
      <c r="U259" s="140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40"/>
      <c r="AF259" s="140"/>
      <c r="AG259" s="140"/>
      <c r="AH259" s="140"/>
    </row>
    <row r="260" spans="3:34" hidden="1">
      <c r="C260" s="139">
        <v>33</v>
      </c>
      <c r="D260" s="140"/>
      <c r="E260" s="140"/>
      <c r="F260" s="140"/>
      <c r="G260" s="140"/>
      <c r="H260" s="140"/>
      <c r="I260" s="140"/>
      <c r="J260" s="140"/>
      <c r="K260" s="140"/>
      <c r="L260" s="140"/>
      <c r="M260" s="140"/>
      <c r="N260" s="140"/>
      <c r="O260" s="140"/>
      <c r="P260" s="140"/>
      <c r="Q260" s="140"/>
      <c r="R260" s="140"/>
      <c r="S260" s="140"/>
      <c r="T260" s="140"/>
      <c r="U260" s="140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40"/>
      <c r="AF260" s="140"/>
      <c r="AG260" s="140"/>
      <c r="AH260" s="140"/>
    </row>
    <row r="261" spans="3:34" hidden="1">
      <c r="C261" s="139">
        <v>34</v>
      </c>
      <c r="D261" s="140"/>
      <c r="E261" s="140"/>
      <c r="F261" s="140"/>
      <c r="G261" s="140"/>
      <c r="H261" s="140"/>
      <c r="I261" s="140"/>
      <c r="J261" s="140"/>
      <c r="K261" s="140"/>
      <c r="L261" s="140"/>
      <c r="M261" s="140"/>
      <c r="N261" s="140"/>
      <c r="O261" s="140"/>
      <c r="P261" s="140"/>
      <c r="Q261" s="140"/>
      <c r="R261" s="140"/>
      <c r="S261" s="140"/>
      <c r="T261" s="140"/>
      <c r="U261" s="140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40"/>
      <c r="AF261" s="140"/>
      <c r="AG261" s="140"/>
      <c r="AH261" s="140"/>
    </row>
    <row r="262" spans="3:34" hidden="1">
      <c r="C262" s="139">
        <v>35</v>
      </c>
      <c r="D262" s="140"/>
      <c r="E262" s="140"/>
      <c r="F262" s="140"/>
      <c r="G262" s="140"/>
      <c r="H262" s="140"/>
      <c r="I262" s="140"/>
      <c r="J262" s="140"/>
      <c r="K262" s="140"/>
      <c r="L262" s="140"/>
      <c r="M262" s="140"/>
      <c r="N262" s="140"/>
      <c r="O262" s="140"/>
      <c r="P262" s="140"/>
      <c r="Q262" s="140"/>
      <c r="R262" s="140"/>
      <c r="S262" s="140"/>
      <c r="T262" s="140"/>
      <c r="U262" s="140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40"/>
      <c r="AF262" s="140"/>
      <c r="AG262" s="140"/>
      <c r="AH262" s="140"/>
    </row>
    <row r="263" spans="3:34" hidden="1">
      <c r="C263" s="139">
        <v>36</v>
      </c>
      <c r="D263" s="140"/>
      <c r="E263" s="140"/>
      <c r="F263" s="140"/>
      <c r="G263" s="140"/>
      <c r="H263" s="140"/>
      <c r="I263" s="140"/>
      <c r="J263" s="140"/>
      <c r="K263" s="140"/>
      <c r="L263" s="140"/>
      <c r="M263" s="140"/>
      <c r="N263" s="140"/>
      <c r="O263" s="140"/>
      <c r="P263" s="140"/>
      <c r="Q263" s="140"/>
      <c r="R263" s="140"/>
      <c r="S263" s="140"/>
      <c r="T263" s="140"/>
      <c r="U263" s="140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40"/>
      <c r="AF263" s="140"/>
      <c r="AG263" s="140"/>
      <c r="AH263" s="140"/>
    </row>
    <row r="264" spans="3:34" hidden="1">
      <c r="C264" s="139">
        <v>37</v>
      </c>
      <c r="D264" s="140"/>
      <c r="E264" s="140"/>
      <c r="F264" s="140"/>
      <c r="G264" s="140"/>
      <c r="H264" s="140"/>
      <c r="I264" s="140"/>
      <c r="J264" s="140"/>
      <c r="K264" s="140"/>
      <c r="L264" s="140"/>
      <c r="M264" s="140"/>
      <c r="N264" s="140"/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40"/>
      <c r="AF264" s="140"/>
      <c r="AG264" s="140"/>
      <c r="AH264" s="140"/>
    </row>
    <row r="265" spans="3:34" hidden="1">
      <c r="C265" s="139">
        <v>38</v>
      </c>
      <c r="D265" s="140"/>
      <c r="E265" s="140"/>
      <c r="F265" s="140"/>
      <c r="G265" s="140"/>
      <c r="H265" s="140"/>
      <c r="I265" s="140"/>
      <c r="J265" s="140"/>
      <c r="K265" s="140"/>
      <c r="L265" s="140"/>
      <c r="M265" s="140"/>
      <c r="N265" s="140"/>
      <c r="O265" s="140"/>
      <c r="P265" s="140"/>
      <c r="Q265" s="140"/>
      <c r="R265" s="140"/>
      <c r="S265" s="140"/>
      <c r="T265" s="140"/>
      <c r="U265" s="140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40"/>
      <c r="AF265" s="140"/>
      <c r="AG265" s="140"/>
      <c r="AH265" s="140"/>
    </row>
    <row r="266" spans="3:34" hidden="1">
      <c r="C266" s="139">
        <v>39</v>
      </c>
      <c r="D266" s="140"/>
      <c r="E266" s="140"/>
      <c r="F266" s="140"/>
      <c r="G266" s="140"/>
      <c r="H266" s="140"/>
      <c r="I266" s="140"/>
      <c r="J266" s="140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40"/>
      <c r="AF266" s="140"/>
      <c r="AG266" s="140"/>
      <c r="AH266" s="140"/>
    </row>
    <row r="267" spans="3:34" hidden="1">
      <c r="C267" s="139">
        <v>40</v>
      </c>
      <c r="D267" s="140"/>
      <c r="E267" s="140"/>
      <c r="F267" s="140"/>
      <c r="G267" s="140"/>
      <c r="H267" s="140"/>
      <c r="I267" s="140"/>
      <c r="J267" s="140"/>
      <c r="K267" s="140"/>
      <c r="L267" s="140"/>
      <c r="M267" s="140"/>
      <c r="N267" s="140"/>
      <c r="O267" s="140"/>
      <c r="P267" s="140"/>
      <c r="Q267" s="140"/>
      <c r="R267" s="140"/>
      <c r="S267" s="140"/>
      <c r="T267" s="140"/>
      <c r="U267" s="140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40"/>
      <c r="AF267" s="140"/>
      <c r="AG267" s="140"/>
      <c r="AH267" s="140"/>
    </row>
    <row r="268" spans="3:34" hidden="1"/>
    <row r="269" spans="3:34" hidden="1"/>
    <row r="270" spans="3:34" hidden="1"/>
    <row r="271" spans="3:34" hidden="1"/>
    <row r="272" spans="3:34" hidden="1"/>
    <row r="273" spans="3:34" hidden="1"/>
    <row r="274" spans="3:34" hidden="1"/>
    <row r="275" spans="3:34" hidden="1">
      <c r="C275" s="139" t="s">
        <v>733</v>
      </c>
      <c r="D275" s="139">
        <f>D$4</f>
        <v>1</v>
      </c>
      <c r="E275" s="139">
        <f t="shared" ref="E275:AH275" si="2">E$4</f>
        <v>2</v>
      </c>
      <c r="F275" s="139">
        <f t="shared" si="2"/>
        <v>3</v>
      </c>
      <c r="G275" s="139">
        <f t="shared" si="2"/>
        <v>4</v>
      </c>
      <c r="H275" s="139">
        <f t="shared" si="2"/>
        <v>5</v>
      </c>
      <c r="I275" s="139">
        <f t="shared" si="2"/>
        <v>6</v>
      </c>
      <c r="J275" s="139">
        <f t="shared" si="2"/>
        <v>7</v>
      </c>
      <c r="K275" s="139">
        <f t="shared" si="2"/>
        <v>8</v>
      </c>
      <c r="L275" s="139">
        <f t="shared" si="2"/>
        <v>9</v>
      </c>
      <c r="M275" s="139">
        <f t="shared" si="2"/>
        <v>10</v>
      </c>
      <c r="N275" s="139">
        <f t="shared" si="2"/>
        <v>11</v>
      </c>
      <c r="O275" s="139">
        <f t="shared" si="2"/>
        <v>12</v>
      </c>
      <c r="P275" s="139">
        <f t="shared" si="2"/>
        <v>13</v>
      </c>
      <c r="Q275" s="139">
        <f t="shared" si="2"/>
        <v>14</v>
      </c>
      <c r="R275" s="139">
        <f t="shared" si="2"/>
        <v>15</v>
      </c>
      <c r="S275" s="139">
        <f t="shared" si="2"/>
        <v>16</v>
      </c>
      <c r="T275" s="139">
        <f t="shared" si="2"/>
        <v>17</v>
      </c>
      <c r="U275" s="139">
        <f t="shared" si="2"/>
        <v>18</v>
      </c>
      <c r="V275" s="139">
        <f t="shared" si="2"/>
        <v>19</v>
      </c>
      <c r="W275" s="139">
        <f t="shared" si="2"/>
        <v>20</v>
      </c>
      <c r="X275" s="139">
        <f t="shared" si="2"/>
        <v>21</v>
      </c>
      <c r="Y275" s="139">
        <f t="shared" si="2"/>
        <v>22</v>
      </c>
      <c r="Z275" s="139">
        <f t="shared" si="2"/>
        <v>23</v>
      </c>
      <c r="AA275" s="139">
        <f t="shared" si="2"/>
        <v>24</v>
      </c>
      <c r="AB275" s="139">
        <f t="shared" si="2"/>
        <v>25</v>
      </c>
      <c r="AC275" s="139">
        <f t="shared" si="2"/>
        <v>26</v>
      </c>
      <c r="AD275" s="139">
        <f t="shared" si="2"/>
        <v>27</v>
      </c>
      <c r="AE275" s="139">
        <f t="shared" si="2"/>
        <v>28</v>
      </c>
      <c r="AF275" s="139" t="e">
        <f t="shared" si="2"/>
        <v>#NUM!</v>
      </c>
      <c r="AG275" s="139" t="e">
        <f t="shared" si="2"/>
        <v>#NUM!</v>
      </c>
      <c r="AH275" s="139" t="e">
        <f t="shared" si="2"/>
        <v>#NUM!</v>
      </c>
    </row>
    <row r="276" spans="3:34" hidden="1">
      <c r="C276" s="139">
        <v>1</v>
      </c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0"/>
      <c r="P276" s="140"/>
      <c r="Q276" s="140"/>
      <c r="R276" s="140"/>
      <c r="S276" s="140"/>
      <c r="T276" s="140"/>
      <c r="U276" s="140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40"/>
      <c r="AF276" s="140"/>
      <c r="AG276" s="140"/>
      <c r="AH276" s="140"/>
    </row>
    <row r="277" spans="3:34" hidden="1">
      <c r="C277" s="139">
        <v>2</v>
      </c>
      <c r="D277" s="140"/>
      <c r="E277" s="140"/>
      <c r="F277" s="140"/>
      <c r="G277" s="140"/>
      <c r="H277" s="140"/>
      <c r="I277" s="140"/>
      <c r="J277" s="140"/>
      <c r="K277" s="140"/>
      <c r="L277" s="140"/>
      <c r="M277" s="140"/>
      <c r="N277" s="140"/>
      <c r="O277" s="140"/>
      <c r="P277" s="140"/>
      <c r="Q277" s="140"/>
      <c r="R277" s="140"/>
      <c r="S277" s="140"/>
      <c r="T277" s="140"/>
      <c r="U277" s="140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40"/>
      <c r="AF277" s="140"/>
      <c r="AG277" s="140"/>
      <c r="AH277" s="140"/>
    </row>
    <row r="278" spans="3:34" hidden="1">
      <c r="C278" s="139">
        <v>3</v>
      </c>
      <c r="D278" s="140"/>
      <c r="E278" s="140"/>
      <c r="F278" s="140"/>
      <c r="G278" s="140"/>
      <c r="H278" s="140"/>
      <c r="I278" s="140"/>
      <c r="J278" s="140"/>
      <c r="K278" s="140"/>
      <c r="L278" s="140"/>
      <c r="M278" s="140"/>
      <c r="N278" s="140"/>
      <c r="O278" s="140"/>
      <c r="P278" s="140"/>
      <c r="Q278" s="140"/>
      <c r="R278" s="140"/>
      <c r="S278" s="140"/>
      <c r="T278" s="140"/>
      <c r="U278" s="140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40"/>
      <c r="AF278" s="140"/>
      <c r="AG278" s="140"/>
      <c r="AH278" s="140"/>
    </row>
    <row r="279" spans="3:34" hidden="1">
      <c r="C279" s="139">
        <v>4</v>
      </c>
      <c r="D279" s="140"/>
      <c r="E279" s="140"/>
      <c r="F279" s="140"/>
      <c r="G279" s="140"/>
      <c r="H279" s="140"/>
      <c r="I279" s="140"/>
      <c r="J279" s="140"/>
      <c r="K279" s="140"/>
      <c r="L279" s="140"/>
      <c r="M279" s="140"/>
      <c r="N279" s="140"/>
      <c r="O279" s="140"/>
      <c r="P279" s="140"/>
      <c r="Q279" s="140"/>
      <c r="R279" s="140"/>
      <c r="S279" s="140"/>
      <c r="T279" s="140"/>
      <c r="U279" s="140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40"/>
      <c r="AF279" s="140"/>
      <c r="AG279" s="140"/>
      <c r="AH279" s="140"/>
    </row>
    <row r="280" spans="3:34" hidden="1">
      <c r="C280" s="139">
        <v>5</v>
      </c>
      <c r="D280" s="140"/>
      <c r="E280" s="140"/>
      <c r="F280" s="140"/>
      <c r="G280" s="140"/>
      <c r="H280" s="140"/>
      <c r="I280" s="140"/>
      <c r="J280" s="140"/>
      <c r="K280" s="140"/>
      <c r="L280" s="140"/>
      <c r="M280" s="140"/>
      <c r="N280" s="140"/>
      <c r="O280" s="140"/>
      <c r="P280" s="140"/>
      <c r="Q280" s="140"/>
      <c r="R280" s="140"/>
      <c r="S280" s="140"/>
      <c r="T280" s="140"/>
      <c r="U280" s="140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40"/>
      <c r="AF280" s="140"/>
      <c r="AG280" s="140"/>
      <c r="AH280" s="140"/>
    </row>
    <row r="281" spans="3:34" hidden="1">
      <c r="C281" s="139">
        <v>6</v>
      </c>
      <c r="D281" s="140"/>
      <c r="E281" s="140"/>
      <c r="F281" s="140"/>
      <c r="G281" s="140"/>
      <c r="H281" s="140"/>
      <c r="I281" s="140"/>
      <c r="J281" s="140"/>
      <c r="K281" s="140"/>
      <c r="L281" s="140"/>
      <c r="M281" s="140"/>
      <c r="N281" s="140"/>
      <c r="O281" s="140"/>
      <c r="P281" s="140"/>
      <c r="Q281" s="140"/>
      <c r="R281" s="140"/>
      <c r="S281" s="140"/>
      <c r="T281" s="140"/>
      <c r="U281" s="140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40"/>
      <c r="AF281" s="140"/>
      <c r="AG281" s="140"/>
      <c r="AH281" s="140"/>
    </row>
    <row r="282" spans="3:34" hidden="1">
      <c r="C282" s="139">
        <v>7</v>
      </c>
      <c r="D282" s="140"/>
      <c r="E282" s="140"/>
      <c r="F282" s="140"/>
      <c r="G282" s="140"/>
      <c r="H282" s="140"/>
      <c r="I282" s="140"/>
      <c r="J282" s="140"/>
      <c r="K282" s="140"/>
      <c r="L282" s="140"/>
      <c r="M282" s="140"/>
      <c r="N282" s="140"/>
      <c r="O282" s="140"/>
      <c r="P282" s="140"/>
      <c r="Q282" s="140"/>
      <c r="R282" s="140"/>
      <c r="S282" s="140"/>
      <c r="T282" s="140"/>
      <c r="U282" s="140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40"/>
      <c r="AF282" s="140"/>
      <c r="AG282" s="140"/>
      <c r="AH282" s="140"/>
    </row>
    <row r="283" spans="3:34" hidden="1">
      <c r="C283" s="139">
        <v>8</v>
      </c>
      <c r="D283" s="140"/>
      <c r="E283" s="140"/>
      <c r="F283" s="140"/>
      <c r="G283" s="140"/>
      <c r="H283" s="140"/>
      <c r="I283" s="140"/>
      <c r="J283" s="140"/>
      <c r="K283" s="140"/>
      <c r="L283" s="140"/>
      <c r="M283" s="140"/>
      <c r="N283" s="140"/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40"/>
      <c r="AF283" s="140"/>
      <c r="AG283" s="140"/>
      <c r="AH283" s="140"/>
    </row>
    <row r="284" spans="3:34" hidden="1">
      <c r="C284" s="139">
        <v>9</v>
      </c>
      <c r="D284" s="140"/>
      <c r="E284" s="140"/>
      <c r="F284" s="140"/>
      <c r="G284" s="140"/>
      <c r="H284" s="140"/>
      <c r="I284" s="140"/>
      <c r="J284" s="140"/>
      <c r="K284" s="140"/>
      <c r="L284" s="140"/>
      <c r="M284" s="140"/>
      <c r="N284" s="140"/>
      <c r="O284" s="140"/>
      <c r="P284" s="140"/>
      <c r="Q284" s="140"/>
      <c r="R284" s="140"/>
      <c r="S284" s="140"/>
      <c r="T284" s="140"/>
      <c r="U284" s="140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40"/>
      <c r="AF284" s="140"/>
      <c r="AG284" s="140"/>
      <c r="AH284" s="140"/>
    </row>
    <row r="285" spans="3:34" hidden="1">
      <c r="C285" s="139">
        <v>10</v>
      </c>
      <c r="D285" s="140"/>
      <c r="E285" s="140"/>
      <c r="F285" s="140"/>
      <c r="G285" s="140"/>
      <c r="H285" s="140"/>
      <c r="I285" s="140"/>
      <c r="J285" s="140"/>
      <c r="K285" s="140"/>
      <c r="L285" s="140"/>
      <c r="M285" s="140"/>
      <c r="N285" s="140"/>
      <c r="O285" s="140"/>
      <c r="P285" s="140"/>
      <c r="Q285" s="140"/>
      <c r="R285" s="140"/>
      <c r="S285" s="140"/>
      <c r="T285" s="140"/>
      <c r="U285" s="140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40"/>
      <c r="AF285" s="140"/>
      <c r="AG285" s="140"/>
      <c r="AH285" s="140"/>
    </row>
    <row r="286" spans="3:34" hidden="1">
      <c r="C286" s="139">
        <v>11</v>
      </c>
      <c r="D286" s="140"/>
      <c r="E286" s="140"/>
      <c r="F286" s="140"/>
      <c r="G286" s="140"/>
      <c r="H286" s="140"/>
      <c r="I286" s="140"/>
      <c r="J286" s="140"/>
      <c r="K286" s="140"/>
      <c r="L286" s="140"/>
      <c r="M286" s="140"/>
      <c r="N286" s="140"/>
      <c r="O286" s="140"/>
      <c r="P286" s="140"/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</row>
    <row r="287" spans="3:34" hidden="1">
      <c r="C287" s="139">
        <v>12</v>
      </c>
      <c r="D287" s="140"/>
      <c r="E287" s="140"/>
      <c r="F287" s="140"/>
      <c r="G287" s="140"/>
      <c r="H287" s="140"/>
      <c r="I287" s="140"/>
      <c r="J287" s="140"/>
      <c r="K287" s="140"/>
      <c r="L287" s="140"/>
      <c r="M287" s="140"/>
      <c r="N287" s="140"/>
      <c r="O287" s="140"/>
      <c r="P287" s="140"/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</row>
    <row r="288" spans="3:34" hidden="1">
      <c r="C288" s="139">
        <v>13</v>
      </c>
      <c r="D288" s="140"/>
      <c r="E288" s="140"/>
      <c r="F288" s="140"/>
      <c r="G288" s="140"/>
      <c r="H288" s="140"/>
      <c r="I288" s="140"/>
      <c r="J288" s="140"/>
      <c r="K288" s="140"/>
      <c r="L288" s="140"/>
      <c r="M288" s="140"/>
      <c r="N288" s="140"/>
      <c r="O288" s="140"/>
      <c r="P288" s="140"/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40"/>
      <c r="AF288" s="140"/>
      <c r="AG288" s="140"/>
      <c r="AH288" s="140"/>
    </row>
    <row r="289" spans="3:34" hidden="1">
      <c r="C289" s="139">
        <v>14</v>
      </c>
      <c r="D289" s="140"/>
      <c r="E289" s="140"/>
      <c r="F289" s="140"/>
      <c r="G289" s="140"/>
      <c r="H289" s="140"/>
      <c r="I289" s="140"/>
      <c r="J289" s="140"/>
      <c r="K289" s="140"/>
      <c r="L289" s="140"/>
      <c r="M289" s="140"/>
      <c r="N289" s="140"/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40"/>
      <c r="AF289" s="140"/>
      <c r="AG289" s="140"/>
      <c r="AH289" s="140"/>
    </row>
    <row r="290" spans="3:34" hidden="1">
      <c r="C290" s="139">
        <v>15</v>
      </c>
      <c r="D290" s="140"/>
      <c r="E290" s="140"/>
      <c r="F290" s="140"/>
      <c r="G290" s="140"/>
      <c r="H290" s="140"/>
      <c r="I290" s="140"/>
      <c r="J290" s="140"/>
      <c r="K290" s="140"/>
      <c r="L290" s="140"/>
      <c r="M290" s="140"/>
      <c r="N290" s="140"/>
      <c r="O290" s="140"/>
      <c r="P290" s="140"/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</row>
    <row r="291" spans="3:34" hidden="1">
      <c r="C291" s="139">
        <v>16</v>
      </c>
      <c r="D291" s="140"/>
      <c r="E291" s="140"/>
      <c r="F291" s="140"/>
      <c r="G291" s="140"/>
      <c r="H291" s="140"/>
      <c r="I291" s="140"/>
      <c r="J291" s="140"/>
      <c r="K291" s="140"/>
      <c r="L291" s="140"/>
      <c r="M291" s="140"/>
      <c r="N291" s="140"/>
      <c r="O291" s="140"/>
      <c r="P291" s="140"/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</row>
    <row r="292" spans="3:34" hidden="1">
      <c r="C292" s="139">
        <v>17</v>
      </c>
      <c r="D292" s="140"/>
      <c r="E292" s="140"/>
      <c r="F292" s="140"/>
      <c r="G292" s="140"/>
      <c r="H292" s="140"/>
      <c r="I292" s="140"/>
      <c r="J292" s="140"/>
      <c r="K292" s="140"/>
      <c r="L292" s="140"/>
      <c r="M292" s="140"/>
      <c r="N292" s="140"/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40"/>
      <c r="AF292" s="140"/>
      <c r="AG292" s="140"/>
      <c r="AH292" s="140"/>
    </row>
    <row r="293" spans="3:34" hidden="1">
      <c r="C293" s="139">
        <v>18</v>
      </c>
      <c r="D293" s="140"/>
      <c r="E293" s="140"/>
      <c r="F293" s="140"/>
      <c r="G293" s="140"/>
      <c r="H293" s="140"/>
      <c r="I293" s="140"/>
      <c r="J293" s="140"/>
      <c r="K293" s="140"/>
      <c r="L293" s="140"/>
      <c r="M293" s="140"/>
      <c r="N293" s="140"/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0"/>
    </row>
    <row r="294" spans="3:34" hidden="1">
      <c r="C294" s="139">
        <v>19</v>
      </c>
      <c r="D294" s="140"/>
      <c r="E294" s="140"/>
      <c r="F294" s="140"/>
      <c r="G294" s="140"/>
      <c r="H294" s="140"/>
      <c r="I294" s="140"/>
      <c r="J294" s="140"/>
      <c r="K294" s="140"/>
      <c r="L294" s="140"/>
      <c r="M294" s="140"/>
      <c r="N294" s="140"/>
      <c r="O294" s="140"/>
      <c r="P294" s="140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40"/>
      <c r="AF294" s="140"/>
      <c r="AG294" s="140"/>
      <c r="AH294" s="140"/>
    </row>
    <row r="295" spans="3:34" hidden="1">
      <c r="C295" s="139">
        <v>20</v>
      </c>
      <c r="D295" s="140"/>
      <c r="E295" s="140"/>
      <c r="F295" s="140"/>
      <c r="G295" s="140"/>
      <c r="H295" s="140"/>
      <c r="I295" s="140"/>
      <c r="J295" s="140"/>
      <c r="K295" s="140"/>
      <c r="L295" s="140"/>
      <c r="M295" s="140"/>
      <c r="N295" s="140"/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40"/>
      <c r="AF295" s="140"/>
      <c r="AG295" s="140"/>
      <c r="AH295" s="140"/>
    </row>
  </sheetData>
  <sheetProtection sheet="1" sort="0"/>
  <sortState xmlns:xlrd2="http://schemas.microsoft.com/office/spreadsheetml/2017/richdata2" ref="B6:B225">
    <sortCondition ref="B6:B225"/>
  </sortState>
  <customSheetViews>
    <customSheetView guid="{B061BDB8-F860-4D44-941F-C2AA21ACDACC}" hiddenRows="1">
      <pane xSplit="3" ySplit="5" topLeftCell="D102" activePane="bottomRight" state="frozen"/>
      <selection pane="bottomRight" activeCell="R5" sqref="R5"/>
      <pageMargins left="0" right="0" top="0" bottom="0" header="0" footer="0"/>
    </customSheetView>
  </customSheetViews>
  <mergeCells count="225">
    <mergeCell ref="B6:B7"/>
    <mergeCell ref="A6:A7"/>
    <mergeCell ref="T2:AA2"/>
    <mergeCell ref="H2:I2"/>
    <mergeCell ref="Q2:S2"/>
    <mergeCell ref="B4:B5"/>
    <mergeCell ref="D2:F2"/>
    <mergeCell ref="A14:A15"/>
    <mergeCell ref="B14:B15"/>
    <mergeCell ref="A16:A17"/>
    <mergeCell ref="B16:B17"/>
    <mergeCell ref="A18:A19"/>
    <mergeCell ref="B18:B19"/>
    <mergeCell ref="A8:A9"/>
    <mergeCell ref="B8:B9"/>
    <mergeCell ref="A10:A11"/>
    <mergeCell ref="B10:B11"/>
    <mergeCell ref="A12:A13"/>
    <mergeCell ref="B12:B1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38:A39"/>
    <mergeCell ref="B38:B39"/>
    <mergeCell ref="A40:A41"/>
    <mergeCell ref="B40:B41"/>
    <mergeCell ref="A42:A43"/>
    <mergeCell ref="B42:B43"/>
    <mergeCell ref="A32:A33"/>
    <mergeCell ref="B32:B33"/>
    <mergeCell ref="A34:A35"/>
    <mergeCell ref="B34:B35"/>
    <mergeCell ref="A36:A37"/>
    <mergeCell ref="B36:B37"/>
    <mergeCell ref="A50:A51"/>
    <mergeCell ref="B50:B51"/>
    <mergeCell ref="A52:A53"/>
    <mergeCell ref="B52:B53"/>
    <mergeCell ref="A54:A55"/>
    <mergeCell ref="B54:B55"/>
    <mergeCell ref="A44:A45"/>
    <mergeCell ref="B44:B45"/>
    <mergeCell ref="A46:A47"/>
    <mergeCell ref="B46:B47"/>
    <mergeCell ref="A48:A49"/>
    <mergeCell ref="B48:B49"/>
    <mergeCell ref="A62:A63"/>
    <mergeCell ref="B62:B63"/>
    <mergeCell ref="A64:A65"/>
    <mergeCell ref="B64:B65"/>
    <mergeCell ref="A66:A67"/>
    <mergeCell ref="B66:B67"/>
    <mergeCell ref="A56:A57"/>
    <mergeCell ref="B56:B57"/>
    <mergeCell ref="A58:A59"/>
    <mergeCell ref="B58:B59"/>
    <mergeCell ref="A60:A61"/>
    <mergeCell ref="B60:B61"/>
    <mergeCell ref="A74:A75"/>
    <mergeCell ref="B74:B75"/>
    <mergeCell ref="A76:A77"/>
    <mergeCell ref="B76:B77"/>
    <mergeCell ref="A78:A79"/>
    <mergeCell ref="B78:B79"/>
    <mergeCell ref="A68:A69"/>
    <mergeCell ref="B68:B69"/>
    <mergeCell ref="A70:A71"/>
    <mergeCell ref="B70:B71"/>
    <mergeCell ref="A72:A73"/>
    <mergeCell ref="B72:B73"/>
    <mergeCell ref="A86:A87"/>
    <mergeCell ref="B86:B87"/>
    <mergeCell ref="A88:A89"/>
    <mergeCell ref="B88:B89"/>
    <mergeCell ref="A90:A91"/>
    <mergeCell ref="B90:B91"/>
    <mergeCell ref="A80:A81"/>
    <mergeCell ref="B80:B81"/>
    <mergeCell ref="A82:A83"/>
    <mergeCell ref="B82:B83"/>
    <mergeCell ref="A84:A85"/>
    <mergeCell ref="B84:B85"/>
    <mergeCell ref="A98:A99"/>
    <mergeCell ref="B98:B99"/>
    <mergeCell ref="A100:A101"/>
    <mergeCell ref="B100:B101"/>
    <mergeCell ref="A102:A103"/>
    <mergeCell ref="B102:B103"/>
    <mergeCell ref="A92:A93"/>
    <mergeCell ref="B92:B93"/>
    <mergeCell ref="A94:A95"/>
    <mergeCell ref="B94:B95"/>
    <mergeCell ref="A96:A97"/>
    <mergeCell ref="B96:B97"/>
    <mergeCell ref="A110:A111"/>
    <mergeCell ref="B110:B111"/>
    <mergeCell ref="A112:A113"/>
    <mergeCell ref="B112:B113"/>
    <mergeCell ref="A114:A115"/>
    <mergeCell ref="B114:B115"/>
    <mergeCell ref="A104:A105"/>
    <mergeCell ref="B104:B105"/>
    <mergeCell ref="A106:A107"/>
    <mergeCell ref="B106:B107"/>
    <mergeCell ref="A108:A109"/>
    <mergeCell ref="B108:B109"/>
    <mergeCell ref="A122:A123"/>
    <mergeCell ref="B122:B123"/>
    <mergeCell ref="A124:A125"/>
    <mergeCell ref="B124:B125"/>
    <mergeCell ref="A126:A127"/>
    <mergeCell ref="B126:B127"/>
    <mergeCell ref="A116:A117"/>
    <mergeCell ref="B116:B117"/>
    <mergeCell ref="A118:A119"/>
    <mergeCell ref="B118:B119"/>
    <mergeCell ref="A120:A121"/>
    <mergeCell ref="B120:B121"/>
    <mergeCell ref="A134:A135"/>
    <mergeCell ref="B134:B135"/>
    <mergeCell ref="A136:A137"/>
    <mergeCell ref="B136:B137"/>
    <mergeCell ref="A138:A139"/>
    <mergeCell ref="B138:B139"/>
    <mergeCell ref="A128:A129"/>
    <mergeCell ref="B128:B129"/>
    <mergeCell ref="A130:A131"/>
    <mergeCell ref="B130:B131"/>
    <mergeCell ref="A132:A133"/>
    <mergeCell ref="B132:B133"/>
    <mergeCell ref="A146:A147"/>
    <mergeCell ref="B146:B147"/>
    <mergeCell ref="A148:A149"/>
    <mergeCell ref="B148:B149"/>
    <mergeCell ref="A150:A151"/>
    <mergeCell ref="B150:B151"/>
    <mergeCell ref="A140:A141"/>
    <mergeCell ref="B140:B141"/>
    <mergeCell ref="A142:A143"/>
    <mergeCell ref="B142:B143"/>
    <mergeCell ref="A144:A145"/>
    <mergeCell ref="B144:B145"/>
    <mergeCell ref="A158:A159"/>
    <mergeCell ref="B158:B159"/>
    <mergeCell ref="A160:A161"/>
    <mergeCell ref="B160:B161"/>
    <mergeCell ref="A162:A163"/>
    <mergeCell ref="B162:B163"/>
    <mergeCell ref="A152:A153"/>
    <mergeCell ref="B152:B153"/>
    <mergeCell ref="A154:A155"/>
    <mergeCell ref="B154:B155"/>
    <mergeCell ref="A156:A157"/>
    <mergeCell ref="B156:B157"/>
    <mergeCell ref="A170:A171"/>
    <mergeCell ref="B170:B171"/>
    <mergeCell ref="A172:A173"/>
    <mergeCell ref="B172:B173"/>
    <mergeCell ref="A174:A175"/>
    <mergeCell ref="B174:B175"/>
    <mergeCell ref="A164:A165"/>
    <mergeCell ref="B164:B165"/>
    <mergeCell ref="A166:A167"/>
    <mergeCell ref="B166:B167"/>
    <mergeCell ref="A168:A169"/>
    <mergeCell ref="B168:B169"/>
    <mergeCell ref="A182:A183"/>
    <mergeCell ref="B182:B183"/>
    <mergeCell ref="A184:A185"/>
    <mergeCell ref="B184:B185"/>
    <mergeCell ref="A186:A187"/>
    <mergeCell ref="B186:B187"/>
    <mergeCell ref="A176:A177"/>
    <mergeCell ref="B176:B177"/>
    <mergeCell ref="A178:A179"/>
    <mergeCell ref="B178:B179"/>
    <mergeCell ref="A180:A181"/>
    <mergeCell ref="B180:B181"/>
    <mergeCell ref="A194:A195"/>
    <mergeCell ref="B194:B195"/>
    <mergeCell ref="A196:A197"/>
    <mergeCell ref="B196:B197"/>
    <mergeCell ref="A198:A199"/>
    <mergeCell ref="B198:B199"/>
    <mergeCell ref="A188:A189"/>
    <mergeCell ref="B188:B189"/>
    <mergeCell ref="A190:A191"/>
    <mergeCell ref="B190:B191"/>
    <mergeCell ref="A192:A193"/>
    <mergeCell ref="B192:B193"/>
    <mergeCell ref="A206:A207"/>
    <mergeCell ref="B206:B207"/>
    <mergeCell ref="A208:A209"/>
    <mergeCell ref="B208:B209"/>
    <mergeCell ref="A210:A211"/>
    <mergeCell ref="B210:B211"/>
    <mergeCell ref="A200:A201"/>
    <mergeCell ref="B200:B201"/>
    <mergeCell ref="A202:A203"/>
    <mergeCell ref="B202:B203"/>
    <mergeCell ref="A204:A205"/>
    <mergeCell ref="B204:B205"/>
    <mergeCell ref="A224:A225"/>
    <mergeCell ref="B224:B225"/>
    <mergeCell ref="A218:A219"/>
    <mergeCell ref="B218:B219"/>
    <mergeCell ref="A220:A221"/>
    <mergeCell ref="B220:B221"/>
    <mergeCell ref="A222:A223"/>
    <mergeCell ref="B222:B223"/>
    <mergeCell ref="A212:A213"/>
    <mergeCell ref="B212:B213"/>
    <mergeCell ref="A214:A215"/>
    <mergeCell ref="B214:B215"/>
    <mergeCell ref="A216:A217"/>
    <mergeCell ref="B216:B217"/>
  </mergeCells>
  <phoneticPr fontId="1"/>
  <conditionalFormatting sqref="D5:AH5">
    <cfRule type="expression" dxfId="1" priority="1">
      <formula>WEEKDAY(D$5)=7</formula>
    </cfRule>
    <cfRule type="expression" dxfId="0" priority="2">
      <formula>WEEKDAY(D$5)=1</formula>
    </cfRule>
  </conditionalFormatting>
  <dataValidations count="2">
    <dataValidation type="list" allowBlank="1" showInputMessage="1" showErrorMessage="1" sqref="D2:F2" xr:uid="{0E8A85B9-AA4C-429E-982D-C4ECB876057F}">
      <formula1>$B$227:$B$228</formula1>
    </dataValidation>
    <dataValidation type="list" allowBlank="1" showInputMessage="1" showErrorMessage="1" sqref="H2:I2" xr:uid="{6F728278-3797-48A5-A33C-D2DDC9E904DC}">
      <formula1>$B$230:$B$241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集計全体">
                <anchor moveWithCells="1" sizeWithCells="1">
                  <from>
                    <xdr:col>10</xdr:col>
                    <xdr:colOff>114300</xdr:colOff>
                    <xdr:row>0</xdr:row>
                    <xdr:rowOff>63500</xdr:rowOff>
                  </from>
                  <to>
                    <xdr:col>12</xdr:col>
                    <xdr:colOff>88900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集計初期化">
                <anchor moveWithCells="1" sizeWithCells="1">
                  <from>
                    <xdr:col>13</xdr:col>
                    <xdr:colOff>38100</xdr:colOff>
                    <xdr:row>1</xdr:row>
                    <xdr:rowOff>0</xdr:rowOff>
                  </from>
                  <to>
                    <xdr:col>15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EA69-B58B-4B7A-A9D0-8C714288D6B1}">
  <sheetPr codeName="設定">
    <tabColor theme="1"/>
  </sheetPr>
  <dimension ref="B1:Q47"/>
  <sheetViews>
    <sheetView workbookViewId="0">
      <selection activeCell="N6" sqref="N6"/>
    </sheetView>
  </sheetViews>
  <sheetFormatPr baseColWidth="10" defaultColWidth="8.7109375" defaultRowHeight="19"/>
  <cols>
    <col min="1" max="1" width="3" customWidth="1"/>
    <col min="2" max="2" width="7.42578125" customWidth="1"/>
    <col min="3" max="14" width="8.5703125" customWidth="1"/>
    <col min="17" max="17" width="0" hidden="1" customWidth="1"/>
  </cols>
  <sheetData>
    <row r="1" spans="2:17" ht="20" thickBot="1">
      <c r="M1" s="227" t="s">
        <v>734</v>
      </c>
      <c r="N1" s="227"/>
    </row>
    <row r="2" spans="2:17" ht="18.75" customHeight="1">
      <c r="C2" s="241">
        <v>2025</v>
      </c>
      <c r="D2" s="242"/>
      <c r="E2" s="228" t="s">
        <v>726</v>
      </c>
      <c r="F2" s="235" t="s">
        <v>735</v>
      </c>
      <c r="G2" s="229" t="s">
        <v>736</v>
      </c>
      <c r="H2" s="230"/>
      <c r="I2" s="230"/>
      <c r="J2" s="230"/>
      <c r="K2" s="231"/>
      <c r="M2" s="12" t="s">
        <v>737</v>
      </c>
      <c r="N2" s="43">
        <v>10</v>
      </c>
    </row>
    <row r="3" spans="2:17" ht="19.5" customHeight="1" thickBot="1">
      <c r="C3" s="243"/>
      <c r="D3" s="244"/>
      <c r="E3" s="228"/>
      <c r="F3" s="235"/>
      <c r="G3" s="232"/>
      <c r="H3" s="233"/>
      <c r="I3" s="233"/>
      <c r="J3" s="233"/>
      <c r="K3" s="234"/>
      <c r="M3" s="12" t="s">
        <v>738</v>
      </c>
      <c r="N3" s="43">
        <v>15</v>
      </c>
    </row>
    <row r="4" spans="2:17" ht="20" thickBot="1"/>
    <row r="5" spans="2:17">
      <c r="B5" s="7"/>
      <c r="C5" s="10" t="s">
        <v>739</v>
      </c>
      <c r="D5" s="9" t="s">
        <v>740</v>
      </c>
      <c r="E5" s="8" t="s">
        <v>741</v>
      </c>
      <c r="F5" s="8" t="s">
        <v>742</v>
      </c>
      <c r="G5" s="8" t="s">
        <v>743</v>
      </c>
      <c r="H5" s="8" t="s">
        <v>744</v>
      </c>
      <c r="I5" s="8" t="s">
        <v>745</v>
      </c>
      <c r="J5" s="8" t="s">
        <v>746</v>
      </c>
      <c r="K5" s="8" t="s">
        <v>747</v>
      </c>
      <c r="L5" s="8" t="s">
        <v>748</v>
      </c>
      <c r="M5" s="11" t="s">
        <v>749</v>
      </c>
      <c r="N5" s="10" t="s">
        <v>750</v>
      </c>
    </row>
    <row r="6" spans="2:17">
      <c r="B6" s="141" t="s">
        <v>751</v>
      </c>
      <c r="C6" s="34" t="s">
        <v>752</v>
      </c>
      <c r="D6" s="35">
        <v>201</v>
      </c>
      <c r="E6" s="36">
        <v>202</v>
      </c>
      <c r="F6" s="36">
        <v>203</v>
      </c>
      <c r="G6" s="36">
        <v>204</v>
      </c>
      <c r="H6" s="36">
        <v>205</v>
      </c>
      <c r="I6" s="36">
        <v>206</v>
      </c>
      <c r="J6" s="36">
        <v>207</v>
      </c>
      <c r="K6" s="36">
        <v>208</v>
      </c>
      <c r="L6" s="36">
        <v>209</v>
      </c>
      <c r="M6" s="37">
        <v>210</v>
      </c>
      <c r="N6" s="34" t="s">
        <v>753</v>
      </c>
    </row>
    <row r="7" spans="2:17">
      <c r="B7" s="142" t="s">
        <v>754</v>
      </c>
      <c r="C7" s="38" t="s">
        <v>755</v>
      </c>
      <c r="D7" s="39">
        <v>301</v>
      </c>
      <c r="E7" s="40">
        <v>302</v>
      </c>
      <c r="F7" s="40">
        <v>303</v>
      </c>
      <c r="G7" s="40">
        <v>304</v>
      </c>
      <c r="H7" s="40">
        <v>305</v>
      </c>
      <c r="I7" s="40">
        <v>306</v>
      </c>
      <c r="J7" s="40">
        <v>307</v>
      </c>
      <c r="K7" s="40">
        <v>308</v>
      </c>
      <c r="L7" s="40">
        <v>309</v>
      </c>
      <c r="M7" s="41">
        <v>310</v>
      </c>
      <c r="N7" s="38" t="s">
        <v>753</v>
      </c>
    </row>
    <row r="8" spans="2:17" ht="20" thickBot="1">
      <c r="B8" s="142" t="s">
        <v>756</v>
      </c>
      <c r="C8" s="42"/>
      <c r="D8" s="39"/>
      <c r="E8" s="40"/>
      <c r="F8" s="40"/>
      <c r="G8" s="40"/>
      <c r="H8" s="40"/>
      <c r="I8" s="40"/>
      <c r="J8" s="40"/>
      <c r="K8" s="40"/>
      <c r="L8" s="40"/>
      <c r="M8" s="41"/>
      <c r="N8" s="42"/>
    </row>
    <row r="11" spans="2:17" ht="20" thickBot="1"/>
    <row r="12" spans="2:17" ht="24" customHeight="1" thickBot="1">
      <c r="C12" s="248" t="s">
        <v>757</v>
      </c>
      <c r="D12" s="249"/>
      <c r="E12" s="245">
        <v>20</v>
      </c>
      <c r="F12" s="247" t="s">
        <v>758</v>
      </c>
      <c r="G12" s="236" t="s">
        <v>759</v>
      </c>
      <c r="H12" s="237"/>
      <c r="I12" s="45">
        <v>17</v>
      </c>
      <c r="J12" s="127" t="s">
        <v>758</v>
      </c>
      <c r="K12" s="225" t="s">
        <v>760</v>
      </c>
      <c r="L12" s="226"/>
      <c r="M12" s="144">
        <v>0.9</v>
      </c>
      <c r="N12" s="127"/>
      <c r="Q12" s="143">
        <f>E12*s目標稼働</f>
        <v>18</v>
      </c>
    </row>
    <row r="13" spans="2:17" ht="24" customHeight="1" thickBot="1">
      <c r="C13" s="250" t="s">
        <v>761</v>
      </c>
      <c r="D13" s="251"/>
      <c r="E13" s="246"/>
      <c r="F13" s="247"/>
      <c r="G13" s="238" t="s">
        <v>762</v>
      </c>
      <c r="H13" s="239"/>
      <c r="I13" s="44">
        <v>20</v>
      </c>
      <c r="J13" s="127" t="s">
        <v>758</v>
      </c>
      <c r="K13" s="225" t="s">
        <v>763</v>
      </c>
      <c r="L13" s="226"/>
      <c r="M13" s="145">
        <v>0.9</v>
      </c>
      <c r="N13" s="127"/>
      <c r="Q13" s="143">
        <f>Q12*s目標リピート</f>
        <v>16.2</v>
      </c>
    </row>
    <row r="14" spans="2:17" ht="20" thickBot="1"/>
    <row r="15" spans="2:17" ht="18.75" customHeight="1" thickBot="1">
      <c r="C15" s="240" t="s">
        <v>764</v>
      </c>
      <c r="D15" s="61" t="s">
        <v>765</v>
      </c>
      <c r="E15" s="59"/>
    </row>
    <row r="16" spans="2:17" ht="19.5" customHeight="1" thickBot="1">
      <c r="C16" s="240"/>
      <c r="D16" s="61" t="s">
        <v>766</v>
      </c>
      <c r="E16" s="60"/>
    </row>
    <row r="21" spans="3:7" hidden="1">
      <c r="C21" s="7" t="s">
        <v>767</v>
      </c>
      <c r="D21" s="113" t="s">
        <v>768</v>
      </c>
      <c r="E21" s="114" t="s">
        <v>769</v>
      </c>
      <c r="F21" s="114" t="s">
        <v>770</v>
      </c>
      <c r="G21" s="115" t="s">
        <v>771</v>
      </c>
    </row>
    <row r="22" spans="3:7" hidden="1">
      <c r="C22" s="6">
        <f ca="1">YEAR(TODAY())</f>
        <v>2025</v>
      </c>
      <c r="D22" s="116" t="s">
        <v>772</v>
      </c>
      <c r="E22" s="117" t="s">
        <v>773</v>
      </c>
      <c r="F22" s="117" t="s">
        <v>774</v>
      </c>
      <c r="G22" s="118" t="s">
        <v>775</v>
      </c>
    </row>
    <row r="23" spans="3:7" hidden="1">
      <c r="C23" s="6">
        <f ca="1">C22+1</f>
        <v>2026</v>
      </c>
      <c r="D23" s="119" t="s">
        <v>776</v>
      </c>
      <c r="E23" s="120" t="s">
        <v>777</v>
      </c>
      <c r="F23" s="120" t="s">
        <v>778</v>
      </c>
      <c r="G23" s="121" t="s">
        <v>779</v>
      </c>
    </row>
    <row r="24" spans="3:7" hidden="1">
      <c r="C24" s="6">
        <f ca="1">C22+2</f>
        <v>2027</v>
      </c>
      <c r="D24" s="116" t="s">
        <v>780</v>
      </c>
      <c r="E24" s="117" t="s">
        <v>781</v>
      </c>
      <c r="F24" s="117" t="s">
        <v>782</v>
      </c>
      <c r="G24" s="118" t="s">
        <v>783</v>
      </c>
    </row>
    <row r="25" spans="3:7" hidden="1">
      <c r="C25" s="6">
        <f ca="1">C22+3</f>
        <v>2028</v>
      </c>
      <c r="D25" s="119" t="s">
        <v>784</v>
      </c>
      <c r="E25" s="120" t="s">
        <v>785</v>
      </c>
      <c r="F25" s="120" t="s">
        <v>786</v>
      </c>
      <c r="G25" s="121" t="s">
        <v>787</v>
      </c>
    </row>
    <row r="26" spans="3:7" hidden="1">
      <c r="D26" s="116" t="s">
        <v>788</v>
      </c>
      <c r="E26" s="117" t="s">
        <v>789</v>
      </c>
      <c r="F26" s="117" t="s">
        <v>790</v>
      </c>
      <c r="G26" s="118" t="s">
        <v>791</v>
      </c>
    </row>
    <row r="27" spans="3:7" hidden="1">
      <c r="D27" s="119" t="s">
        <v>792</v>
      </c>
      <c r="E27" s="120" t="s">
        <v>793</v>
      </c>
      <c r="F27" s="120" t="s">
        <v>794</v>
      </c>
      <c r="G27" s="121" t="s">
        <v>795</v>
      </c>
    </row>
    <row r="28" spans="3:7" hidden="1">
      <c r="D28" s="116" t="s">
        <v>796</v>
      </c>
      <c r="E28" s="117" t="s">
        <v>797</v>
      </c>
      <c r="F28" s="117" t="s">
        <v>798</v>
      </c>
      <c r="G28" s="118" t="s">
        <v>799</v>
      </c>
    </row>
    <row r="29" spans="3:7" hidden="1">
      <c r="D29" s="119" t="s">
        <v>800</v>
      </c>
      <c r="E29" s="120" t="s">
        <v>801</v>
      </c>
      <c r="F29" s="120" t="s">
        <v>802</v>
      </c>
      <c r="G29" s="121" t="s">
        <v>803</v>
      </c>
    </row>
    <row r="30" spans="3:7" hidden="1">
      <c r="D30" s="116" t="s">
        <v>804</v>
      </c>
      <c r="E30" s="117" t="s">
        <v>805</v>
      </c>
      <c r="F30" s="117" t="s">
        <v>806</v>
      </c>
      <c r="G30" s="118" t="s">
        <v>807</v>
      </c>
    </row>
    <row r="31" spans="3:7" hidden="1">
      <c r="D31" s="119" t="s">
        <v>808</v>
      </c>
      <c r="E31" s="120" t="s">
        <v>809</v>
      </c>
      <c r="F31" s="120" t="s">
        <v>810</v>
      </c>
      <c r="G31" s="121" t="s">
        <v>811</v>
      </c>
    </row>
    <row r="32" spans="3:7" hidden="1">
      <c r="D32" s="116" t="s">
        <v>812</v>
      </c>
      <c r="E32" s="117" t="s">
        <v>813</v>
      </c>
      <c r="F32" s="117" t="s">
        <v>814</v>
      </c>
      <c r="G32" s="118" t="s">
        <v>815</v>
      </c>
    </row>
    <row r="33" spans="4:7" hidden="1">
      <c r="D33" s="119" t="s">
        <v>816</v>
      </c>
      <c r="E33" s="120" t="s">
        <v>817</v>
      </c>
      <c r="F33" s="120" t="s">
        <v>818</v>
      </c>
      <c r="G33" s="121" t="s">
        <v>819</v>
      </c>
    </row>
    <row r="34" spans="4:7" hidden="1">
      <c r="D34" s="116" t="s">
        <v>820</v>
      </c>
      <c r="E34" s="117" t="s">
        <v>821</v>
      </c>
      <c r="F34" s="117" t="s">
        <v>822</v>
      </c>
      <c r="G34" s="118" t="s">
        <v>823</v>
      </c>
    </row>
    <row r="35" spans="4:7" hidden="1">
      <c r="D35" s="119" t="s">
        <v>824</v>
      </c>
      <c r="E35" s="120" t="s">
        <v>825</v>
      </c>
      <c r="F35" s="120" t="s">
        <v>826</v>
      </c>
      <c r="G35" s="121" t="s">
        <v>827</v>
      </c>
    </row>
    <row r="36" spans="4:7" hidden="1">
      <c r="D36" s="116" t="s">
        <v>828</v>
      </c>
      <c r="E36" s="117" t="s">
        <v>829</v>
      </c>
      <c r="F36" s="117" t="s">
        <v>830</v>
      </c>
      <c r="G36" s="118" t="s">
        <v>831</v>
      </c>
    </row>
    <row r="37" spans="4:7" hidden="1">
      <c r="D37" s="119" t="s">
        <v>832</v>
      </c>
      <c r="E37" s="120" t="s">
        <v>833</v>
      </c>
      <c r="F37" s="120" t="s">
        <v>834</v>
      </c>
      <c r="G37" s="121" t="s">
        <v>835</v>
      </c>
    </row>
    <row r="38" spans="4:7" hidden="1">
      <c r="D38" s="116" t="s">
        <v>836</v>
      </c>
      <c r="E38" s="117" t="s">
        <v>837</v>
      </c>
      <c r="F38" s="117" t="s">
        <v>838</v>
      </c>
      <c r="G38" s="118" t="s">
        <v>839</v>
      </c>
    </row>
    <row r="39" spans="4:7" hidden="1">
      <c r="D39" s="119" t="s">
        <v>840</v>
      </c>
      <c r="E39" s="120" t="s">
        <v>841</v>
      </c>
      <c r="F39" s="120" t="s">
        <v>842</v>
      </c>
      <c r="G39" s="121" t="s">
        <v>843</v>
      </c>
    </row>
    <row r="40" spans="4:7" hidden="1">
      <c r="D40" s="116" t="s">
        <v>844</v>
      </c>
      <c r="E40" s="117" t="s">
        <v>845</v>
      </c>
      <c r="F40" s="117" t="s">
        <v>846</v>
      </c>
      <c r="G40" s="118" t="s">
        <v>847</v>
      </c>
    </row>
    <row r="41" spans="4:7" hidden="1">
      <c r="D41" s="119" t="s">
        <v>848</v>
      </c>
      <c r="E41" s="120" t="s">
        <v>849</v>
      </c>
      <c r="F41" s="120" t="s">
        <v>850</v>
      </c>
      <c r="G41" s="121" t="s">
        <v>851</v>
      </c>
    </row>
    <row r="42" spans="4:7" hidden="1">
      <c r="D42" s="116" t="s">
        <v>852</v>
      </c>
      <c r="E42" s="117" t="s">
        <v>853</v>
      </c>
      <c r="F42" s="117" t="s">
        <v>854</v>
      </c>
      <c r="G42" s="118" t="s">
        <v>855</v>
      </c>
    </row>
    <row r="43" spans="4:7" hidden="1">
      <c r="D43" s="119" t="s">
        <v>856</v>
      </c>
      <c r="E43" s="120" t="s">
        <v>857</v>
      </c>
      <c r="F43" s="120" t="s">
        <v>858</v>
      </c>
      <c r="G43" s="121" t="s">
        <v>859</v>
      </c>
    </row>
    <row r="44" spans="4:7" hidden="1">
      <c r="D44" s="116" t="s">
        <v>860</v>
      </c>
      <c r="E44" s="117" t="s">
        <v>861</v>
      </c>
      <c r="F44" s="117" t="s">
        <v>862</v>
      </c>
      <c r="G44" s="118" t="s">
        <v>863</v>
      </c>
    </row>
    <row r="45" spans="4:7" hidden="1">
      <c r="D45" s="119" t="s">
        <v>864</v>
      </c>
      <c r="E45" s="120" t="s">
        <v>865</v>
      </c>
      <c r="F45" s="120" t="s">
        <v>866</v>
      </c>
      <c r="G45" s="121" t="s">
        <v>867</v>
      </c>
    </row>
    <row r="46" spans="4:7" hidden="1">
      <c r="D46" s="116" t="s">
        <v>868</v>
      </c>
      <c r="E46" s="117" t="s">
        <v>869</v>
      </c>
      <c r="F46" s="117" t="s">
        <v>870</v>
      </c>
      <c r="G46" s="118" t="s">
        <v>871</v>
      </c>
    </row>
    <row r="47" spans="4:7" hidden="1">
      <c r="D47" s="110" t="s">
        <v>872</v>
      </c>
      <c r="E47" s="111" t="s">
        <v>873</v>
      </c>
      <c r="F47" s="111" t="s">
        <v>874</v>
      </c>
      <c r="G47" s="112" t="s">
        <v>875</v>
      </c>
    </row>
  </sheetData>
  <sheetProtection sheet="1" selectLockedCells="1"/>
  <customSheetViews>
    <customSheetView guid="{B061BDB8-F860-4D44-941F-C2AA21ACDACC}" hiddenRows="1" hiddenColumns="1">
      <selection activeCell="N6" sqref="N6"/>
      <pageMargins left="0" right="0" top="0" bottom="0" header="0" footer="0"/>
      <pageSetup paperSize="9" orientation="portrait" horizontalDpi="4294967293" verticalDpi="0" r:id="rId1"/>
    </customSheetView>
  </customSheetViews>
  <mergeCells count="14">
    <mergeCell ref="C15:C16"/>
    <mergeCell ref="C2:D3"/>
    <mergeCell ref="E12:E13"/>
    <mergeCell ref="F12:F13"/>
    <mergeCell ref="C12:D12"/>
    <mergeCell ref="C13:D13"/>
    <mergeCell ref="K12:L12"/>
    <mergeCell ref="K13:L13"/>
    <mergeCell ref="M1:N1"/>
    <mergeCell ref="E2:E3"/>
    <mergeCell ref="G2:K3"/>
    <mergeCell ref="F2:F3"/>
    <mergeCell ref="G12:H12"/>
    <mergeCell ref="G13:H13"/>
  </mergeCells>
  <phoneticPr fontId="1"/>
  <dataValidations count="4">
    <dataValidation type="list" allowBlank="1" showInputMessage="1" showErrorMessage="1" sqref="N2:N3" xr:uid="{4E3903BA-1716-4606-9B41-AF2B168653E1}">
      <formula1>"8,9,10,11,12,13,14,15,16,17"</formula1>
    </dataValidation>
    <dataValidation type="list" allowBlank="1" showInputMessage="1" showErrorMessage="1" sqref="N6:N8" xr:uid="{3FB947F3-6CD7-4E92-B1FE-179630C2D43F}">
      <formula1>"○"</formula1>
    </dataValidation>
    <dataValidation type="list" allowBlank="1" showInputMessage="1" showErrorMessage="1" sqref="C2" xr:uid="{79084E34-968C-41E7-8780-71C75346B36E}">
      <formula1>$C$22:$C$25</formula1>
    </dataValidation>
    <dataValidation type="list" allowBlank="1" showInputMessage="1" showErrorMessage="1" sqref="G2:K3" xr:uid="{EB062764-4392-47EA-9742-DDBBC5EF9A0A}">
      <formula1>$D$22:$D$47</formula1>
    </dataValidation>
  </dataValidations>
  <pageMargins left="0.7" right="0.7" top="0.75" bottom="0.75" header="0.3" footer="0.3"/>
  <pageSetup paperSize="9"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設定する">
                <anchor moveWithCells="1" sizeWithCells="1">
                  <from>
                    <xdr:col>14</xdr:col>
                    <xdr:colOff>38100</xdr:colOff>
                    <xdr:row>4</xdr:row>
                    <xdr:rowOff>215900</xdr:rowOff>
                  </from>
                  <to>
                    <xdr:col>15</xdr:col>
                    <xdr:colOff>50800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F09D7734DDCF14CA45F8B2578531DD8" ma:contentTypeVersion="9" ma:contentTypeDescription="新しいドキュメントを作成します。" ma:contentTypeScope="" ma:versionID="6a38b7aa96f1661ecaf6255983cd23de">
  <xsd:schema xmlns:xsd="http://www.w3.org/2001/XMLSchema" xmlns:xs="http://www.w3.org/2001/XMLSchema" xmlns:p="http://schemas.microsoft.com/office/2006/metadata/properties" xmlns:ns2="da993497-7b09-4fbb-87a8-1bc0a11c5928" targetNamespace="http://schemas.microsoft.com/office/2006/metadata/properties" ma:root="true" ma:fieldsID="6426fa7c0916d96b7ab7c3c85fde9c77" ns2:_="">
    <xsd:import namespace="da993497-7b09-4fbb-87a8-1bc0a11c59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993497-7b09-4fbb-87a8-1bc0a11c59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画像タグ" ma:readOnly="false" ma:fieldId="{5cf76f15-5ced-4ddc-b409-7134ff3c332f}" ma:taxonomyMulti="true" ma:sspId="c163aadb-51ed-4626-a657-8aba850ed8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a993497-7b09-4fbb-87a8-1bc0a11c592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BCD7DF7-6213-40C4-9F09-B3D7F300A2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993497-7b09-4fbb-87a8-1bc0a11c59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CC4931-CA06-4A23-8886-2C33B0350C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806C5-16BB-48F2-84D3-5964915092BC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da993497-7b09-4fbb-87a8-1bc0a11c5928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128</vt:i4>
      </vt:variant>
    </vt:vector>
  </HeadingPairs>
  <TitlesOfParts>
    <vt:vector size="134" baseType="lpstr">
      <vt:lpstr>SS予約表</vt:lpstr>
      <vt:lpstr>連絡管理</vt:lpstr>
      <vt:lpstr>空きFAX</vt:lpstr>
      <vt:lpstr>利用者メモ</vt:lpstr>
      <vt:lpstr>月集計</vt:lpstr>
      <vt:lpstr>設定</vt:lpstr>
      <vt:lpstr>aFAX</vt:lpstr>
      <vt:lpstr>a拠点名</vt:lpstr>
      <vt:lpstr>a住所</vt:lpstr>
      <vt:lpstr>a担当1</vt:lpstr>
      <vt:lpstr>a担当2</vt:lpstr>
      <vt:lpstr>a電話</vt:lpstr>
      <vt:lpstr>d集計月</vt:lpstr>
      <vt:lpstr>d集計氏名</vt:lpstr>
      <vt:lpstr>d集計送迎範囲</vt:lpstr>
      <vt:lpstr>d集計日時</vt:lpstr>
      <vt:lpstr>d集計年</vt:lpstr>
      <vt:lpstr>d集計範囲</vt:lpstr>
      <vt:lpstr>d集計利用範囲</vt:lpstr>
      <vt:lpstr>SS予約表!Print_Area</vt:lpstr>
      <vt:lpstr>空きFAX!Print_Area</vt:lpstr>
      <vt:lpstr>SS予約表!Print_Titles</vt:lpstr>
      <vt:lpstr>sユニット1名前</vt:lpstr>
      <vt:lpstr>sユニット2名前</vt:lpstr>
      <vt:lpstr>sユニット3名前</vt:lpstr>
      <vt:lpstr>s居室1</vt:lpstr>
      <vt:lpstr>s居室10</vt:lpstr>
      <vt:lpstr>s居室11</vt:lpstr>
      <vt:lpstr>s居室12</vt:lpstr>
      <vt:lpstr>s居室13</vt:lpstr>
      <vt:lpstr>s居室14</vt:lpstr>
      <vt:lpstr>s居室15</vt:lpstr>
      <vt:lpstr>s居室16</vt:lpstr>
      <vt:lpstr>s居室17</vt:lpstr>
      <vt:lpstr>s居室18</vt:lpstr>
      <vt:lpstr>s居室19</vt:lpstr>
      <vt:lpstr>s居室2</vt:lpstr>
      <vt:lpstr>s居室20</vt:lpstr>
      <vt:lpstr>s居室21</vt:lpstr>
      <vt:lpstr>s居室22</vt:lpstr>
      <vt:lpstr>s居室23</vt:lpstr>
      <vt:lpstr>s居室24</vt:lpstr>
      <vt:lpstr>s居室25</vt:lpstr>
      <vt:lpstr>s居室26</vt:lpstr>
      <vt:lpstr>s居室27</vt:lpstr>
      <vt:lpstr>s居室28</vt:lpstr>
      <vt:lpstr>s居室29</vt:lpstr>
      <vt:lpstr>s居室3</vt:lpstr>
      <vt:lpstr>s居室30</vt:lpstr>
      <vt:lpstr>s居室4</vt:lpstr>
      <vt:lpstr>s居室5</vt:lpstr>
      <vt:lpstr>s居室6</vt:lpstr>
      <vt:lpstr>s居室7</vt:lpstr>
      <vt:lpstr>s居室8</vt:lpstr>
      <vt:lpstr>s居室9</vt:lpstr>
      <vt:lpstr>s拠点</vt:lpstr>
      <vt:lpstr>s静養室1</vt:lpstr>
      <vt:lpstr>s静養室2</vt:lpstr>
      <vt:lpstr>s静養室3</vt:lpstr>
      <vt:lpstr>s年</vt:lpstr>
      <vt:lpstr>s目標リピート</vt:lpstr>
      <vt:lpstr>s目標稼働</vt:lpstr>
      <vt:lpstr>キャンセル1</vt:lpstr>
      <vt:lpstr>キャンセル2</vt:lpstr>
      <vt:lpstr>キャンセル3</vt:lpstr>
      <vt:lpstr>キャンセル待ち</vt:lpstr>
      <vt:lpstr>ユニット1</vt:lpstr>
      <vt:lpstr>ユニット1稼働集計列</vt:lpstr>
      <vt:lpstr>ユニット1名前</vt:lpstr>
      <vt:lpstr>ユニット2</vt:lpstr>
      <vt:lpstr>ユニット2稼働集計列</vt:lpstr>
      <vt:lpstr>ユニット2名前</vt:lpstr>
      <vt:lpstr>ユニット3</vt:lpstr>
      <vt:lpstr>ユニット3稼働集計列</vt:lpstr>
      <vt:lpstr>ユニット3名前</vt:lpstr>
      <vt:lpstr>ロング稼働列</vt:lpstr>
      <vt:lpstr>印刷ブレーク列</vt:lpstr>
      <vt:lpstr>印刷全体</vt:lpstr>
      <vt:lpstr>閏年列</vt:lpstr>
      <vt:lpstr>仮想月列</vt:lpstr>
      <vt:lpstr>稼働集計列</vt:lpstr>
      <vt:lpstr>居室1</vt:lpstr>
      <vt:lpstr>居室10</vt:lpstr>
      <vt:lpstr>居室11</vt:lpstr>
      <vt:lpstr>居室12</vt:lpstr>
      <vt:lpstr>居室13</vt:lpstr>
      <vt:lpstr>居室14</vt:lpstr>
      <vt:lpstr>居室15</vt:lpstr>
      <vt:lpstr>居室16</vt:lpstr>
      <vt:lpstr>居室17</vt:lpstr>
      <vt:lpstr>居室18</vt:lpstr>
      <vt:lpstr>居室19</vt:lpstr>
      <vt:lpstr>居室2</vt:lpstr>
      <vt:lpstr>居室20</vt:lpstr>
      <vt:lpstr>居室21</vt:lpstr>
      <vt:lpstr>居室22</vt:lpstr>
      <vt:lpstr>居室23</vt:lpstr>
      <vt:lpstr>居室24</vt:lpstr>
      <vt:lpstr>居室25</vt:lpstr>
      <vt:lpstr>居室26</vt:lpstr>
      <vt:lpstr>居室27</vt:lpstr>
      <vt:lpstr>居室28</vt:lpstr>
      <vt:lpstr>居室29</vt:lpstr>
      <vt:lpstr>居室3</vt:lpstr>
      <vt:lpstr>居室30</vt:lpstr>
      <vt:lpstr>居室4</vt:lpstr>
      <vt:lpstr>居室5</vt:lpstr>
      <vt:lpstr>居室6</vt:lpstr>
      <vt:lpstr>居室7</vt:lpstr>
      <vt:lpstr>居室8</vt:lpstr>
      <vt:lpstr>居室9</vt:lpstr>
      <vt:lpstr>空き開始月</vt:lpstr>
      <vt:lpstr>空き集計列</vt:lpstr>
      <vt:lpstr>空き全体</vt:lpstr>
      <vt:lpstr>空き範囲</vt:lpstr>
      <vt:lpstr>月列</vt:lpstr>
      <vt:lpstr>検索日付範囲</vt:lpstr>
      <vt:lpstr>時間行</vt:lpstr>
      <vt:lpstr>数式更新</vt:lpstr>
      <vt:lpstr>静養室1</vt:lpstr>
      <vt:lpstr>静養室2</vt:lpstr>
      <vt:lpstr>静養室3</vt:lpstr>
      <vt:lpstr>前後列</vt:lpstr>
      <vt:lpstr>全体稼働集計列</vt:lpstr>
      <vt:lpstr>退所時間</vt:lpstr>
      <vt:lpstr>日付列</vt:lpstr>
      <vt:lpstr>入所時間</vt:lpstr>
      <vt:lpstr>年</vt:lpstr>
      <vt:lpstr>年月日</vt:lpstr>
      <vt:lpstr>曜日列1</vt:lpstr>
      <vt:lpstr>曜日列2</vt:lpstr>
      <vt:lpstr>曜日列3</vt:lpstr>
      <vt:lpstr>曜日列4</vt:lpstr>
      <vt:lpstr>曜日列5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悠太 今井</dc:creator>
  <cp:keywords/>
  <dc:description/>
  <cp:lastModifiedBy>Tasaka Taishi</cp:lastModifiedBy>
  <cp:revision/>
  <dcterms:created xsi:type="dcterms:W3CDTF">2023-09-26T00:54:27Z</dcterms:created>
  <dcterms:modified xsi:type="dcterms:W3CDTF">2025-05-01T06:18:32Z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0x0101006F09D7734DDCF14CA45F8B2578531DD8</vt:lpwstr>
  </property>
  <property fmtid="{D5CDD505-2E9C-101B-9397-08002B2CF9AE}" pid="3" name="MediaServiceImageTags">
    <vt:lpwstr/>
  </property>
</Properties>
</file>